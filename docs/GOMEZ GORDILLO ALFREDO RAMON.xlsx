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edio salarial" sheetId="1" r:id="rId5"/>
    <sheet state="visible" name="NESTOR" sheetId="2" r:id="rId6"/>
    <sheet state="visible" name="JENIRETH" sheetId="3" r:id="rId7"/>
    <sheet state="visible" name="Bernal" sheetId="4" r:id="rId8"/>
  </sheets>
  <definedNames/>
  <calcPr/>
</workbook>
</file>

<file path=xl/sharedStrings.xml><?xml version="1.0" encoding="utf-8"?>
<sst xmlns="http://schemas.openxmlformats.org/spreadsheetml/2006/main" count="208" uniqueCount="28">
  <si>
    <t>Pega tus semanas aquí 👇</t>
  </si>
  <si>
    <t>No Modificar</t>
  </si>
  <si>
    <t>Salario promedio de las últimas 250 semanas - actualidad</t>
  </si>
  <si>
    <t>TIPO DE MOVIMIENTO</t>
  </si>
  <si>
    <t>FECHA DE INICIO</t>
  </si>
  <si>
    <t>SALARIO REGISTRADO</t>
  </si>
  <si>
    <t xml:space="preserve">FECHA DE TÉRMINO </t>
  </si>
  <si>
    <t>Nombre 👉</t>
  </si>
  <si>
    <t>**Esta tabla no funciona al 100% porque cuando 2 registros se sobreponen por las mismas fechas, te cuenta semanas extra que no debería</t>
  </si>
  <si>
    <t>REINGRESO</t>
  </si>
  <si>
    <t>Total de semanas cotizadas</t>
  </si>
  <si>
    <t># de semanas a promediar</t>
  </si>
  <si>
    <t>Salario de las semanas que se están promediando</t>
  </si>
  <si>
    <t>SEMANAS COTIZADAS TOTALES</t>
  </si>
  <si>
    <t>SEMANAS COTIZADAS</t>
  </si>
  <si>
    <t>RESULTADO</t>
  </si>
  <si>
    <t>#</t>
  </si>
  <si>
    <t>Fecha Inicio</t>
  </si>
  <si>
    <t>Fecha Termino</t>
  </si>
  <si>
    <t>Salario Diario</t>
  </si>
  <si>
    <t>Semanas Totales</t>
  </si>
  <si>
    <t>Semanas Contadas</t>
  </si>
  <si>
    <t>Resultado</t>
  </si>
  <si>
    <t>BAJA</t>
  </si>
  <si>
    <t>MODIFICACION DE SALARIO</t>
  </si>
  <si>
    <t>ALTA</t>
  </si>
  <si>
    <t>Baja</t>
  </si>
  <si>
    <t>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</si>
</sst>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&quot;$&quot;#,##0.00"/>
    <numFmt numFmtId="166" formatCode="dd/mm/yyyy"/>
    <numFmt numFmtId="167" formatCode="d/M/yyyy"/>
    <numFmt numFmtId="168" formatCode="d/m/yyyy"/>
    <numFmt numFmtId="169" formatCode="dd/mm/yy"/>
  </numFmts>
  <fonts count="20">
    <font>
      <sz val="10.0"/>
      <color rgb="FF000000"/>
      <name val="Arial"/>
      <scheme val="minor"/>
    </font>
    <font>
      <color theme="1"/>
      <name val="Arial"/>
    </font>
    <font>
      <sz val="14.0"/>
      <color rgb="FFFFFFFF"/>
      <name val="Arial"/>
    </font>
    <font/>
    <font>
      <sz val="14.0"/>
      <color rgb="FFFFFFFF"/>
      <name val="Calibri"/>
    </font>
    <font>
      <sz val="8.0"/>
      <color theme="1"/>
      <name val="Arial"/>
    </font>
    <font>
      <sz val="9.0"/>
      <color theme="1"/>
      <name val="Arial"/>
    </font>
    <font>
      <b/>
      <sz val="11.0"/>
      <color rgb="FFFFFFFF"/>
      <name val="Arial"/>
    </font>
    <font>
      <b/>
      <sz val="18.0"/>
      <color theme="1"/>
      <name val="Arial"/>
    </font>
    <font>
      <color theme="1"/>
      <name val="Arial"/>
      <scheme val="minor"/>
    </font>
    <font>
      <sz val="8.0"/>
      <color rgb="FF1F2320"/>
      <name val="Arial"/>
    </font>
    <font>
      <sz val="8.0"/>
      <color rgb="FF000000"/>
      <name val="Arial"/>
    </font>
    <font>
      <sz val="11.0"/>
      <color theme="1"/>
      <name val="Calibri"/>
    </font>
    <font>
      <b/>
      <sz val="11.0"/>
      <color theme="1"/>
      <name val="Arial"/>
    </font>
    <font>
      <sz val="12.0"/>
      <color rgb="FF00B050"/>
      <name val="Arial"/>
    </font>
    <font>
      <b/>
      <sz val="12.0"/>
      <color rgb="FF00B050"/>
      <name val="Arial"/>
    </font>
    <font>
      <sz val="11.0"/>
      <color theme="1"/>
      <name val="&quot;Times New Roman&quot;"/>
    </font>
    <font>
      <b/>
      <sz val="9.0"/>
      <color rgb="FF00B050"/>
      <name val="Arial"/>
    </font>
    <font>
      <sz val="11.0"/>
      <color theme="1"/>
      <name val="&quot;Geist Mono&quot;"/>
    </font>
    <font>
      <color rgb="FF181A18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554E"/>
        <bgColor rgb="FF00554E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</fills>
  <borders count="31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25C67"/>
      </left>
      <right style="hair">
        <color rgb="FF025C67"/>
      </right>
      <bottom style="medium">
        <color rgb="FF025C67"/>
      </bottom>
    </border>
    <border>
      <left style="hair">
        <color rgb="FF025C67"/>
      </left>
      <bottom style="medium">
        <color rgb="FF025C67"/>
      </bottom>
    </border>
    <border>
      <left style="medium">
        <color rgb="FF00554E"/>
      </left>
      <right style="medium">
        <color rgb="FF00554E"/>
      </right>
      <bottom style="medium">
        <color rgb="FF00554E"/>
      </bottom>
    </border>
    <border>
      <left style="hair">
        <color rgb="FF00554E"/>
      </left>
      <top style="hair">
        <color rgb="FF00554E"/>
      </top>
      <bottom style="hair">
        <color rgb="FF00554E"/>
      </bottom>
    </border>
    <border>
      <bottom style="medium">
        <color rgb="FF00554E"/>
      </bottom>
    </border>
    <border>
      <right style="thick">
        <color rgb="FF000000"/>
      </right>
      <bottom style="medium">
        <color rgb="FF00554E"/>
      </bottom>
    </border>
    <border>
      <left style="thin">
        <color rgb="FFA6A9A9"/>
      </left>
      <right style="thin">
        <color rgb="FFA6A9A9"/>
      </right>
      <bottom style="thin">
        <color rgb="FFA6A9A9"/>
      </bottom>
    </border>
    <border>
      <left style="medium">
        <color rgb="FF025C67"/>
      </left>
      <bottom style="hair">
        <color rgb="FF025C67"/>
      </bottom>
    </border>
    <border>
      <bottom style="hair">
        <color rgb="FF025C67"/>
      </bottom>
    </border>
    <border>
      <right style="hair">
        <color rgb="FF025C67"/>
      </right>
      <bottom style="hair">
        <color rgb="FF025C67"/>
      </bottom>
    </border>
    <border>
      <left style="medium">
        <color rgb="FF025C67"/>
      </left>
      <top style="medium">
        <color rgb="FF025C67"/>
      </top>
      <bottom style="hair">
        <color rgb="FF025C67"/>
      </bottom>
    </border>
    <border>
      <top style="medium">
        <color rgb="FF025C67"/>
      </top>
      <bottom style="hair">
        <color rgb="FF025C67"/>
      </bottom>
    </border>
    <border>
      <right style="hair">
        <color rgb="FF025C67"/>
      </right>
      <top style="medium">
        <color rgb="FF025C67"/>
      </top>
      <bottom style="hair">
        <color rgb="FF025C67"/>
      </bottom>
    </border>
    <border>
      <left style="medium">
        <color rgb="FF025C67"/>
      </left>
      <top style="hair">
        <color rgb="FF025C67"/>
      </top>
      <bottom style="medium">
        <color rgb="FF025C67"/>
      </bottom>
    </border>
    <border>
      <top style="hair">
        <color rgb="FF025C67"/>
      </top>
      <bottom style="medium">
        <color rgb="FF025C67"/>
      </bottom>
    </border>
    <border>
      <left style="medium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bottom style="medium">
        <color rgb="FF025C67"/>
      </bottom>
    </border>
    <border>
      <bottom style="thin">
        <color rgb="FF000000"/>
      </bottom>
    </border>
    <border>
      <left style="medium">
        <color rgb="FF025C67"/>
      </left>
      <right style="hair">
        <color rgb="FF00554E"/>
      </right>
      <top style="hair">
        <color rgb="FF00554E"/>
      </top>
      <bottom style="hair">
        <color rgb="FF00554E"/>
      </bottom>
    </border>
    <border>
      <left style="hair">
        <color rgb="FF00554E"/>
      </left>
      <right style="hair">
        <color rgb="FF00554E"/>
      </right>
      <top style="hair">
        <color rgb="FF00554E"/>
      </top>
      <bottom style="hair">
        <color rgb="FF00554E"/>
      </bottom>
    </border>
    <border>
      <right style="hair">
        <color rgb="FF00554E"/>
      </right>
      <top style="hair">
        <color rgb="FF025C67"/>
      </top>
      <bottom style="hair">
        <color rgb="FF00554E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hair">
        <color rgb="FF025C67"/>
      </bottom>
    </border>
    <border>
      <left style="hair">
        <color rgb="FF00554E"/>
      </left>
      <right style="medium">
        <color rgb="FF025C67"/>
      </right>
      <top style="hair">
        <color rgb="FF025C67"/>
      </top>
      <bottom style="hair">
        <color rgb="FF00554E"/>
      </bottom>
    </border>
    <border>
      <left style="hair">
        <color rgb="FF00554E"/>
      </left>
      <right style="medium">
        <color rgb="FF025C67"/>
      </right>
      <top style="hair">
        <color rgb="FF00554E"/>
      </top>
      <bottom style="hair">
        <color rgb="FF00554E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bottom" wrapText="1"/>
    </xf>
    <xf borderId="5" fillId="4" fontId="5" numFmtId="0" xfId="0" applyAlignment="1" applyBorder="1" applyFill="1" applyFont="1">
      <alignment horizontal="center" shrinkToFit="0" vertical="bottom" wrapText="1"/>
    </xf>
    <xf borderId="5" fillId="4" fontId="5" numFmtId="164" xfId="0" applyAlignment="1" applyBorder="1" applyFont="1" applyNumberFormat="1">
      <alignment horizontal="center" shrinkToFit="0" vertical="bottom" wrapText="1"/>
    </xf>
    <xf borderId="6" fillId="4" fontId="5" numFmtId="164" xfId="0" applyAlignment="1" applyBorder="1" applyFont="1" applyNumberFormat="1">
      <alignment horizontal="center" shrinkToFit="0" vertical="bottom" wrapText="1"/>
    </xf>
    <xf borderId="7" fillId="5" fontId="5" numFmtId="164" xfId="0" applyAlignment="1" applyBorder="1" applyFill="1" applyFont="1" applyNumberFormat="1">
      <alignment horizontal="center" shrinkToFit="0" vertical="bottom" wrapText="1"/>
    </xf>
    <xf borderId="0" fillId="0" fontId="1" numFmtId="164" xfId="0" applyAlignment="1" applyFont="1" applyNumberFormat="1">
      <alignment vertical="bottom"/>
    </xf>
    <xf borderId="8" fillId="6" fontId="6" numFmtId="165" xfId="0" applyAlignment="1" applyBorder="1" applyFill="1" applyFont="1" applyNumberFormat="1">
      <alignment horizontal="center" vertical="bottom"/>
    </xf>
    <xf borderId="4" fillId="2" fontId="7" numFmtId="165" xfId="0" applyAlignment="1" applyBorder="1" applyFont="1" applyNumberFormat="1">
      <alignment horizontal="center" shrinkToFit="0" vertical="bottom" wrapText="1"/>
    </xf>
    <xf borderId="9" fillId="0" fontId="8" numFmtId="165" xfId="0" applyAlignment="1" applyBorder="1" applyFont="1" applyNumberFormat="1">
      <alignment horizontal="center" vertical="bottom"/>
    </xf>
    <xf borderId="9" fillId="0" fontId="3" numFmtId="0" xfId="0" applyBorder="1" applyFont="1"/>
    <xf borderId="10" fillId="0" fontId="3" numFmtId="0" xfId="0" applyBorder="1" applyFont="1"/>
    <xf borderId="0" fillId="0" fontId="9" numFmtId="0" xfId="0" applyAlignment="1" applyFont="1">
      <alignment readingOrder="0"/>
    </xf>
    <xf borderId="0" fillId="0" fontId="10" numFmtId="165" xfId="0" applyAlignment="1" applyFont="1" applyNumberFormat="1">
      <alignment horizontal="center" readingOrder="0" shrinkToFit="0" wrapText="1"/>
    </xf>
    <xf borderId="0" fillId="0" fontId="10" numFmtId="166" xfId="0" applyAlignment="1" applyFont="1" applyNumberFormat="1">
      <alignment horizontal="center" readingOrder="0" shrinkToFit="0" wrapText="1"/>
    </xf>
    <xf borderId="0" fillId="0" fontId="11" numFmtId="165" xfId="0" applyAlignment="1" applyFont="1" applyNumberFormat="1">
      <alignment horizontal="center" readingOrder="0" shrinkToFit="0" wrapText="1"/>
    </xf>
    <xf borderId="11" fillId="5" fontId="1" numFmtId="166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12" numFmtId="165" xfId="0" applyAlignment="1" applyFont="1" applyNumberFormat="1">
      <alignment vertical="bottom"/>
    </xf>
    <xf borderId="0" fillId="0" fontId="12" numFmtId="167" xfId="0" applyAlignment="1" applyFont="1" applyNumberFormat="1">
      <alignment horizontal="right" vertical="bottom"/>
    </xf>
    <xf borderId="0" fillId="0" fontId="12" numFmtId="165" xfId="0" applyAlignment="1" applyFont="1" applyNumberFormat="1">
      <alignment horizontal="right" vertical="bottom"/>
    </xf>
    <xf borderId="0" fillId="0" fontId="12" numFmtId="166" xfId="0" applyAlignment="1" applyFont="1" applyNumberFormat="1">
      <alignment horizontal="right" vertical="bottom"/>
    </xf>
    <xf borderId="12" fillId="0" fontId="13" numFmtId="165" xfId="0" applyAlignment="1" applyBorder="1" applyFont="1" applyNumberFormat="1">
      <alignment horizontal="center" shrinkToFit="0" vertical="bottom" wrapText="1"/>
    </xf>
    <xf borderId="13" fillId="0" fontId="3" numFmtId="0" xfId="0" applyBorder="1" applyFont="1"/>
    <xf borderId="14" fillId="0" fontId="3" numFmtId="0" xfId="0" applyBorder="1" applyFont="1"/>
    <xf borderId="1" fillId="6" fontId="14" numFmtId="1" xfId="0" applyAlignment="1" applyBorder="1" applyFont="1" applyNumberFormat="1">
      <alignment horizontal="center" vertical="bottom"/>
    </xf>
    <xf borderId="11" fillId="5" fontId="10" numFmtId="166" xfId="0" applyAlignment="1" applyBorder="1" applyFont="1" applyNumberFormat="1">
      <alignment horizontal="center" vertical="bottom"/>
    </xf>
    <xf borderId="15" fillId="0" fontId="13" numFmtId="165" xfId="0" applyAlignment="1" applyBorder="1" applyFont="1" applyNumberFormat="1">
      <alignment horizontal="center" shrinkToFit="0" vertical="bottom" wrapText="1"/>
    </xf>
    <xf borderId="16" fillId="0" fontId="3" numFmtId="0" xfId="0" applyBorder="1" applyFont="1"/>
    <xf borderId="17" fillId="0" fontId="3" numFmtId="0" xfId="0" applyBorder="1" applyFont="1"/>
    <xf borderId="4" fillId="6" fontId="14" numFmtId="1" xfId="0" applyAlignment="1" applyBorder="1" applyFont="1" applyNumberFormat="1">
      <alignment horizontal="center" vertical="bottom"/>
    </xf>
    <xf borderId="0" fillId="0" fontId="9" numFmtId="0" xfId="0" applyAlignment="1" applyFont="1">
      <alignment horizontal="center" readingOrder="0"/>
    </xf>
    <xf borderId="18" fillId="2" fontId="7" numFmtId="0" xfId="0" applyAlignment="1" applyBorder="1" applyFont="1">
      <alignment horizontal="center" shrinkToFit="0" vertical="bottom" wrapText="1"/>
    </xf>
    <xf borderId="19" fillId="0" fontId="3" numFmtId="0" xfId="0" applyBorder="1" applyFont="1"/>
    <xf borderId="0" fillId="2" fontId="1" numFmtId="0" xfId="0" applyAlignment="1" applyFont="1">
      <alignment vertical="bottom"/>
    </xf>
    <xf borderId="4" fillId="2" fontId="15" numFmtId="165" xfId="0" applyAlignment="1" applyBorder="1" applyFont="1" applyNumberFormat="1">
      <alignment horizontal="center" vertical="bottom"/>
    </xf>
    <xf borderId="0" fillId="0" fontId="10" numFmtId="0" xfId="0" applyAlignment="1" applyFont="1">
      <alignment horizontal="center" readingOrder="0" shrinkToFit="0" wrapText="1"/>
    </xf>
    <xf borderId="20" fillId="4" fontId="5" numFmtId="0" xfId="0" applyAlignment="1" applyBorder="1" applyFont="1">
      <alignment horizontal="center" shrinkToFit="0" vertical="bottom" wrapText="1"/>
    </xf>
    <xf borderId="21" fillId="4" fontId="5" numFmtId="0" xfId="0" applyAlignment="1" applyBorder="1" applyFont="1">
      <alignment horizontal="center" shrinkToFit="0" vertical="bottom" wrapText="1"/>
    </xf>
    <xf borderId="22" fillId="4" fontId="5" numFmtId="0" xfId="0" applyAlignment="1" applyBorder="1" applyFont="1">
      <alignment horizontal="center" shrinkToFit="0" vertical="bottom" wrapText="1"/>
    </xf>
    <xf borderId="23" fillId="4" fontId="5" numFmtId="165" xfId="0" applyAlignment="1" applyBorder="1" applyFont="1" applyNumberFormat="1">
      <alignment horizontal="center" shrinkToFit="0" vertical="bottom" wrapText="1"/>
    </xf>
    <xf borderId="24" fillId="0" fontId="16" numFmtId="0" xfId="0" applyAlignment="1" applyBorder="1" applyFont="1">
      <alignment horizontal="left" readingOrder="0" shrinkToFit="0" wrapText="0"/>
    </xf>
    <xf borderId="24" fillId="0" fontId="16" numFmtId="0" xfId="0" applyAlignment="1" applyBorder="1" applyFont="1">
      <alignment horizontal="right" readingOrder="0" shrinkToFit="0" wrapText="0"/>
    </xf>
    <xf borderId="0" fillId="0" fontId="9" numFmtId="4" xfId="0" applyFont="1" applyNumberFormat="1"/>
    <xf borderId="0" fillId="0" fontId="9" numFmtId="165" xfId="0" applyFont="1" applyNumberFormat="1"/>
    <xf borderId="0" fillId="0" fontId="1" numFmtId="165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25" fillId="6" fontId="1" numFmtId="167" xfId="0" applyAlignment="1" applyBorder="1" applyFont="1" applyNumberFormat="1">
      <alignment vertical="bottom"/>
    </xf>
    <xf borderId="26" fillId="6" fontId="1" numFmtId="167" xfId="0" applyAlignment="1" applyBorder="1" applyFont="1" applyNumberFormat="1">
      <alignment vertical="bottom"/>
    </xf>
    <xf borderId="8" fillId="6" fontId="6" numFmtId="4" xfId="0" applyAlignment="1" applyBorder="1" applyFont="1" applyNumberFormat="1">
      <alignment horizontal="center" vertical="bottom"/>
    </xf>
    <xf borderId="27" fillId="7" fontId="17" numFmtId="2" xfId="0" applyAlignment="1" applyBorder="1" applyFill="1" applyFont="1" applyNumberFormat="1">
      <alignment horizontal="center" vertical="bottom"/>
    </xf>
    <xf borderId="28" fillId="6" fontId="6" numFmtId="165" xfId="0" applyAlignment="1" applyBorder="1" applyFont="1" applyNumberFormat="1">
      <alignment horizontal="center" vertical="bottom"/>
    </xf>
    <xf borderId="24" fillId="0" fontId="16" numFmtId="0" xfId="0" applyAlignment="1" applyBorder="1" applyFont="1">
      <alignment readingOrder="0" shrinkToFit="0" wrapText="0"/>
    </xf>
    <xf borderId="24" fillId="0" fontId="16" numFmtId="166" xfId="0" applyAlignment="1" applyBorder="1" applyFont="1" applyNumberFormat="1">
      <alignment readingOrder="0" shrinkToFit="0" wrapText="0"/>
    </xf>
    <xf borderId="24" fillId="0" fontId="18" numFmtId="165" xfId="0" applyAlignment="1" applyBorder="1" applyFont="1" applyNumberFormat="1">
      <alignment horizontal="right" readingOrder="0" shrinkToFit="0" wrapText="0"/>
    </xf>
    <xf borderId="24" fillId="0" fontId="18" numFmtId="2" xfId="0" applyAlignment="1" applyBorder="1" applyFont="1" applyNumberFormat="1">
      <alignment horizontal="right" readingOrder="0" shrinkToFit="0" wrapText="0"/>
    </xf>
    <xf borderId="0" fillId="0" fontId="9" numFmtId="2" xfId="0" applyFont="1" applyNumberFormat="1"/>
    <xf borderId="29" fillId="6" fontId="6" numFmtId="165" xfId="0" applyAlignment="1" applyBorder="1" applyFont="1" applyNumberFormat="1">
      <alignment horizontal="center" vertical="bottom"/>
    </xf>
    <xf borderId="24" fillId="0" fontId="18" numFmtId="0" xfId="0" applyAlignment="1" applyBorder="1" applyFont="1">
      <alignment horizontal="right" readingOrder="0" shrinkToFit="0" wrapText="0"/>
    </xf>
    <xf borderId="30" fillId="6" fontId="6" numFmtId="165" xfId="0" applyAlignment="1" applyBorder="1" applyFont="1" applyNumberFormat="1">
      <alignment horizontal="center" vertical="bottom"/>
    </xf>
    <xf borderId="24" fillId="0" fontId="16" numFmtId="168" xfId="0" applyAlignment="1" applyBorder="1" applyFont="1" applyNumberFormat="1">
      <alignment readingOrder="0" shrinkToFit="0" wrapText="0"/>
    </xf>
    <xf borderId="8" fillId="6" fontId="1" numFmtId="4" xfId="0" applyAlignment="1" applyBorder="1" applyFont="1" applyNumberFormat="1">
      <alignment vertical="bottom"/>
    </xf>
    <xf borderId="0" fillId="0" fontId="19" numFmtId="0" xfId="0" applyAlignment="1" applyFont="1">
      <alignment readingOrder="0"/>
    </xf>
    <xf borderId="0" fillId="0" fontId="19" numFmtId="165" xfId="0" applyAlignment="1" applyFont="1" applyNumberFormat="1">
      <alignment readingOrder="0"/>
    </xf>
    <xf borderId="11" fillId="5" fontId="1" numFmtId="166" xfId="0" applyAlignment="1" applyBorder="1" applyFont="1" applyNumberFormat="1">
      <alignment vertical="bottom"/>
    </xf>
    <xf borderId="0" fillId="0" fontId="1" numFmtId="168" xfId="0" applyAlignment="1" applyFont="1" applyNumberFormat="1">
      <alignment vertical="bottom"/>
    </xf>
    <xf borderId="0" fillId="0" fontId="16" numFmtId="0" xfId="0" applyAlignment="1" applyFont="1">
      <alignment readingOrder="0" shrinkToFit="0" wrapText="0"/>
    </xf>
    <xf borderId="0" fillId="0" fontId="16" numFmtId="166" xfId="0" applyAlignment="1" applyFont="1" applyNumberFormat="1">
      <alignment readingOrder="0" shrinkToFit="0" wrapText="0"/>
    </xf>
    <xf borderId="0" fillId="0" fontId="18" numFmtId="165" xfId="0" applyAlignment="1" applyFont="1" applyNumberFormat="1">
      <alignment horizontal="right" readingOrder="0" shrinkToFit="0" wrapText="0"/>
    </xf>
    <xf borderId="0" fillId="0" fontId="18" numFmtId="0" xfId="0" applyAlignment="1" applyFont="1">
      <alignment horizontal="right" readingOrder="0" shrinkToFit="0" wrapText="0"/>
    </xf>
    <xf borderId="0" fillId="0" fontId="10" numFmtId="168" xfId="0" applyAlignment="1" applyFont="1" applyNumberFormat="1">
      <alignment horizontal="center" readingOrder="0" shrinkToFit="0" wrapText="1"/>
    </xf>
    <xf borderId="0" fillId="0" fontId="11" numFmtId="165" xfId="0" applyAlignment="1" applyFont="1" applyNumberFormat="1">
      <alignment horizontal="center" readingOrder="0" shrinkToFit="0" wrapText="1"/>
    </xf>
    <xf borderId="0" fillId="8" fontId="10" numFmtId="0" xfId="0" applyAlignment="1" applyFill="1" applyFont="1">
      <alignment horizontal="center" readingOrder="0" shrinkToFit="0" wrapText="1"/>
    </xf>
    <xf borderId="0" fillId="8" fontId="10" numFmtId="166" xfId="0" applyAlignment="1" applyFont="1" applyNumberFormat="1">
      <alignment horizontal="center" readingOrder="0" shrinkToFit="0" wrapText="1"/>
    </xf>
    <xf borderId="0" fillId="8" fontId="11" numFmtId="165" xfId="0" applyAlignment="1" applyFont="1" applyNumberFormat="1">
      <alignment horizontal="center" readingOrder="0" shrinkToFit="0" wrapText="1"/>
    </xf>
    <xf borderId="8" fillId="6" fontId="1" numFmtId="165" xfId="0" applyAlignment="1" applyBorder="1" applyFont="1" applyNumberFormat="1">
      <alignment vertical="bottom"/>
    </xf>
    <xf borderId="0" fillId="0" fontId="12" numFmtId="0" xfId="0" applyAlignment="1" applyFont="1">
      <alignment vertical="bottom"/>
    </xf>
    <xf borderId="0" fillId="0" fontId="10" numFmtId="169" xfId="0" applyAlignment="1" applyFont="1" applyNumberFormat="1">
      <alignment horizontal="center" readingOrder="0" shrinkToFit="0" wrapText="1"/>
    </xf>
    <xf borderId="0" fillId="0" fontId="9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18" t="s">
        <v>9</v>
      </c>
      <c r="C4" s="19">
        <v>46023.0</v>
      </c>
      <c r="D4" s="20">
        <f>278.8+330.57</f>
        <v>609.37</v>
      </c>
      <c r="E4" s="21">
        <f>IF(B4&lt;&gt;"BAJA",TODAY(),"")</f>
        <v>46111</v>
      </c>
      <c r="F4" s="22"/>
      <c r="G4" s="23" t="str">
        <f>IFERROR(__xludf.DUMMYFUNCTION("filter(B4:E1001,B4:B1001&lt;&gt;"""",B4:B1001&lt;&gt;""BAJA"")"),"REINGRESO")</f>
        <v>REINGRESO</v>
      </c>
      <c r="H4" s="24">
        <f>IFERROR(__xludf.DUMMYFUNCTION("""COMPUTED_VALUE"""),46023.0)</f>
        <v>46023</v>
      </c>
      <c r="I4" s="25">
        <f>IFERROR(__xludf.DUMMYFUNCTION("""COMPUTED_VALUE"""),609.37)</f>
        <v>609.37</v>
      </c>
      <c r="J4" s="26">
        <f>IFERROR(__xludf.DUMMYFUNCTION("""COMPUTED_VALUE"""),46111.0)</f>
        <v>46111</v>
      </c>
      <c r="K4" s="1"/>
      <c r="L4" s="27" t="s">
        <v>10</v>
      </c>
      <c r="M4" s="28"/>
      <c r="N4" s="28"/>
      <c r="O4" s="28"/>
      <c r="P4" s="29"/>
      <c r="Q4" s="30" t="str">
        <f>SUM(O8:O320)</f>
        <v>#NUM!</v>
      </c>
      <c r="R4" s="1"/>
    </row>
    <row r="5">
      <c r="A5" s="1"/>
      <c r="B5" s="18" t="s">
        <v>9</v>
      </c>
      <c r="C5" s="19">
        <v>45992.0</v>
      </c>
      <c r="D5" s="20">
        <f>278.8+302.18</f>
        <v>580.98</v>
      </c>
      <c r="E5" s="31">
        <f t="shared" ref="E5:E66" si="1">C4</f>
        <v>46023</v>
      </c>
      <c r="F5" s="22"/>
      <c r="G5" s="23" t="str">
        <f>IFERROR(__xludf.DUMMYFUNCTION("""COMPUTED_VALUE"""),"REINGRESO")</f>
        <v>REINGRESO</v>
      </c>
      <c r="H5" s="24">
        <f>IFERROR(__xludf.DUMMYFUNCTION("""COMPUTED_VALUE"""),45992.0)</f>
        <v>45992</v>
      </c>
      <c r="I5" s="25">
        <f>IFERROR(__xludf.DUMMYFUNCTION("""COMPUTED_VALUE"""),580.98)</f>
        <v>580.98</v>
      </c>
      <c r="J5" s="26">
        <f>IFERROR(__xludf.DUMMYFUNCTION("""COMPUTED_VALUE"""),46023.0)</f>
        <v>46023</v>
      </c>
      <c r="K5" s="1"/>
      <c r="L5" s="32" t="s">
        <v>11</v>
      </c>
      <c r="M5" s="33"/>
      <c r="N5" s="33"/>
      <c r="O5" s="33"/>
      <c r="P5" s="34"/>
      <c r="Q5" s="35">
        <v>250.0</v>
      </c>
      <c r="R5" s="1"/>
      <c r="U5" s="36"/>
      <c r="AD5" s="36"/>
    </row>
    <row r="6">
      <c r="A6" s="1"/>
      <c r="B6" s="18" t="s">
        <v>9</v>
      </c>
      <c r="C6" s="19">
        <v>45962.0</v>
      </c>
      <c r="D6" s="20">
        <v>278.8</v>
      </c>
      <c r="E6" s="31">
        <f t="shared" si="1"/>
        <v>45992</v>
      </c>
      <c r="F6" s="22"/>
      <c r="G6" s="23" t="str">
        <f>IFERROR(__xludf.DUMMYFUNCTION("""COMPUTED_VALUE"""),"REINGRESO")</f>
        <v>REINGRESO</v>
      </c>
      <c r="H6" s="24">
        <f>IFERROR(__xludf.DUMMYFUNCTION("""COMPUTED_VALUE"""),45962.0)</f>
        <v>45962</v>
      </c>
      <c r="I6" s="25">
        <f>IFERROR(__xludf.DUMMYFUNCTION("""COMPUTED_VALUE"""),278.8)</f>
        <v>278.8</v>
      </c>
      <c r="J6" s="26">
        <f>IFERROR(__xludf.DUMMYFUNCTION("""COMPUTED_VALUE"""),45992.0)</f>
        <v>45992</v>
      </c>
      <c r="K6" s="1"/>
      <c r="L6" s="37" t="s">
        <v>12</v>
      </c>
      <c r="M6" s="38"/>
      <c r="N6" s="38"/>
      <c r="O6" s="39"/>
      <c r="P6" s="39"/>
      <c r="Q6" s="40" t="str">
        <f>SUM(Q8:Q151)/250</f>
        <v>#REF!</v>
      </c>
      <c r="R6" s="40" t="str">
        <f>Q6*30.4</f>
        <v>#REF!</v>
      </c>
      <c r="AA6" s="36"/>
      <c r="AJ6" s="36"/>
    </row>
    <row r="7">
      <c r="A7" s="41"/>
      <c r="B7" s="18" t="s">
        <v>9</v>
      </c>
      <c r="C7" s="19">
        <v>45931.0</v>
      </c>
      <c r="D7" s="20">
        <f>278.8+293.68</f>
        <v>572.48</v>
      </c>
      <c r="E7" s="31">
        <f t="shared" si="1"/>
        <v>45962</v>
      </c>
      <c r="F7" s="22"/>
      <c r="G7" s="23" t="str">
        <f>IFERROR(__xludf.DUMMYFUNCTION("""COMPUTED_VALUE"""),"REINGRESO")</f>
        <v>REINGRESO</v>
      </c>
      <c r="H7" s="26">
        <f>IFERROR(__xludf.DUMMYFUNCTION("""COMPUTED_VALUE"""),45931.0)</f>
        <v>45931</v>
      </c>
      <c r="I7" s="25">
        <f>IFERROR(__xludf.DUMMYFUNCTION("""COMPUTED_VALUE"""),572.48)</f>
        <v>572.48</v>
      </c>
      <c r="J7" s="26">
        <f>IFERROR(__xludf.DUMMYFUNCTION("""COMPUTED_VALUE"""),45962.0)</f>
        <v>45962</v>
      </c>
      <c r="K7" s="1"/>
      <c r="L7" s="42" t="s">
        <v>4</v>
      </c>
      <c r="M7" s="43" t="s">
        <v>6</v>
      </c>
      <c r="N7" s="44" t="s">
        <v>5</v>
      </c>
      <c r="O7" s="42" t="s">
        <v>13</v>
      </c>
      <c r="P7" s="42" t="s">
        <v>14</v>
      </c>
      <c r="Q7" s="45" t="s">
        <v>15</v>
      </c>
      <c r="R7" s="1"/>
      <c r="S7" s="46" t="s">
        <v>16</v>
      </c>
      <c r="T7" s="46" t="s">
        <v>17</v>
      </c>
      <c r="U7" s="46" t="s">
        <v>18</v>
      </c>
      <c r="V7" s="47" t="s">
        <v>19</v>
      </c>
      <c r="W7" s="47" t="s">
        <v>20</v>
      </c>
      <c r="X7" s="47" t="s">
        <v>21</v>
      </c>
      <c r="Y7" s="47" t="s">
        <v>22</v>
      </c>
      <c r="AA7" s="48"/>
      <c r="AB7" s="48"/>
      <c r="AC7" s="48"/>
      <c r="AK7" s="49"/>
      <c r="AL7" s="49"/>
    </row>
    <row r="8">
      <c r="A8" s="41"/>
      <c r="B8" s="18" t="s">
        <v>9</v>
      </c>
      <c r="C8" s="19">
        <v>45901.0</v>
      </c>
      <c r="D8" s="20">
        <v>278.8</v>
      </c>
      <c r="E8" s="31">
        <f t="shared" si="1"/>
        <v>45931</v>
      </c>
      <c r="F8" s="22"/>
      <c r="G8" s="50" t="str">
        <f>IFERROR(__xludf.DUMMYFUNCTION("""COMPUTED_VALUE"""),"REINGRESO")</f>
        <v>REINGRESO</v>
      </c>
      <c r="H8" s="51">
        <f>IFERROR(__xludf.DUMMYFUNCTION("""COMPUTED_VALUE"""),45901.0)</f>
        <v>45901</v>
      </c>
      <c r="I8" s="52">
        <f>IFERROR(__xludf.DUMMYFUNCTION("""COMPUTED_VALUE"""),278.8)</f>
        <v>278.8</v>
      </c>
      <c r="J8" s="51">
        <f>IFERROR(__xludf.DUMMYFUNCTION("""COMPUTED_VALUE"""),45931.0)</f>
        <v>45931</v>
      </c>
      <c r="K8" s="1"/>
      <c r="L8" s="53">
        <f t="shared" ref="L8:L320" si="3">H4</f>
        <v>46023</v>
      </c>
      <c r="M8" s="54">
        <f t="shared" ref="M8:M320" si="4">J4</f>
        <v>46111</v>
      </c>
      <c r="N8" s="55">
        <f>VALUE(I4)</f>
        <v>609.37</v>
      </c>
      <c r="O8" s="56">
        <f>DATEDIF(H4-1,J4,"d")/7</f>
        <v>12.71428571</v>
      </c>
      <c r="P8" s="56">
        <f>IF((M8-(L8-1))/7&gt;250,250,(M8-(L8-1))/7)</f>
        <v>12.71428571</v>
      </c>
      <c r="Q8" s="57">
        <f t="shared" ref="Q8:Q320" si="5">IF(P8&gt;0,P8*N8,0)</f>
        <v>7747.704286</v>
      </c>
      <c r="R8" s="1"/>
      <c r="S8" s="58"/>
      <c r="T8" s="59"/>
      <c r="U8" s="59"/>
      <c r="V8" s="60"/>
      <c r="W8" s="61"/>
      <c r="X8" s="61"/>
      <c r="Y8" s="61"/>
      <c r="Z8" s="62"/>
      <c r="AA8" s="62">
        <f t="shared" ref="AA8:AB8" si="2">L8-T8</f>
        <v>46023</v>
      </c>
      <c r="AB8" s="62">
        <f t="shared" si="2"/>
        <v>46111</v>
      </c>
      <c r="AC8" s="62"/>
      <c r="AD8" s="62"/>
      <c r="AE8" s="62"/>
      <c r="AF8" s="62"/>
      <c r="AG8" s="62"/>
      <c r="AH8" s="62"/>
      <c r="AI8" s="62"/>
      <c r="AJ8" s="62"/>
      <c r="AK8" s="49"/>
      <c r="AL8" s="49"/>
      <c r="AM8" s="62"/>
      <c r="AN8" s="62"/>
    </row>
    <row r="9">
      <c r="A9" s="41"/>
      <c r="B9" s="18" t="s">
        <v>9</v>
      </c>
      <c r="C9" s="19">
        <v>45870.0</v>
      </c>
      <c r="D9" s="20">
        <v>278.8</v>
      </c>
      <c r="E9" s="31">
        <f t="shared" si="1"/>
        <v>45901</v>
      </c>
      <c r="F9" s="22"/>
      <c r="G9" s="50" t="str">
        <f>IFERROR(__xludf.DUMMYFUNCTION("""COMPUTED_VALUE"""),"REINGRESO")</f>
        <v>REINGRESO</v>
      </c>
      <c r="H9" s="51">
        <f>IFERROR(__xludf.DUMMYFUNCTION("""COMPUTED_VALUE"""),45870.0)</f>
        <v>45870</v>
      </c>
      <c r="I9" s="52">
        <f>IFERROR(__xludf.DUMMYFUNCTION("""COMPUTED_VALUE"""),278.8)</f>
        <v>278.8</v>
      </c>
      <c r="J9" s="51">
        <f>IFERROR(__xludf.DUMMYFUNCTION("""COMPUTED_VALUE"""),45901.0)</f>
        <v>45901</v>
      </c>
      <c r="K9" s="1"/>
      <c r="L9" s="53">
        <f t="shared" si="3"/>
        <v>45992</v>
      </c>
      <c r="M9" s="54">
        <f t="shared" si="4"/>
        <v>46023</v>
      </c>
      <c r="N9" s="55">
        <f t="shared" ref="N9:N320" si="7">I5</f>
        <v>580.98</v>
      </c>
      <c r="O9" s="56">
        <f t="shared" ref="O9:O320" si="8">IF(H5="",0,DATEDIF(H5,J5,"d")/7)</f>
        <v>4.428571429</v>
      </c>
      <c r="P9" s="56">
        <f t="shared" ref="P9:P320" si="9">IF((M9-L9)/7+SUM($P$8:P8)&gt;250,(250-SUM($P$8:P8)),(M9-L9)/7)</f>
        <v>4.428571429</v>
      </c>
      <c r="Q9" s="63">
        <f t="shared" si="5"/>
        <v>2572.911429</v>
      </c>
      <c r="R9" s="1"/>
      <c r="S9" s="58"/>
      <c r="T9" s="59"/>
      <c r="U9" s="59"/>
      <c r="V9" s="60"/>
      <c r="W9" s="64"/>
      <c r="X9" s="64"/>
      <c r="Y9" s="60"/>
      <c r="AA9" s="62">
        <f t="shared" ref="AA9:AB9" si="6">L9-T9</f>
        <v>45992</v>
      </c>
      <c r="AB9" s="62">
        <f t="shared" si="6"/>
        <v>46023</v>
      </c>
      <c r="AK9" s="49"/>
      <c r="AL9" s="49"/>
    </row>
    <row r="10">
      <c r="A10" s="41"/>
      <c r="B10" s="18" t="s">
        <v>9</v>
      </c>
      <c r="C10" s="19">
        <v>45839.0</v>
      </c>
      <c r="D10" s="20">
        <v>278.8</v>
      </c>
      <c r="E10" s="31">
        <f t="shared" si="1"/>
        <v>45870</v>
      </c>
      <c r="F10" s="22"/>
      <c r="G10" s="50" t="str">
        <f>IFERROR(__xludf.DUMMYFUNCTION("""COMPUTED_VALUE"""),"REINGRESO")</f>
        <v>REINGRESO</v>
      </c>
      <c r="H10" s="51">
        <f>IFERROR(__xludf.DUMMYFUNCTION("""COMPUTED_VALUE"""),45839.0)</f>
        <v>45839</v>
      </c>
      <c r="I10" s="52">
        <f>IFERROR(__xludf.DUMMYFUNCTION("""COMPUTED_VALUE"""),278.8)</f>
        <v>278.8</v>
      </c>
      <c r="J10" s="51">
        <f>IFERROR(__xludf.DUMMYFUNCTION("""COMPUTED_VALUE"""),45870.0)</f>
        <v>45870</v>
      </c>
      <c r="K10" s="1"/>
      <c r="L10" s="53">
        <f t="shared" si="3"/>
        <v>45962</v>
      </c>
      <c r="M10" s="54">
        <f t="shared" si="4"/>
        <v>45992</v>
      </c>
      <c r="N10" s="55">
        <f t="shared" si="7"/>
        <v>278.8</v>
      </c>
      <c r="O10" s="56">
        <f t="shared" si="8"/>
        <v>4.285714286</v>
      </c>
      <c r="P10" s="56">
        <f t="shared" si="9"/>
        <v>4.285714286</v>
      </c>
      <c r="Q10" s="65">
        <f t="shared" si="5"/>
        <v>1194.857143</v>
      </c>
      <c r="R10" s="1"/>
      <c r="S10" s="58"/>
      <c r="T10" s="59"/>
      <c r="U10" s="59"/>
      <c r="V10" s="60"/>
      <c r="W10" s="64"/>
      <c r="X10" s="64"/>
      <c r="Y10" s="60"/>
      <c r="AA10" s="62">
        <f t="shared" ref="AA10:AB10" si="10">L10-T10</f>
        <v>45962</v>
      </c>
      <c r="AB10" s="62">
        <f t="shared" si="10"/>
        <v>45992</v>
      </c>
      <c r="AK10" s="49"/>
      <c r="AL10" s="49"/>
    </row>
    <row r="11">
      <c r="A11" s="41"/>
      <c r="B11" s="18" t="s">
        <v>9</v>
      </c>
      <c r="C11" s="19">
        <v>45809.0</v>
      </c>
      <c r="D11" s="20">
        <v>278.8</v>
      </c>
      <c r="E11" s="31">
        <f t="shared" si="1"/>
        <v>45839</v>
      </c>
      <c r="F11" s="22"/>
      <c r="G11" s="50" t="str">
        <f>IFERROR(__xludf.DUMMYFUNCTION("""COMPUTED_VALUE"""),"REINGRESO")</f>
        <v>REINGRESO</v>
      </c>
      <c r="H11" s="51">
        <f>IFERROR(__xludf.DUMMYFUNCTION("""COMPUTED_VALUE"""),45809.0)</f>
        <v>45809</v>
      </c>
      <c r="I11" s="52">
        <f>IFERROR(__xludf.DUMMYFUNCTION("""COMPUTED_VALUE"""),278.8)</f>
        <v>278.8</v>
      </c>
      <c r="J11" s="51">
        <f>IFERROR(__xludf.DUMMYFUNCTION("""COMPUTED_VALUE"""),45839.0)</f>
        <v>45839</v>
      </c>
      <c r="K11" s="1"/>
      <c r="L11" s="53">
        <f t="shared" si="3"/>
        <v>45931</v>
      </c>
      <c r="M11" s="54">
        <f t="shared" si="4"/>
        <v>45962</v>
      </c>
      <c r="N11" s="55">
        <f t="shared" si="7"/>
        <v>572.48</v>
      </c>
      <c r="O11" s="56">
        <f t="shared" si="8"/>
        <v>4.428571429</v>
      </c>
      <c r="P11" s="56">
        <f t="shared" si="9"/>
        <v>4.428571429</v>
      </c>
      <c r="Q11" s="65">
        <f t="shared" si="5"/>
        <v>2535.268571</v>
      </c>
      <c r="R11" s="1"/>
      <c r="S11" s="58"/>
      <c r="T11" s="66"/>
      <c r="U11" s="59"/>
      <c r="V11" s="60"/>
      <c r="W11" s="64"/>
      <c r="X11" s="64"/>
      <c r="Y11" s="60"/>
      <c r="AA11" s="62">
        <f t="shared" ref="AA11:AB11" si="11">L11-T11</f>
        <v>45931</v>
      </c>
      <c r="AB11" s="62">
        <f t="shared" si="11"/>
        <v>45962</v>
      </c>
      <c r="AK11" s="49"/>
      <c r="AL11" s="49"/>
    </row>
    <row r="12">
      <c r="A12" s="41"/>
      <c r="B12" s="18" t="s">
        <v>9</v>
      </c>
      <c r="C12" s="19">
        <v>45778.0</v>
      </c>
      <c r="D12" s="20">
        <v>278.8</v>
      </c>
      <c r="E12" s="31">
        <f t="shared" si="1"/>
        <v>45809</v>
      </c>
      <c r="F12" s="22"/>
      <c r="G12" s="50" t="str">
        <f>IFERROR(__xludf.DUMMYFUNCTION("""COMPUTED_VALUE"""),"REINGRESO")</f>
        <v>REINGRESO</v>
      </c>
      <c r="H12" s="51">
        <f>IFERROR(__xludf.DUMMYFUNCTION("""COMPUTED_VALUE"""),45778.0)</f>
        <v>45778</v>
      </c>
      <c r="I12" s="52">
        <f>IFERROR(__xludf.DUMMYFUNCTION("""COMPUTED_VALUE"""),278.8)</f>
        <v>278.8</v>
      </c>
      <c r="J12" s="51">
        <f>IFERROR(__xludf.DUMMYFUNCTION("""COMPUTED_VALUE"""),45809.0)</f>
        <v>45809</v>
      </c>
      <c r="K12" s="1"/>
      <c r="L12" s="53">
        <f t="shared" si="3"/>
        <v>45901</v>
      </c>
      <c r="M12" s="54">
        <f t="shared" si="4"/>
        <v>45931</v>
      </c>
      <c r="N12" s="67">
        <f t="shared" si="7"/>
        <v>278.8</v>
      </c>
      <c r="O12" s="56">
        <f t="shared" si="8"/>
        <v>4.285714286</v>
      </c>
      <c r="P12" s="56">
        <f t="shared" si="9"/>
        <v>4.285714286</v>
      </c>
      <c r="Q12" s="65">
        <f t="shared" si="5"/>
        <v>1194.857143</v>
      </c>
      <c r="R12" s="1"/>
      <c r="S12" s="58"/>
      <c r="T12" s="66"/>
      <c r="U12" s="66"/>
      <c r="V12" s="60"/>
      <c r="W12" s="64"/>
      <c r="X12" s="64"/>
      <c r="Y12" s="60"/>
      <c r="AA12" s="62">
        <f t="shared" ref="AA12:AB12" si="12">L12-T12</f>
        <v>45901</v>
      </c>
      <c r="AB12" s="62">
        <f t="shared" si="12"/>
        <v>45931</v>
      </c>
      <c r="AK12" s="49"/>
      <c r="AL12" s="49"/>
    </row>
    <row r="13">
      <c r="A13" s="41"/>
      <c r="B13" s="18" t="s">
        <v>9</v>
      </c>
      <c r="C13" s="19">
        <v>45748.0</v>
      </c>
      <c r="D13" s="20">
        <v>278.8</v>
      </c>
      <c r="E13" s="31">
        <f t="shared" si="1"/>
        <v>45778</v>
      </c>
      <c r="F13" s="22"/>
      <c r="G13" s="50" t="str">
        <f>IFERROR(__xludf.DUMMYFUNCTION("""COMPUTED_VALUE"""),"REINGRESO")</f>
        <v>REINGRESO</v>
      </c>
      <c r="H13" s="51">
        <f>IFERROR(__xludf.DUMMYFUNCTION("""COMPUTED_VALUE"""),45748.0)</f>
        <v>45748</v>
      </c>
      <c r="I13" s="52">
        <f>IFERROR(__xludf.DUMMYFUNCTION("""COMPUTED_VALUE"""),278.8)</f>
        <v>278.8</v>
      </c>
      <c r="J13" s="51">
        <f>IFERROR(__xludf.DUMMYFUNCTION("""COMPUTED_VALUE"""),45778.0)</f>
        <v>45778</v>
      </c>
      <c r="K13" s="1"/>
      <c r="L13" s="53">
        <f t="shared" si="3"/>
        <v>45870</v>
      </c>
      <c r="M13" s="54">
        <f t="shared" si="4"/>
        <v>45901</v>
      </c>
      <c r="N13" s="67">
        <f t="shared" si="7"/>
        <v>278.8</v>
      </c>
      <c r="O13" s="56">
        <f t="shared" si="8"/>
        <v>4.428571429</v>
      </c>
      <c r="P13" s="56">
        <f t="shared" si="9"/>
        <v>4.428571429</v>
      </c>
      <c r="Q13" s="65">
        <f t="shared" si="5"/>
        <v>1234.685714</v>
      </c>
      <c r="R13" s="1"/>
      <c r="S13" s="58"/>
      <c r="T13" s="59"/>
      <c r="U13" s="66"/>
      <c r="V13" s="60"/>
      <c r="W13" s="64"/>
      <c r="X13" s="64"/>
      <c r="Y13" s="60"/>
      <c r="Z13" s="68"/>
      <c r="AA13" s="62">
        <f t="shared" ref="AA13:AB13" si="13">L13-T13</f>
        <v>45870</v>
      </c>
      <c r="AB13" s="62">
        <f t="shared" si="13"/>
        <v>45901</v>
      </c>
      <c r="AC13" s="68"/>
      <c r="AD13" s="68"/>
      <c r="AE13" s="68"/>
      <c r="AF13" s="68"/>
      <c r="AG13" s="68"/>
      <c r="AH13" s="68"/>
      <c r="AI13" s="68"/>
      <c r="AK13" s="49"/>
      <c r="AL13" s="49"/>
      <c r="AM13" s="68"/>
      <c r="AN13" s="68"/>
    </row>
    <row r="14">
      <c r="A14" s="41"/>
      <c r="B14" s="18" t="s">
        <v>23</v>
      </c>
      <c r="C14" s="19">
        <v>45747.0</v>
      </c>
      <c r="D14" s="20">
        <v>278.8</v>
      </c>
      <c r="E14" s="31">
        <f t="shared" si="1"/>
        <v>45748</v>
      </c>
      <c r="F14" s="22"/>
      <c r="G14" s="50" t="str">
        <f>IFERROR(__xludf.DUMMYFUNCTION("""COMPUTED_VALUE"""),"REINGRESO")</f>
        <v>REINGRESO</v>
      </c>
      <c r="H14" s="51">
        <f>IFERROR(__xludf.DUMMYFUNCTION("""COMPUTED_VALUE"""),45717.0)</f>
        <v>45717</v>
      </c>
      <c r="I14" s="52">
        <f>IFERROR(__xludf.DUMMYFUNCTION("""COMPUTED_VALUE"""),278.8)</f>
        <v>278.8</v>
      </c>
      <c r="J14" s="51">
        <f>IFERROR(__xludf.DUMMYFUNCTION("""COMPUTED_VALUE"""),45747.0)</f>
        <v>45747</v>
      </c>
      <c r="K14" s="1"/>
      <c r="L14" s="53">
        <f t="shared" si="3"/>
        <v>45839</v>
      </c>
      <c r="M14" s="54">
        <f t="shared" si="4"/>
        <v>45870</v>
      </c>
      <c r="N14" s="67">
        <f t="shared" si="7"/>
        <v>278.8</v>
      </c>
      <c r="O14" s="56">
        <f t="shared" si="8"/>
        <v>4.428571429</v>
      </c>
      <c r="P14" s="56">
        <f t="shared" si="9"/>
        <v>4.428571429</v>
      </c>
      <c r="Q14" s="65">
        <f t="shared" si="5"/>
        <v>1234.685714</v>
      </c>
      <c r="R14" s="1"/>
      <c r="S14" s="58"/>
      <c r="T14" s="59"/>
      <c r="U14" s="59"/>
      <c r="V14" s="60"/>
      <c r="W14" s="64"/>
      <c r="X14" s="64"/>
      <c r="Y14" s="60"/>
      <c r="Z14" s="68"/>
      <c r="AA14" s="62">
        <f t="shared" ref="AA14:AB14" si="14">L14-T14</f>
        <v>45839</v>
      </c>
      <c r="AB14" s="62">
        <f t="shared" si="14"/>
        <v>45870</v>
      </c>
      <c r="AC14" s="68"/>
      <c r="AD14" s="68"/>
      <c r="AE14" s="68"/>
      <c r="AF14" s="68"/>
      <c r="AG14" s="68"/>
      <c r="AH14" s="68"/>
      <c r="AI14" s="68"/>
      <c r="AK14" s="49"/>
      <c r="AL14" s="49"/>
      <c r="AM14" s="68"/>
      <c r="AN14" s="68"/>
    </row>
    <row r="15">
      <c r="A15" s="41"/>
      <c r="B15" s="18" t="s">
        <v>9</v>
      </c>
      <c r="C15" s="19">
        <v>45717.0</v>
      </c>
      <c r="D15" s="20">
        <v>278.8</v>
      </c>
      <c r="E15" s="31">
        <f t="shared" si="1"/>
        <v>45747</v>
      </c>
      <c r="F15" s="22"/>
      <c r="G15" s="50" t="str">
        <f>IFERROR(__xludf.DUMMYFUNCTION("""COMPUTED_VALUE"""),"REINGRESO")</f>
        <v>REINGRESO</v>
      </c>
      <c r="H15" s="51">
        <f>IFERROR(__xludf.DUMMYFUNCTION("""COMPUTED_VALUE"""),45658.0)</f>
        <v>45658</v>
      </c>
      <c r="I15" s="52">
        <f>IFERROR(__xludf.DUMMYFUNCTION("""COMPUTED_VALUE"""),248.93)</f>
        <v>248.93</v>
      </c>
      <c r="J15" s="51">
        <f>IFERROR(__xludf.DUMMYFUNCTION("""COMPUTED_VALUE"""),45688.0)</f>
        <v>45688</v>
      </c>
      <c r="K15" s="1"/>
      <c r="L15" s="53">
        <f t="shared" si="3"/>
        <v>45809</v>
      </c>
      <c r="M15" s="54">
        <f t="shared" si="4"/>
        <v>45839</v>
      </c>
      <c r="N15" s="67">
        <f t="shared" si="7"/>
        <v>278.8</v>
      </c>
      <c r="O15" s="56">
        <f t="shared" si="8"/>
        <v>4.285714286</v>
      </c>
      <c r="P15" s="56">
        <f t="shared" si="9"/>
        <v>4.285714286</v>
      </c>
      <c r="Q15" s="65">
        <f t="shared" si="5"/>
        <v>1194.857143</v>
      </c>
      <c r="R15" s="1"/>
      <c r="S15" s="58"/>
      <c r="T15" s="59"/>
      <c r="U15" s="59"/>
      <c r="V15" s="60"/>
      <c r="W15" s="64"/>
      <c r="X15" s="64"/>
      <c r="Y15" s="60"/>
      <c r="Z15" s="68"/>
      <c r="AA15" s="62">
        <f t="shared" ref="AA15:AB15" si="15">L15-T15</f>
        <v>45809</v>
      </c>
      <c r="AB15" s="62">
        <f t="shared" si="15"/>
        <v>45839</v>
      </c>
      <c r="AC15" s="68"/>
      <c r="AD15" s="68"/>
      <c r="AE15" s="68"/>
      <c r="AF15" s="68"/>
      <c r="AG15" s="68"/>
      <c r="AH15" s="68"/>
      <c r="AI15" s="68"/>
      <c r="AJ15" s="68"/>
      <c r="AK15" s="69"/>
      <c r="AL15" s="49"/>
      <c r="AM15" s="68"/>
      <c r="AN15" s="68"/>
    </row>
    <row r="16">
      <c r="A16" s="41"/>
      <c r="B16" s="18" t="s">
        <v>23</v>
      </c>
      <c r="C16" s="19">
        <v>45688.0</v>
      </c>
      <c r="D16" s="20">
        <v>248.93</v>
      </c>
      <c r="E16" s="31">
        <f t="shared" si="1"/>
        <v>45717</v>
      </c>
      <c r="F16" s="22"/>
      <c r="G16" s="50" t="str">
        <f>IFERROR(__xludf.DUMMYFUNCTION("""COMPUTED_VALUE"""),"REINGRESO")</f>
        <v>REINGRESO</v>
      </c>
      <c r="H16" s="51">
        <f>IFERROR(__xludf.DUMMYFUNCTION("""COMPUTED_VALUE"""),43257.0)</f>
        <v>43257</v>
      </c>
      <c r="I16" s="52">
        <f>IFERROR(__xludf.DUMMYFUNCTION("""COMPUTED_VALUE"""),122.92)</f>
        <v>122.92</v>
      </c>
      <c r="J16" s="51">
        <f>IFERROR(__xludf.DUMMYFUNCTION("""COMPUTED_VALUE"""),43314.0)</f>
        <v>43314</v>
      </c>
      <c r="K16" s="1"/>
      <c r="L16" s="53">
        <f t="shared" si="3"/>
        <v>45778</v>
      </c>
      <c r="M16" s="54">
        <f t="shared" si="4"/>
        <v>45809</v>
      </c>
      <c r="N16" s="67">
        <f t="shared" si="7"/>
        <v>278.8</v>
      </c>
      <c r="O16" s="56">
        <f t="shared" si="8"/>
        <v>4.428571429</v>
      </c>
      <c r="P16" s="56">
        <f t="shared" si="9"/>
        <v>4.428571429</v>
      </c>
      <c r="Q16" s="65">
        <f t="shared" si="5"/>
        <v>1234.685714</v>
      </c>
      <c r="R16" s="1"/>
      <c r="S16" s="58"/>
      <c r="T16" s="59"/>
      <c r="U16" s="59"/>
      <c r="V16" s="60"/>
      <c r="W16" s="64"/>
      <c r="X16" s="64"/>
      <c r="Y16" s="60"/>
      <c r="Z16" s="68"/>
      <c r="AA16" s="62">
        <f t="shared" ref="AA16:AB16" si="16">L16-T16</f>
        <v>45778</v>
      </c>
      <c r="AB16" s="62">
        <f t="shared" si="16"/>
        <v>45809</v>
      </c>
      <c r="AC16" s="68"/>
      <c r="AD16" s="68"/>
      <c r="AE16" s="68"/>
      <c r="AF16" s="68"/>
      <c r="AG16" s="68"/>
      <c r="AH16" s="68"/>
      <c r="AI16" s="68"/>
      <c r="AJ16" s="68"/>
      <c r="AK16" s="69"/>
      <c r="AL16" s="49"/>
      <c r="AM16" s="68"/>
      <c r="AN16" s="68"/>
    </row>
    <row r="17">
      <c r="A17" s="41"/>
      <c r="B17" s="18" t="s">
        <v>9</v>
      </c>
      <c r="C17" s="19">
        <v>45658.0</v>
      </c>
      <c r="D17" s="20">
        <v>248.93</v>
      </c>
      <c r="E17" s="31">
        <f t="shared" si="1"/>
        <v>45688</v>
      </c>
      <c r="F17" s="22"/>
      <c r="G17" s="50" t="str">
        <f>IFERROR(__xludf.DUMMYFUNCTION("""COMPUTED_VALUE"""),"REINGRESO")</f>
        <v>REINGRESO</v>
      </c>
      <c r="H17" s="51">
        <f>IFERROR(__xludf.DUMMYFUNCTION("""COMPUTED_VALUE"""),43234.0)</f>
        <v>43234</v>
      </c>
      <c r="I17" s="52">
        <f>IFERROR(__xludf.DUMMYFUNCTION("""COMPUTED_VALUE"""),122.92)</f>
        <v>122.92</v>
      </c>
      <c r="J17" s="51">
        <f>IFERROR(__xludf.DUMMYFUNCTION("""COMPUTED_VALUE"""),43256.0)</f>
        <v>43256</v>
      </c>
      <c r="K17" s="1"/>
      <c r="L17" s="53">
        <f t="shared" si="3"/>
        <v>45748</v>
      </c>
      <c r="M17" s="54">
        <f t="shared" si="4"/>
        <v>45778</v>
      </c>
      <c r="N17" s="67">
        <f t="shared" si="7"/>
        <v>278.8</v>
      </c>
      <c r="O17" s="56">
        <f t="shared" si="8"/>
        <v>4.285714286</v>
      </c>
      <c r="P17" s="56">
        <f t="shared" si="9"/>
        <v>4.285714286</v>
      </c>
      <c r="Q17" s="65">
        <f t="shared" si="5"/>
        <v>1194.857143</v>
      </c>
      <c r="R17" s="1"/>
      <c r="S17" s="58"/>
      <c r="T17" s="59"/>
      <c r="U17" s="59"/>
      <c r="V17" s="60"/>
      <c r="W17" s="64"/>
      <c r="X17" s="64"/>
      <c r="Y17" s="60"/>
      <c r="Z17" s="68"/>
      <c r="AA17" s="62">
        <f t="shared" ref="AA17:AB17" si="17">L17-T17</f>
        <v>45748</v>
      </c>
      <c r="AB17" s="62">
        <f t="shared" si="17"/>
        <v>45778</v>
      </c>
      <c r="AC17" s="68"/>
      <c r="AD17" s="68"/>
      <c r="AE17" s="68"/>
      <c r="AF17" s="68"/>
      <c r="AG17" s="68"/>
      <c r="AH17" s="68"/>
      <c r="AI17" s="68"/>
      <c r="AJ17" s="68"/>
      <c r="AK17" s="69"/>
      <c r="AL17" s="49"/>
      <c r="AM17" s="68"/>
      <c r="AN17" s="68"/>
    </row>
    <row r="18">
      <c r="A18" s="41"/>
      <c r="B18" s="18" t="s">
        <v>23</v>
      </c>
      <c r="C18" s="19">
        <v>43314.0</v>
      </c>
      <c r="D18" s="20">
        <v>122.92</v>
      </c>
      <c r="E18" s="31">
        <f t="shared" si="1"/>
        <v>45658</v>
      </c>
      <c r="F18" s="22"/>
      <c r="G18" s="1" t="str">
        <f>IFERROR(__xludf.DUMMYFUNCTION("""COMPUTED_VALUE"""),"REINGRESO")</f>
        <v>REINGRESO</v>
      </c>
      <c r="H18" s="51">
        <f>IFERROR(__xludf.DUMMYFUNCTION("""COMPUTED_VALUE"""),42632.0)</f>
        <v>42632</v>
      </c>
      <c r="I18" s="52">
        <f>IFERROR(__xludf.DUMMYFUNCTION("""COMPUTED_VALUE"""),1045.2)</f>
        <v>1045.2</v>
      </c>
      <c r="J18" s="51">
        <f>IFERROR(__xludf.DUMMYFUNCTION("""COMPUTED_VALUE"""),42641.0)</f>
        <v>42641</v>
      </c>
      <c r="K18" s="1"/>
      <c r="L18" s="53">
        <f t="shared" si="3"/>
        <v>45717</v>
      </c>
      <c r="M18" s="54">
        <f t="shared" si="4"/>
        <v>45747</v>
      </c>
      <c r="N18" s="67">
        <f t="shared" si="7"/>
        <v>278.8</v>
      </c>
      <c r="O18" s="56">
        <f t="shared" si="8"/>
        <v>4.285714286</v>
      </c>
      <c r="P18" s="56">
        <f t="shared" si="9"/>
        <v>4.285714286</v>
      </c>
      <c r="Q18" s="65">
        <f t="shared" si="5"/>
        <v>1194.857143</v>
      </c>
      <c r="R18" s="1"/>
      <c r="S18" s="58"/>
      <c r="T18" s="66"/>
      <c r="U18" s="59"/>
      <c r="V18" s="60"/>
      <c r="W18" s="64"/>
      <c r="X18" s="64"/>
      <c r="Y18" s="60"/>
      <c r="Z18" s="68"/>
      <c r="AA18" s="62">
        <f t="shared" ref="AA18:AB18" si="18">L18-T18</f>
        <v>45717</v>
      </c>
      <c r="AB18" s="62">
        <f t="shared" si="18"/>
        <v>45747</v>
      </c>
      <c r="AC18" s="68"/>
      <c r="AD18" s="68"/>
      <c r="AE18" s="68"/>
      <c r="AF18" s="68"/>
      <c r="AG18" s="68"/>
      <c r="AH18" s="68"/>
      <c r="AI18" s="68"/>
      <c r="AJ18" s="68"/>
      <c r="AK18" s="69"/>
      <c r="AL18" s="49"/>
      <c r="AM18" s="68"/>
      <c r="AN18" s="68"/>
    </row>
    <row r="19">
      <c r="A19" s="41"/>
      <c r="B19" s="18" t="s">
        <v>9</v>
      </c>
      <c r="C19" s="19">
        <v>43257.0</v>
      </c>
      <c r="D19" s="20">
        <v>122.92</v>
      </c>
      <c r="E19" s="31">
        <f t="shared" si="1"/>
        <v>43314</v>
      </c>
      <c r="F19" s="22"/>
      <c r="G19" s="1" t="str">
        <f>IFERROR(__xludf.DUMMYFUNCTION("""COMPUTED_VALUE"""),"REINGRESO")</f>
        <v>REINGRESO</v>
      </c>
      <c r="H19" s="51">
        <f>IFERROR(__xludf.DUMMYFUNCTION("""COMPUTED_VALUE"""),41609.0)</f>
        <v>41609</v>
      </c>
      <c r="I19" s="52">
        <f>IFERROR(__xludf.DUMMYFUNCTION("""COMPUTED_VALUE"""),313.56)</f>
        <v>313.56</v>
      </c>
      <c r="J19" s="51">
        <f>IFERROR(__xludf.DUMMYFUNCTION("""COMPUTED_VALUE"""),42111.0)</f>
        <v>42111</v>
      </c>
      <c r="K19" s="1"/>
      <c r="L19" s="53">
        <f t="shared" si="3"/>
        <v>45658</v>
      </c>
      <c r="M19" s="54">
        <f t="shared" si="4"/>
        <v>45688</v>
      </c>
      <c r="N19" s="67">
        <f t="shared" si="7"/>
        <v>248.93</v>
      </c>
      <c r="O19" s="56">
        <f t="shared" si="8"/>
        <v>4.285714286</v>
      </c>
      <c r="P19" s="56">
        <f t="shared" si="9"/>
        <v>4.285714286</v>
      </c>
      <c r="Q19" s="65">
        <f t="shared" si="5"/>
        <v>1066.842857</v>
      </c>
      <c r="R19" s="1"/>
      <c r="S19" s="58"/>
      <c r="T19" s="66"/>
      <c r="U19" s="66"/>
      <c r="V19" s="60"/>
      <c r="W19" s="64"/>
      <c r="X19" s="64"/>
      <c r="Y19" s="60"/>
      <c r="Z19" s="68"/>
      <c r="AA19" s="62">
        <f t="shared" ref="AA19:AB19" si="19">L19-T19</f>
        <v>45658</v>
      </c>
      <c r="AB19" s="62">
        <f t="shared" si="19"/>
        <v>45688</v>
      </c>
      <c r="AC19" s="68"/>
      <c r="AD19" s="68"/>
      <c r="AE19" s="68"/>
      <c r="AF19" s="68"/>
      <c r="AG19" s="68"/>
      <c r="AH19" s="68"/>
      <c r="AI19" s="68"/>
      <c r="AJ19" s="68"/>
      <c r="AK19" s="69"/>
      <c r="AL19" s="49"/>
      <c r="AM19" s="68"/>
      <c r="AN19" s="68"/>
    </row>
    <row r="20">
      <c r="A20" s="41"/>
      <c r="B20" s="18" t="s">
        <v>23</v>
      </c>
      <c r="C20" s="19">
        <v>43256.0</v>
      </c>
      <c r="D20" s="20">
        <v>122.92</v>
      </c>
      <c r="E20" s="31">
        <f t="shared" si="1"/>
        <v>43257</v>
      </c>
      <c r="F20" s="22"/>
      <c r="G20" s="1" t="str">
        <f>IFERROR(__xludf.DUMMYFUNCTION("""COMPUTED_VALUE"""),"REINGRESO")</f>
        <v>REINGRESO</v>
      </c>
      <c r="H20" s="51">
        <f>IFERROR(__xludf.DUMMYFUNCTION("""COMPUTED_VALUE"""),41009.0)</f>
        <v>41009</v>
      </c>
      <c r="I20" s="52">
        <f>IFERROR(__xludf.DUMMYFUNCTION("""COMPUTED_VALUE"""),1554.78)</f>
        <v>1554.78</v>
      </c>
      <c r="J20" s="51">
        <f>IFERROR(__xludf.DUMMYFUNCTION("""COMPUTED_VALUE"""),41608.0)</f>
        <v>41608</v>
      </c>
      <c r="K20" s="1"/>
      <c r="L20" s="53">
        <f t="shared" si="3"/>
        <v>43257</v>
      </c>
      <c r="M20" s="54">
        <f t="shared" si="4"/>
        <v>43314</v>
      </c>
      <c r="N20" s="67">
        <f t="shared" si="7"/>
        <v>122.92</v>
      </c>
      <c r="O20" s="56">
        <f t="shared" si="8"/>
        <v>8.142857143</v>
      </c>
      <c r="P20" s="56">
        <f t="shared" si="9"/>
        <v>8.142857143</v>
      </c>
      <c r="Q20" s="65">
        <f t="shared" si="5"/>
        <v>1000.92</v>
      </c>
      <c r="R20" s="1"/>
      <c r="S20" s="58"/>
      <c r="T20" s="59"/>
      <c r="U20" s="66"/>
      <c r="V20" s="60"/>
      <c r="W20" s="64"/>
      <c r="X20" s="64"/>
      <c r="Y20" s="60"/>
      <c r="Z20" s="68"/>
      <c r="AA20" s="62">
        <f t="shared" ref="AA20:AB20" si="20">L20-T20</f>
        <v>43257</v>
      </c>
      <c r="AB20" s="62">
        <f t="shared" si="20"/>
        <v>43314</v>
      </c>
      <c r="AC20" s="68"/>
      <c r="AD20" s="68"/>
      <c r="AE20" s="68"/>
      <c r="AF20" s="68"/>
      <c r="AG20" s="68"/>
      <c r="AH20" s="68"/>
      <c r="AI20" s="68"/>
      <c r="AJ20" s="68"/>
      <c r="AK20" s="69"/>
      <c r="AL20" s="49"/>
      <c r="AM20" s="68"/>
      <c r="AN20" s="68"/>
    </row>
    <row r="21">
      <c r="A21" s="41"/>
      <c r="B21" s="18" t="s">
        <v>9</v>
      </c>
      <c r="C21" s="19">
        <v>43234.0</v>
      </c>
      <c r="D21" s="20">
        <v>122.92</v>
      </c>
      <c r="E21" s="31">
        <f t="shared" si="1"/>
        <v>43256</v>
      </c>
      <c r="F21" s="22"/>
      <c r="G21" s="1" t="str">
        <f>IFERROR(__xludf.DUMMYFUNCTION("""COMPUTED_VALUE"""),"REINGRESO")</f>
        <v>REINGRESO</v>
      </c>
      <c r="H21" s="51">
        <f>IFERROR(__xludf.DUMMYFUNCTION("""COMPUTED_VALUE"""),40087.0)</f>
        <v>40087</v>
      </c>
      <c r="I21" s="52">
        <f>IFERROR(__xludf.DUMMYFUNCTION("""COMPUTED_VALUE"""),60.27)</f>
        <v>60.27</v>
      </c>
      <c r="J21" s="51">
        <f>IFERROR(__xludf.DUMMYFUNCTION("""COMPUTED_VALUE"""),40389.0)</f>
        <v>40389</v>
      </c>
      <c r="K21" s="1"/>
      <c r="L21" s="53">
        <f t="shared" si="3"/>
        <v>43234</v>
      </c>
      <c r="M21" s="54">
        <f t="shared" si="4"/>
        <v>43256</v>
      </c>
      <c r="N21" s="67">
        <f t="shared" si="7"/>
        <v>122.92</v>
      </c>
      <c r="O21" s="56">
        <f t="shared" si="8"/>
        <v>3.142857143</v>
      </c>
      <c r="P21" s="56">
        <f t="shared" si="9"/>
        <v>3.142857143</v>
      </c>
      <c r="Q21" s="65">
        <f t="shared" si="5"/>
        <v>386.32</v>
      </c>
      <c r="R21" s="1"/>
      <c r="S21" s="58"/>
      <c r="T21" s="59"/>
      <c r="U21" s="59"/>
      <c r="V21" s="60"/>
      <c r="W21" s="64"/>
      <c r="X21" s="64"/>
      <c r="Y21" s="60"/>
      <c r="Z21" s="68"/>
      <c r="AA21" s="62">
        <f t="shared" ref="AA21:AB21" si="21">L21-T21</f>
        <v>43234</v>
      </c>
      <c r="AB21" s="62">
        <f t="shared" si="21"/>
        <v>43256</v>
      </c>
      <c r="AC21" s="68"/>
      <c r="AD21" s="68"/>
      <c r="AE21" s="68"/>
      <c r="AF21" s="68"/>
      <c r="AG21" s="68"/>
      <c r="AH21" s="68"/>
      <c r="AI21" s="68"/>
      <c r="AJ21" s="68"/>
      <c r="AK21" s="69"/>
      <c r="AL21" s="49"/>
      <c r="AM21" s="68"/>
      <c r="AN21" s="68"/>
    </row>
    <row r="22">
      <c r="A22" s="41"/>
      <c r="B22" s="18" t="s">
        <v>23</v>
      </c>
      <c r="C22" s="19">
        <v>42641.0</v>
      </c>
      <c r="D22" s="20">
        <v>1045.2</v>
      </c>
      <c r="E22" s="31">
        <f t="shared" si="1"/>
        <v>43234</v>
      </c>
      <c r="F22" s="22"/>
      <c r="G22" s="1" t="str">
        <f>IFERROR(__xludf.DUMMYFUNCTION("""COMPUTED_VALUE"""),"REINGRESO")</f>
        <v>REINGRESO</v>
      </c>
      <c r="H22" s="51">
        <f>IFERROR(__xludf.DUMMYFUNCTION("""COMPUTED_VALUE"""),38184.0)</f>
        <v>38184</v>
      </c>
      <c r="I22" s="52">
        <f>IFERROR(__xludf.DUMMYFUNCTION("""COMPUTED_VALUE"""),137.52)</f>
        <v>137.52</v>
      </c>
      <c r="J22" s="51">
        <f>IFERROR(__xludf.DUMMYFUNCTION("""COMPUTED_VALUE"""),38691.0)</f>
        <v>38691</v>
      </c>
      <c r="K22" s="1"/>
      <c r="L22" s="53">
        <f t="shared" si="3"/>
        <v>42632</v>
      </c>
      <c r="M22" s="54">
        <f t="shared" si="4"/>
        <v>42641</v>
      </c>
      <c r="N22" s="67">
        <f t="shared" si="7"/>
        <v>1045.2</v>
      </c>
      <c r="O22" s="56">
        <f t="shared" si="8"/>
        <v>1.285714286</v>
      </c>
      <c r="P22" s="56">
        <f t="shared" si="9"/>
        <v>1.285714286</v>
      </c>
      <c r="Q22" s="65">
        <f t="shared" si="5"/>
        <v>1343.828571</v>
      </c>
      <c r="R22" s="1"/>
      <c r="S22" s="58"/>
      <c r="T22" s="59"/>
      <c r="U22" s="59"/>
      <c r="V22" s="60"/>
      <c r="W22" s="64"/>
      <c r="X22" s="64"/>
      <c r="Y22" s="60"/>
      <c r="Z22" s="68"/>
      <c r="AA22" s="62">
        <f t="shared" ref="AA22:AB22" si="22">L22-T22</f>
        <v>42632</v>
      </c>
      <c r="AB22" s="62">
        <f t="shared" si="22"/>
        <v>42641</v>
      </c>
      <c r="AC22" s="68"/>
      <c r="AD22" s="68"/>
      <c r="AE22" s="68"/>
      <c r="AF22" s="68"/>
      <c r="AG22" s="68"/>
      <c r="AH22" s="68"/>
      <c r="AI22" s="68"/>
      <c r="AJ22" s="68"/>
      <c r="AK22" s="69"/>
      <c r="AL22" s="49"/>
      <c r="AM22" s="68"/>
      <c r="AN22" s="68"/>
    </row>
    <row r="23">
      <c r="A23" s="41"/>
      <c r="B23" s="41" t="s">
        <v>9</v>
      </c>
      <c r="C23" s="19">
        <v>42632.0</v>
      </c>
      <c r="D23" s="20">
        <v>1045.2</v>
      </c>
      <c r="E23" s="31">
        <f t="shared" si="1"/>
        <v>42641</v>
      </c>
      <c r="F23" s="22"/>
      <c r="G23" s="1" t="str">
        <f>IFERROR(__xludf.DUMMYFUNCTION("""COMPUTED_VALUE"""),"REINGRESO")</f>
        <v>REINGRESO</v>
      </c>
      <c r="H23" s="51">
        <f>IFERROR(__xludf.DUMMYFUNCTION("""COMPUTED_VALUE"""),37135.0)</f>
        <v>37135</v>
      </c>
      <c r="I23" s="52">
        <f>IFERROR(__xludf.DUMMYFUNCTION("""COMPUTED_VALUE"""),97.38)</f>
        <v>97.38</v>
      </c>
      <c r="J23" s="51">
        <f>IFERROR(__xludf.DUMMYFUNCTION("""COMPUTED_VALUE"""),37643.0)</f>
        <v>37643</v>
      </c>
      <c r="K23" s="1"/>
      <c r="L23" s="53">
        <f t="shared" si="3"/>
        <v>41609</v>
      </c>
      <c r="M23" s="54">
        <f t="shared" si="4"/>
        <v>42111</v>
      </c>
      <c r="N23" s="67">
        <f t="shared" si="7"/>
        <v>313.56</v>
      </c>
      <c r="O23" s="56">
        <f t="shared" si="8"/>
        <v>71.71428571</v>
      </c>
      <c r="P23" s="56">
        <f t="shared" si="9"/>
        <v>71.71428571</v>
      </c>
      <c r="Q23" s="65">
        <f t="shared" si="5"/>
        <v>22486.73143</v>
      </c>
      <c r="R23" s="1"/>
      <c r="S23" s="58"/>
      <c r="T23" s="59"/>
      <c r="U23" s="59"/>
      <c r="V23" s="60"/>
      <c r="W23" s="64"/>
      <c r="X23" s="64"/>
      <c r="Y23" s="60"/>
      <c r="Z23" s="68"/>
      <c r="AA23" s="62">
        <f t="shared" ref="AA23:AB23" si="23">L23-T23</f>
        <v>41609</v>
      </c>
      <c r="AB23" s="62">
        <f t="shared" si="23"/>
        <v>42111</v>
      </c>
      <c r="AC23" s="68"/>
      <c r="AD23" s="68"/>
      <c r="AE23" s="68"/>
      <c r="AF23" s="68"/>
      <c r="AG23" s="68"/>
      <c r="AH23" s="68"/>
      <c r="AI23" s="68"/>
      <c r="AJ23" s="68"/>
      <c r="AK23" s="69"/>
      <c r="AL23" s="49"/>
      <c r="AM23" s="68"/>
      <c r="AN23" s="68"/>
    </row>
    <row r="24">
      <c r="A24" s="41"/>
      <c r="B24" s="41" t="s">
        <v>23</v>
      </c>
      <c r="C24" s="19">
        <v>42111.0</v>
      </c>
      <c r="D24" s="20">
        <v>313.56</v>
      </c>
      <c r="E24" s="31">
        <f t="shared" si="1"/>
        <v>42632</v>
      </c>
      <c r="F24" s="1"/>
      <c r="G24" s="1" t="str">
        <f>IFERROR(__xludf.DUMMYFUNCTION("""COMPUTED_VALUE"""),"REINGRESO")</f>
        <v>REINGRESO</v>
      </c>
      <c r="H24" s="51">
        <f>IFERROR(__xludf.DUMMYFUNCTION("""COMPUTED_VALUE"""),37089.0)</f>
        <v>37089</v>
      </c>
      <c r="I24" s="52">
        <f>IFERROR(__xludf.DUMMYFUNCTION("""COMPUTED_VALUE"""),174.53)</f>
        <v>174.53</v>
      </c>
      <c r="J24" s="51">
        <f>IFERROR(__xludf.DUMMYFUNCTION("""COMPUTED_VALUE"""),37195.0)</f>
        <v>37195</v>
      </c>
      <c r="K24" s="1"/>
      <c r="L24" s="53">
        <f t="shared" si="3"/>
        <v>41009</v>
      </c>
      <c r="M24" s="54">
        <f t="shared" si="4"/>
        <v>41608</v>
      </c>
      <c r="N24" s="67">
        <f t="shared" si="7"/>
        <v>1554.78</v>
      </c>
      <c r="O24" s="56">
        <f t="shared" si="8"/>
        <v>85.57142857</v>
      </c>
      <c r="P24" s="56">
        <f t="shared" si="9"/>
        <v>85.57142857</v>
      </c>
      <c r="Q24" s="65">
        <f t="shared" si="5"/>
        <v>133044.7457</v>
      </c>
      <c r="R24" s="1"/>
      <c r="S24" s="58"/>
      <c r="T24" s="66"/>
      <c r="U24" s="59"/>
      <c r="V24" s="60"/>
      <c r="W24" s="64"/>
      <c r="X24" s="64"/>
      <c r="Y24" s="60"/>
      <c r="Z24" s="68"/>
      <c r="AA24" s="62">
        <f t="shared" ref="AA24:AB24" si="24">L24-T24</f>
        <v>41009</v>
      </c>
      <c r="AB24" s="62">
        <f t="shared" si="24"/>
        <v>41608</v>
      </c>
      <c r="AC24" s="68"/>
      <c r="AD24" s="68"/>
      <c r="AE24" s="68"/>
      <c r="AF24" s="68"/>
      <c r="AG24" s="68"/>
      <c r="AH24" s="68"/>
      <c r="AI24" s="68"/>
      <c r="AJ24" s="68"/>
      <c r="AK24" s="69"/>
      <c r="AL24" s="49"/>
      <c r="AM24" s="68"/>
      <c r="AN24" s="68"/>
    </row>
    <row r="25">
      <c r="A25" s="41"/>
      <c r="B25" s="41" t="s">
        <v>9</v>
      </c>
      <c r="C25" s="19">
        <v>41609.0</v>
      </c>
      <c r="D25" s="20">
        <v>313.56</v>
      </c>
      <c r="E25" s="31">
        <f t="shared" si="1"/>
        <v>42111</v>
      </c>
      <c r="F25" s="1"/>
      <c r="G25" s="1" t="str">
        <f>IFERROR(__xludf.DUMMYFUNCTION("""COMPUTED_VALUE"""),"REINGRESO")</f>
        <v>REINGRESO</v>
      </c>
      <c r="H25" s="51">
        <f>IFERROR(__xludf.DUMMYFUNCTION("""COMPUTED_VALUE"""),36892.0)</f>
        <v>36892</v>
      </c>
      <c r="I25" s="52">
        <f>IFERROR(__xludf.DUMMYFUNCTION("""COMPUTED_VALUE"""),174.43)</f>
        <v>174.43</v>
      </c>
      <c r="J25" s="51">
        <f>IFERROR(__xludf.DUMMYFUNCTION("""COMPUTED_VALUE"""),36892.0)</f>
        <v>36892</v>
      </c>
      <c r="K25" s="1"/>
      <c r="L25" s="53">
        <f t="shared" si="3"/>
        <v>40087</v>
      </c>
      <c r="M25" s="54">
        <f t="shared" si="4"/>
        <v>40389</v>
      </c>
      <c r="N25" s="67">
        <f t="shared" si="7"/>
        <v>60.27</v>
      </c>
      <c r="O25" s="56">
        <f t="shared" si="8"/>
        <v>43.14285714</v>
      </c>
      <c r="P25" s="56">
        <f t="shared" si="9"/>
        <v>19.57142857</v>
      </c>
      <c r="Q25" s="65">
        <f t="shared" si="5"/>
        <v>1179.57</v>
      </c>
      <c r="R25" s="1"/>
      <c r="S25" s="58"/>
      <c r="T25" s="66"/>
      <c r="U25" s="66"/>
      <c r="V25" s="60"/>
      <c r="W25" s="64"/>
      <c r="X25" s="64"/>
      <c r="Y25" s="60"/>
      <c r="Z25" s="68"/>
      <c r="AA25" s="62">
        <f t="shared" ref="AA25:AB25" si="25">L25-T25</f>
        <v>40087</v>
      </c>
      <c r="AB25" s="62">
        <f t="shared" si="25"/>
        <v>40389</v>
      </c>
      <c r="AC25" s="68"/>
      <c r="AD25" s="68"/>
      <c r="AE25" s="68"/>
      <c r="AF25" s="68"/>
      <c r="AG25" s="68"/>
      <c r="AH25" s="68"/>
      <c r="AI25" s="68"/>
      <c r="AJ25" s="68"/>
      <c r="AK25" s="69"/>
      <c r="AL25" s="49"/>
      <c r="AM25" s="68"/>
      <c r="AN25" s="68"/>
    </row>
    <row r="26">
      <c r="A26" s="41"/>
      <c r="B26" s="41" t="s">
        <v>23</v>
      </c>
      <c r="C26" s="19">
        <v>41608.0</v>
      </c>
      <c r="D26" s="20">
        <v>1554.78</v>
      </c>
      <c r="E26" s="31">
        <f t="shared" si="1"/>
        <v>41609</v>
      </c>
      <c r="F26" s="1"/>
      <c r="G26" s="1" t="str">
        <f>IFERROR(__xludf.DUMMYFUNCTION("""COMPUTED_VALUE"""),"MODIFICACION DE SALARIO")</f>
        <v>MODIFICACION DE SALARIO</v>
      </c>
      <c r="H26" s="51">
        <f>IFERROR(__xludf.DUMMYFUNCTION("""COMPUTED_VALUE"""),36132.0)</f>
        <v>36132</v>
      </c>
      <c r="I26" s="52">
        <f>IFERROR(__xludf.DUMMYFUNCTION("""COMPUTED_VALUE"""),36.01)</f>
        <v>36.01</v>
      </c>
      <c r="J26" s="51">
        <f>IFERROR(__xludf.DUMMYFUNCTION("""COMPUTED_VALUE"""),36431.0)</f>
        <v>36431</v>
      </c>
      <c r="K26" s="1"/>
      <c r="L26" s="53">
        <f t="shared" si="3"/>
        <v>38184</v>
      </c>
      <c r="M26" s="54">
        <f t="shared" si="4"/>
        <v>38691</v>
      </c>
      <c r="N26" s="67">
        <f t="shared" si="7"/>
        <v>137.52</v>
      </c>
      <c r="O26" s="56">
        <f t="shared" si="8"/>
        <v>72.42857143</v>
      </c>
      <c r="P26" s="56">
        <f t="shared" si="9"/>
        <v>0</v>
      </c>
      <c r="Q26" s="65">
        <f t="shared" si="5"/>
        <v>0</v>
      </c>
      <c r="R26" s="1"/>
      <c r="S26" s="58"/>
      <c r="T26" s="66"/>
      <c r="U26" s="66"/>
      <c r="V26" s="60"/>
      <c r="W26" s="64"/>
      <c r="X26" s="64"/>
      <c r="Y26" s="60"/>
      <c r="Z26" s="68"/>
      <c r="AA26" s="62">
        <f t="shared" ref="AA26:AB26" si="26">L26-T26</f>
        <v>38184</v>
      </c>
      <c r="AB26" s="62">
        <f t="shared" si="26"/>
        <v>38691</v>
      </c>
      <c r="AC26" s="68"/>
      <c r="AD26" s="68"/>
      <c r="AE26" s="68"/>
      <c r="AF26" s="68"/>
      <c r="AG26" s="68"/>
      <c r="AH26" s="68"/>
      <c r="AI26" s="68"/>
      <c r="AJ26" s="68"/>
      <c r="AK26" s="69"/>
      <c r="AL26" s="49"/>
      <c r="AM26" s="68"/>
      <c r="AN26" s="68"/>
    </row>
    <row r="27">
      <c r="A27" s="41"/>
      <c r="B27" s="41" t="s">
        <v>9</v>
      </c>
      <c r="C27" s="19">
        <v>41009.0</v>
      </c>
      <c r="D27" s="20">
        <v>1554.78</v>
      </c>
      <c r="E27" s="31">
        <f t="shared" si="1"/>
        <v>41608</v>
      </c>
      <c r="F27" s="1"/>
      <c r="G27" s="1" t="str">
        <f>IFERROR(__xludf.DUMMYFUNCTION("""COMPUTED_VALUE"""),"REINGRESO")</f>
        <v>REINGRESO</v>
      </c>
      <c r="H27" s="51">
        <f>IFERROR(__xludf.DUMMYFUNCTION("""COMPUTED_VALUE"""),35977.0)</f>
        <v>35977</v>
      </c>
      <c r="I27" s="52">
        <f>IFERROR(__xludf.DUMMYFUNCTION("""COMPUTED_VALUE"""),31.57)</f>
        <v>31.57</v>
      </c>
      <c r="J27" s="51">
        <f>IFERROR(__xludf.DUMMYFUNCTION("""COMPUTED_VALUE"""),36132.0)</f>
        <v>36132</v>
      </c>
      <c r="K27" s="1"/>
      <c r="L27" s="53">
        <f t="shared" si="3"/>
        <v>37135</v>
      </c>
      <c r="M27" s="54">
        <f t="shared" si="4"/>
        <v>37643</v>
      </c>
      <c r="N27" s="67">
        <f t="shared" si="7"/>
        <v>97.38</v>
      </c>
      <c r="O27" s="56">
        <f t="shared" si="8"/>
        <v>72.57142857</v>
      </c>
      <c r="P27" s="56">
        <f t="shared" si="9"/>
        <v>0</v>
      </c>
      <c r="Q27" s="65">
        <f t="shared" si="5"/>
        <v>0</v>
      </c>
      <c r="R27" s="1"/>
      <c r="S27" s="58"/>
      <c r="T27" s="59"/>
      <c r="U27" s="59"/>
      <c r="V27" s="60"/>
      <c r="W27" s="64"/>
      <c r="X27" s="64"/>
      <c r="Y27" s="60"/>
      <c r="Z27" s="68"/>
      <c r="AA27" s="62">
        <f t="shared" ref="AA27:AB27" si="27">L27-T27</f>
        <v>37135</v>
      </c>
      <c r="AB27" s="62">
        <f t="shared" si="27"/>
        <v>37643</v>
      </c>
      <c r="AC27" s="68"/>
      <c r="AD27" s="68"/>
      <c r="AE27" s="68"/>
      <c r="AF27" s="68"/>
      <c r="AG27" s="68"/>
      <c r="AH27" s="68"/>
      <c r="AI27" s="68"/>
      <c r="AJ27" s="68"/>
      <c r="AK27" s="69"/>
      <c r="AL27" s="49"/>
      <c r="AM27" s="68"/>
      <c r="AN27" s="68"/>
    </row>
    <row r="28">
      <c r="A28" s="41"/>
      <c r="B28" s="41" t="s">
        <v>23</v>
      </c>
      <c r="C28" s="19">
        <v>40389.0</v>
      </c>
      <c r="D28" s="20">
        <v>60.27</v>
      </c>
      <c r="E28" s="70">
        <f t="shared" si="1"/>
        <v>41009</v>
      </c>
      <c r="F28" s="1"/>
      <c r="G28" s="1" t="str">
        <f>IFERROR(__xludf.DUMMYFUNCTION("""COMPUTED_VALUE"""),"MODIFICACION DE SALARIO")</f>
        <v>MODIFICACION DE SALARIO</v>
      </c>
      <c r="H28" s="51">
        <f>IFERROR(__xludf.DUMMYFUNCTION("""COMPUTED_VALUE"""),35827.0)</f>
        <v>35827</v>
      </c>
      <c r="I28" s="52">
        <f>IFERROR(__xludf.DUMMYFUNCTION("""COMPUTED_VALUE"""),755.0)</f>
        <v>755</v>
      </c>
      <c r="J28" s="51">
        <f>IFERROR(__xludf.DUMMYFUNCTION("""COMPUTED_VALUE"""),35839.0)</f>
        <v>35839</v>
      </c>
      <c r="K28" s="1"/>
      <c r="L28" s="53">
        <f t="shared" si="3"/>
        <v>37089</v>
      </c>
      <c r="M28" s="54">
        <f t="shared" si="4"/>
        <v>37195</v>
      </c>
      <c r="N28" s="67">
        <f t="shared" si="7"/>
        <v>174.53</v>
      </c>
      <c r="O28" s="56">
        <f t="shared" si="8"/>
        <v>15.14285714</v>
      </c>
      <c r="P28" s="56">
        <f t="shared" si="9"/>
        <v>0</v>
      </c>
      <c r="Q28" s="65">
        <f t="shared" si="5"/>
        <v>0</v>
      </c>
      <c r="R28" s="1"/>
      <c r="S28" s="58"/>
      <c r="T28" s="59"/>
      <c r="U28" s="59"/>
      <c r="V28" s="60"/>
      <c r="W28" s="64"/>
      <c r="X28" s="64"/>
      <c r="Y28" s="60"/>
      <c r="Z28" s="68"/>
      <c r="AA28" s="62">
        <f t="shared" ref="AA28:AB28" si="28">L28-T28</f>
        <v>37089</v>
      </c>
      <c r="AB28" s="62">
        <f t="shared" si="28"/>
        <v>37195</v>
      </c>
      <c r="AC28" s="68"/>
      <c r="AD28" s="68"/>
      <c r="AE28" s="68"/>
      <c r="AF28" s="68"/>
      <c r="AG28" s="68"/>
      <c r="AH28" s="68"/>
      <c r="AI28" s="68"/>
      <c r="AJ28" s="68"/>
      <c r="AK28" s="69"/>
      <c r="AL28" s="49"/>
      <c r="AM28" s="68"/>
      <c r="AN28" s="68"/>
    </row>
    <row r="29">
      <c r="A29" s="41"/>
      <c r="B29" s="41" t="s">
        <v>9</v>
      </c>
      <c r="C29" s="19">
        <v>40087.0</v>
      </c>
      <c r="D29" s="20">
        <v>60.27</v>
      </c>
      <c r="E29" s="70">
        <f t="shared" si="1"/>
        <v>40389</v>
      </c>
      <c r="F29" s="1"/>
      <c r="G29" s="1" t="str">
        <f>IFERROR(__xludf.DUMMYFUNCTION("""COMPUTED_VALUE"""),"MODIFICACION DE SALARIO")</f>
        <v>MODIFICACION DE SALARIO</v>
      </c>
      <c r="H29" s="51">
        <f>IFERROR(__xludf.DUMMYFUNCTION("""COMPUTED_VALUE"""),35735.0)</f>
        <v>35735</v>
      </c>
      <c r="I29" s="52">
        <f>IFERROR(__xludf.DUMMYFUNCTION("""COMPUTED_VALUE"""),594.3)</f>
        <v>594.3</v>
      </c>
      <c r="J29" s="51">
        <f>IFERROR(__xludf.DUMMYFUNCTION("""COMPUTED_VALUE"""),35827.0)</f>
        <v>35827</v>
      </c>
      <c r="K29" s="1"/>
      <c r="L29" s="53">
        <f t="shared" si="3"/>
        <v>36892</v>
      </c>
      <c r="M29" s="54">
        <f t="shared" si="4"/>
        <v>36892</v>
      </c>
      <c r="N29" s="67">
        <f t="shared" si="7"/>
        <v>174.43</v>
      </c>
      <c r="O29" s="56">
        <f t="shared" si="8"/>
        <v>0</v>
      </c>
      <c r="P29" s="56">
        <f t="shared" si="9"/>
        <v>0</v>
      </c>
      <c r="Q29" s="65">
        <f t="shared" si="5"/>
        <v>0</v>
      </c>
      <c r="R29" s="1"/>
      <c r="S29" s="58"/>
      <c r="T29" s="66"/>
      <c r="U29" s="59"/>
      <c r="V29" s="60"/>
      <c r="W29" s="64"/>
      <c r="X29" s="64"/>
      <c r="Y29" s="60"/>
      <c r="Z29" s="68"/>
      <c r="AA29" s="62">
        <f t="shared" ref="AA29:AB29" si="29">L29-T29</f>
        <v>36892</v>
      </c>
      <c r="AB29" s="62">
        <f t="shared" si="29"/>
        <v>36892</v>
      </c>
      <c r="AC29" s="68"/>
      <c r="AD29" s="68"/>
      <c r="AE29" s="68"/>
      <c r="AF29" s="68"/>
      <c r="AG29" s="68"/>
      <c r="AH29" s="68"/>
      <c r="AI29" s="68"/>
      <c r="AJ29" s="68"/>
      <c r="AK29" s="69"/>
      <c r="AL29" s="49"/>
      <c r="AM29" s="68"/>
      <c r="AN29" s="68"/>
    </row>
    <row r="30">
      <c r="A30" s="41"/>
      <c r="B30" s="41" t="s">
        <v>23</v>
      </c>
      <c r="C30" s="19">
        <v>38691.0</v>
      </c>
      <c r="D30" s="20">
        <v>137.52</v>
      </c>
      <c r="E30" s="70">
        <f t="shared" si="1"/>
        <v>40087</v>
      </c>
      <c r="F30" s="1"/>
      <c r="G30" s="1" t="str">
        <f>IFERROR(__xludf.DUMMYFUNCTION("""COMPUTED_VALUE"""),"MODIFICACION DE SALARIO")</f>
        <v>MODIFICACION DE SALARIO</v>
      </c>
      <c r="H30" s="51">
        <f>IFERROR(__xludf.DUMMYFUNCTION("""COMPUTED_VALUE"""),35612.0)</f>
        <v>35612</v>
      </c>
      <c r="I30" s="52">
        <f>IFERROR(__xludf.DUMMYFUNCTION("""COMPUTED_VALUE"""),661.25)</f>
        <v>661.25</v>
      </c>
      <c r="J30" s="51">
        <f>IFERROR(__xludf.DUMMYFUNCTION("""COMPUTED_VALUE"""),35735.0)</f>
        <v>35735</v>
      </c>
      <c r="K30" s="1"/>
      <c r="L30" s="53">
        <f t="shared" si="3"/>
        <v>36132</v>
      </c>
      <c r="M30" s="54">
        <f t="shared" si="4"/>
        <v>36431</v>
      </c>
      <c r="N30" s="67">
        <f t="shared" si="7"/>
        <v>36.01</v>
      </c>
      <c r="O30" s="56">
        <f t="shared" si="8"/>
        <v>42.71428571</v>
      </c>
      <c r="P30" s="56">
        <f t="shared" si="9"/>
        <v>0</v>
      </c>
      <c r="Q30" s="65">
        <f t="shared" si="5"/>
        <v>0</v>
      </c>
      <c r="R30" s="1"/>
      <c r="S30" s="58"/>
      <c r="T30" s="59"/>
      <c r="U30" s="66"/>
      <c r="V30" s="60"/>
      <c r="W30" s="64"/>
      <c r="X30" s="64"/>
      <c r="Y30" s="60"/>
      <c r="Z30" s="68"/>
      <c r="AA30" s="62">
        <f t="shared" ref="AA30:AB30" si="30">L30-T30</f>
        <v>36132</v>
      </c>
      <c r="AB30" s="62">
        <f t="shared" si="30"/>
        <v>36431</v>
      </c>
      <c r="AC30" s="68"/>
      <c r="AD30" s="68"/>
      <c r="AE30" s="68"/>
      <c r="AF30" s="68"/>
      <c r="AG30" s="68"/>
      <c r="AH30" s="68"/>
      <c r="AI30" s="68"/>
      <c r="AJ30" s="68"/>
      <c r="AK30" s="69"/>
      <c r="AL30" s="49"/>
      <c r="AM30" s="68"/>
      <c r="AN30" s="68"/>
    </row>
    <row r="31">
      <c r="A31" s="41"/>
      <c r="B31" s="41" t="s">
        <v>9</v>
      </c>
      <c r="C31" s="19">
        <v>38184.0</v>
      </c>
      <c r="D31" s="20">
        <v>137.52</v>
      </c>
      <c r="E31" s="70">
        <f t="shared" si="1"/>
        <v>38691</v>
      </c>
      <c r="F31" s="1"/>
      <c r="G31" s="1" t="str">
        <f>IFERROR(__xludf.DUMMYFUNCTION("""COMPUTED_VALUE"""),"MODIFICACION DE SALARIO")</f>
        <v>MODIFICACION DE SALARIO</v>
      </c>
      <c r="H31" s="51">
        <f>IFERROR(__xludf.DUMMYFUNCTION("""COMPUTED_VALUE"""),35551.0)</f>
        <v>35551</v>
      </c>
      <c r="I31" s="52">
        <f>IFERROR(__xludf.DUMMYFUNCTION("""COMPUTED_VALUE"""),630.54)</f>
        <v>630.54</v>
      </c>
      <c r="J31" s="51">
        <f>IFERROR(__xludf.DUMMYFUNCTION("""COMPUTED_VALUE"""),35612.0)</f>
        <v>35612</v>
      </c>
      <c r="K31" s="1"/>
      <c r="L31" s="53">
        <f t="shared" si="3"/>
        <v>35977</v>
      </c>
      <c r="M31" s="54">
        <f t="shared" si="4"/>
        <v>36132</v>
      </c>
      <c r="N31" s="67">
        <f t="shared" si="7"/>
        <v>31.57</v>
      </c>
      <c r="O31" s="56">
        <f t="shared" si="8"/>
        <v>22.14285714</v>
      </c>
      <c r="P31" s="56">
        <f t="shared" si="9"/>
        <v>0</v>
      </c>
      <c r="Q31" s="65">
        <f t="shared" si="5"/>
        <v>0</v>
      </c>
      <c r="R31" s="1"/>
      <c r="S31" s="58"/>
      <c r="T31" s="59"/>
      <c r="U31" s="59"/>
      <c r="V31" s="60"/>
      <c r="W31" s="64"/>
      <c r="X31" s="64"/>
      <c r="Y31" s="60"/>
      <c r="Z31" s="68"/>
      <c r="AA31" s="62">
        <f t="shared" ref="AA31:AB31" si="31">L31-T31</f>
        <v>35977</v>
      </c>
      <c r="AB31" s="62">
        <f t="shared" si="31"/>
        <v>36132</v>
      </c>
      <c r="AC31" s="68"/>
      <c r="AD31" s="68"/>
      <c r="AE31" s="68"/>
      <c r="AF31" s="68"/>
      <c r="AG31" s="68"/>
      <c r="AH31" s="68"/>
      <c r="AI31" s="68"/>
      <c r="AJ31" s="68"/>
      <c r="AK31" s="69"/>
      <c r="AL31" s="49"/>
      <c r="AM31" s="68"/>
      <c r="AN31" s="68"/>
    </row>
    <row r="32">
      <c r="A32" s="41"/>
      <c r="B32" s="41" t="s">
        <v>23</v>
      </c>
      <c r="C32" s="19">
        <v>37643.0</v>
      </c>
      <c r="D32" s="20">
        <v>97.38</v>
      </c>
      <c r="E32" s="70">
        <f t="shared" si="1"/>
        <v>38184</v>
      </c>
      <c r="F32" s="1"/>
      <c r="G32" s="1" t="str">
        <f>IFERROR(__xludf.DUMMYFUNCTION("""COMPUTED_VALUE"""),"MODIFICACION DE SALARIO")</f>
        <v>MODIFICACION DE SALARIO</v>
      </c>
      <c r="H32" s="71">
        <f>IFERROR(__xludf.DUMMYFUNCTION("""COMPUTED_VALUE"""),35490.0)</f>
        <v>35490</v>
      </c>
      <c r="I32" s="52">
        <f>IFERROR(__xludf.DUMMYFUNCTION("""COMPUTED_VALUE"""),469.21)</f>
        <v>469.21</v>
      </c>
      <c r="J32" s="51">
        <f>IFERROR(__xludf.DUMMYFUNCTION("""COMPUTED_VALUE"""),35551.0)</f>
        <v>35551</v>
      </c>
      <c r="K32" s="1"/>
      <c r="L32" s="53">
        <f t="shared" si="3"/>
        <v>35827</v>
      </c>
      <c r="M32" s="54">
        <f t="shared" si="4"/>
        <v>35839</v>
      </c>
      <c r="N32" s="67">
        <f t="shared" si="7"/>
        <v>755</v>
      </c>
      <c r="O32" s="56">
        <f t="shared" si="8"/>
        <v>1.714285714</v>
      </c>
      <c r="P32" s="56">
        <f t="shared" si="9"/>
        <v>0</v>
      </c>
      <c r="Q32" s="65">
        <f t="shared" si="5"/>
        <v>0</v>
      </c>
      <c r="R32" s="1"/>
      <c r="S32" s="58"/>
      <c r="T32" s="59"/>
      <c r="U32" s="59"/>
      <c r="V32" s="60"/>
      <c r="W32" s="64"/>
      <c r="X32" s="64"/>
      <c r="Y32" s="60"/>
      <c r="AA32" s="62">
        <f t="shared" ref="AA32:AB32" si="32">L32-T32</f>
        <v>35827</v>
      </c>
      <c r="AB32" s="62">
        <f t="shared" si="32"/>
        <v>35839</v>
      </c>
    </row>
    <row r="33">
      <c r="A33" s="41"/>
      <c r="B33" s="41" t="s">
        <v>9</v>
      </c>
      <c r="C33" s="19">
        <v>37135.0</v>
      </c>
      <c r="D33" s="20">
        <v>97.38</v>
      </c>
      <c r="E33" s="70">
        <f t="shared" si="1"/>
        <v>37643</v>
      </c>
      <c r="F33" s="1"/>
      <c r="G33" s="1" t="str">
        <f>IFERROR(__xludf.DUMMYFUNCTION("""COMPUTED_VALUE"""),"MODIFICACION DE SALARIO")</f>
        <v>MODIFICACION DE SALARIO</v>
      </c>
      <c r="H33" s="51">
        <f>IFERROR(__xludf.DUMMYFUNCTION("""COMPUTED_VALUE"""),35448.0)</f>
        <v>35448</v>
      </c>
      <c r="I33" s="52">
        <f>IFERROR(__xludf.DUMMYFUNCTION("""COMPUTED_VALUE"""),453.25)</f>
        <v>453.25</v>
      </c>
      <c r="J33" s="51">
        <f>IFERROR(__xludf.DUMMYFUNCTION("""COMPUTED_VALUE"""),35490.0)</f>
        <v>35490</v>
      </c>
      <c r="K33" s="1"/>
      <c r="L33" s="53">
        <f t="shared" si="3"/>
        <v>35735</v>
      </c>
      <c r="M33" s="54">
        <f t="shared" si="4"/>
        <v>35827</v>
      </c>
      <c r="N33" s="67">
        <f t="shared" si="7"/>
        <v>594.3</v>
      </c>
      <c r="O33" s="56">
        <f t="shared" si="8"/>
        <v>13.14285714</v>
      </c>
      <c r="P33" s="56">
        <f t="shared" si="9"/>
        <v>0</v>
      </c>
      <c r="Q33" s="65">
        <f t="shared" si="5"/>
        <v>0</v>
      </c>
      <c r="R33" s="1"/>
      <c r="S33" s="58"/>
      <c r="T33" s="59"/>
      <c r="U33" s="59"/>
      <c r="V33" s="60"/>
      <c r="W33" s="64"/>
      <c r="X33" s="64"/>
      <c r="Y33" s="60"/>
      <c r="AA33" s="62">
        <f t="shared" ref="AA33:AB33" si="33">L33-T33</f>
        <v>35735</v>
      </c>
      <c r="AB33" s="62">
        <f t="shared" si="33"/>
        <v>35827</v>
      </c>
    </row>
    <row r="34">
      <c r="A34" s="41"/>
      <c r="B34" s="41" t="s">
        <v>23</v>
      </c>
      <c r="C34" s="19">
        <v>37195.0</v>
      </c>
      <c r="D34" s="20">
        <v>174.53</v>
      </c>
      <c r="E34" s="70">
        <f t="shared" si="1"/>
        <v>37135</v>
      </c>
      <c r="F34" s="1"/>
      <c r="G34" s="1" t="str">
        <f>IFERROR(__xludf.DUMMYFUNCTION("""COMPUTED_VALUE"""),"MODIFICACION DE SALARIO")</f>
        <v>MODIFICACION DE SALARIO</v>
      </c>
      <c r="H34" s="51">
        <f>IFERROR(__xludf.DUMMYFUNCTION("""COMPUTED_VALUE"""),35431.0)</f>
        <v>35431</v>
      </c>
      <c r="I34" s="52">
        <f>IFERROR(__xludf.DUMMYFUNCTION("""COMPUTED_VALUE"""),385.87)</f>
        <v>385.87</v>
      </c>
      <c r="J34" s="51">
        <f>IFERROR(__xludf.DUMMYFUNCTION("""COMPUTED_VALUE"""),35448.0)</f>
        <v>35448</v>
      </c>
      <c r="K34" s="1"/>
      <c r="L34" s="53">
        <f t="shared" si="3"/>
        <v>35612</v>
      </c>
      <c r="M34" s="54">
        <f t="shared" si="4"/>
        <v>35735</v>
      </c>
      <c r="N34" s="67">
        <f t="shared" si="7"/>
        <v>661.25</v>
      </c>
      <c r="O34" s="56">
        <f t="shared" si="8"/>
        <v>17.57142857</v>
      </c>
      <c r="P34" s="56">
        <f t="shared" si="9"/>
        <v>0</v>
      </c>
      <c r="Q34" s="65">
        <f t="shared" si="5"/>
        <v>0</v>
      </c>
      <c r="R34" s="1"/>
      <c r="S34" s="58"/>
      <c r="T34" s="59"/>
      <c r="U34" s="59"/>
      <c r="V34" s="60"/>
      <c r="W34" s="64"/>
      <c r="X34" s="64"/>
      <c r="Y34" s="60"/>
      <c r="AA34" s="62">
        <f t="shared" ref="AA34:AB34" si="34">L34-T34</f>
        <v>35612</v>
      </c>
      <c r="AB34" s="62">
        <f t="shared" si="34"/>
        <v>35735</v>
      </c>
    </row>
    <row r="35">
      <c r="A35" s="41"/>
      <c r="B35" s="41" t="s">
        <v>9</v>
      </c>
      <c r="C35" s="19">
        <v>37089.0</v>
      </c>
      <c r="D35" s="20">
        <v>174.53</v>
      </c>
      <c r="E35" s="70">
        <f t="shared" si="1"/>
        <v>37195</v>
      </c>
      <c r="F35" s="1"/>
      <c r="G35" s="1" t="str">
        <f>IFERROR(__xludf.DUMMYFUNCTION("""COMPUTED_VALUE"""),"MODIFICACION DE SALARIO")</f>
        <v>MODIFICACION DE SALARIO</v>
      </c>
      <c r="H35" s="51">
        <f>IFERROR(__xludf.DUMMYFUNCTION("""COMPUTED_VALUE"""),35400.0)</f>
        <v>35400</v>
      </c>
      <c r="I35" s="52">
        <f>IFERROR(__xludf.DUMMYFUNCTION("""COMPUTED_VALUE"""),346.02)</f>
        <v>346.02</v>
      </c>
      <c r="J35" s="51">
        <f>IFERROR(__xludf.DUMMYFUNCTION("""COMPUTED_VALUE"""),35431.0)</f>
        <v>35431</v>
      </c>
      <c r="K35" s="1"/>
      <c r="L35" s="53">
        <f t="shared" si="3"/>
        <v>35551</v>
      </c>
      <c r="M35" s="54">
        <f t="shared" si="4"/>
        <v>35612</v>
      </c>
      <c r="N35" s="67">
        <f t="shared" si="7"/>
        <v>630.54</v>
      </c>
      <c r="O35" s="56">
        <f t="shared" si="8"/>
        <v>8.714285714</v>
      </c>
      <c r="P35" s="56">
        <f t="shared" si="9"/>
        <v>0</v>
      </c>
      <c r="Q35" s="65">
        <f t="shared" si="5"/>
        <v>0</v>
      </c>
      <c r="R35" s="1"/>
      <c r="S35" s="58"/>
      <c r="T35" s="66"/>
      <c r="U35" s="59"/>
      <c r="V35" s="60"/>
      <c r="W35" s="64"/>
      <c r="X35" s="64"/>
      <c r="Y35" s="60"/>
      <c r="AA35" s="62">
        <f t="shared" ref="AA35:AB35" si="35">L35-T35</f>
        <v>35551</v>
      </c>
      <c r="AB35" s="62">
        <f t="shared" si="35"/>
        <v>35612</v>
      </c>
    </row>
    <row r="36">
      <c r="A36" s="41"/>
      <c r="B36" s="41" t="s">
        <v>23</v>
      </c>
      <c r="C36" s="19">
        <v>36892.0</v>
      </c>
      <c r="D36" s="20">
        <v>174.43</v>
      </c>
      <c r="E36" s="70">
        <f t="shared" si="1"/>
        <v>37089</v>
      </c>
      <c r="F36" s="1"/>
      <c r="G36" s="1" t="str">
        <f>IFERROR(__xludf.DUMMYFUNCTION("""COMPUTED_VALUE"""),"MODIFICACION DE SALARIO")</f>
        <v>MODIFICACION DE SALARIO</v>
      </c>
      <c r="H36" s="51">
        <f>IFERROR(__xludf.DUMMYFUNCTION("""COMPUTED_VALUE"""),35125.0)</f>
        <v>35125</v>
      </c>
      <c r="I36" s="52">
        <f>IFERROR(__xludf.DUMMYFUNCTION("""COMPUTED_VALUE"""),359.17)</f>
        <v>359.17</v>
      </c>
      <c r="J36" s="51">
        <f>IFERROR(__xludf.DUMMYFUNCTION("""COMPUTED_VALUE"""),35400.0)</f>
        <v>35400</v>
      </c>
      <c r="K36" s="1"/>
      <c r="L36" s="53">
        <f t="shared" si="3"/>
        <v>35490</v>
      </c>
      <c r="M36" s="54">
        <f t="shared" si="4"/>
        <v>35551</v>
      </c>
      <c r="N36" s="67">
        <f t="shared" si="7"/>
        <v>469.21</v>
      </c>
      <c r="O36" s="56">
        <f t="shared" si="8"/>
        <v>8.714285714</v>
      </c>
      <c r="P36" s="56">
        <f t="shared" si="9"/>
        <v>0</v>
      </c>
      <c r="Q36" s="65">
        <f t="shared" si="5"/>
        <v>0</v>
      </c>
      <c r="R36" s="1"/>
      <c r="S36" s="58"/>
      <c r="T36" s="66"/>
      <c r="U36" s="66"/>
      <c r="V36" s="60"/>
      <c r="W36" s="64"/>
      <c r="X36" s="64"/>
      <c r="Y36" s="60"/>
      <c r="AA36" s="62">
        <f t="shared" ref="AA36:AB36" si="36">L36-T36</f>
        <v>35490</v>
      </c>
      <c r="AB36" s="62">
        <f t="shared" si="36"/>
        <v>35551</v>
      </c>
    </row>
    <row r="37">
      <c r="A37" s="1"/>
      <c r="B37" s="41" t="s">
        <v>9</v>
      </c>
      <c r="C37" s="19">
        <v>36892.0</v>
      </c>
      <c r="D37" s="20">
        <v>174.43</v>
      </c>
      <c r="E37" s="70">
        <f t="shared" si="1"/>
        <v>36892</v>
      </c>
      <c r="F37" s="1"/>
      <c r="G37" s="1" t="str">
        <f>IFERROR(__xludf.DUMMYFUNCTION("""COMPUTED_VALUE"""),"REINGRESO")</f>
        <v>REINGRESO</v>
      </c>
      <c r="H37" s="71">
        <f>IFERROR(__xludf.DUMMYFUNCTION("""COMPUTED_VALUE"""),34881.0)</f>
        <v>34881</v>
      </c>
      <c r="I37" s="52">
        <f>IFERROR(__xludf.DUMMYFUNCTION("""COMPUTED_VALUE"""),344.23)</f>
        <v>344.23</v>
      </c>
      <c r="J37" s="51">
        <f>IFERROR(__xludf.DUMMYFUNCTION("""COMPUTED_VALUE"""),35125.0)</f>
        <v>35125</v>
      </c>
      <c r="K37" s="1"/>
      <c r="L37" s="53">
        <f t="shared" si="3"/>
        <v>35448</v>
      </c>
      <c r="M37" s="54">
        <f t="shared" si="4"/>
        <v>35490</v>
      </c>
      <c r="N37" s="67">
        <f t="shared" si="7"/>
        <v>453.25</v>
      </c>
      <c r="O37" s="56">
        <f t="shared" si="8"/>
        <v>6</v>
      </c>
      <c r="P37" s="56">
        <f t="shared" si="9"/>
        <v>0</v>
      </c>
      <c r="Q37" s="65">
        <f t="shared" si="5"/>
        <v>0</v>
      </c>
      <c r="R37" s="1"/>
      <c r="S37" s="58"/>
      <c r="T37" s="59"/>
      <c r="U37" s="66"/>
      <c r="V37" s="60"/>
      <c r="W37" s="64"/>
      <c r="X37" s="64"/>
      <c r="Y37" s="60"/>
      <c r="AA37" s="62">
        <f t="shared" ref="AA37:AB37" si="37">L37-T37</f>
        <v>35448</v>
      </c>
      <c r="AB37" s="62">
        <f t="shared" si="37"/>
        <v>35490</v>
      </c>
    </row>
    <row r="38">
      <c r="A38" s="1"/>
      <c r="B38" s="41" t="s">
        <v>23</v>
      </c>
      <c r="C38" s="19">
        <v>36431.0</v>
      </c>
      <c r="D38" s="20">
        <v>36.01</v>
      </c>
      <c r="E38" s="70">
        <f t="shared" si="1"/>
        <v>36892</v>
      </c>
      <c r="F38" s="1"/>
      <c r="G38" s="1" t="str">
        <f>IFERROR(__xludf.DUMMYFUNCTION("""COMPUTED_VALUE"""),"REINGRESO")</f>
        <v>REINGRESO</v>
      </c>
      <c r="H38" s="51">
        <f>IFERROR(__xludf.DUMMYFUNCTION("""COMPUTED_VALUE"""),34748.0)</f>
        <v>34748</v>
      </c>
      <c r="I38" s="52">
        <f>IFERROR(__xludf.DUMMYFUNCTION("""COMPUTED_VALUE"""),333.1)</f>
        <v>333.1</v>
      </c>
      <c r="J38" s="51">
        <f>IFERROR(__xludf.DUMMYFUNCTION("""COMPUTED_VALUE"""),34880.0)</f>
        <v>34880</v>
      </c>
      <c r="K38" s="1"/>
      <c r="L38" s="53">
        <f t="shared" si="3"/>
        <v>35431</v>
      </c>
      <c r="M38" s="54">
        <f t="shared" si="4"/>
        <v>35448</v>
      </c>
      <c r="N38" s="67">
        <f t="shared" si="7"/>
        <v>385.87</v>
      </c>
      <c r="O38" s="56">
        <f t="shared" si="8"/>
        <v>2.428571429</v>
      </c>
      <c r="P38" s="56">
        <f t="shared" si="9"/>
        <v>0</v>
      </c>
      <c r="Q38" s="65">
        <f t="shared" si="5"/>
        <v>0</v>
      </c>
      <c r="R38" s="1"/>
      <c r="S38" s="58"/>
      <c r="T38" s="59"/>
      <c r="U38" s="59"/>
      <c r="V38" s="60"/>
      <c r="W38" s="64"/>
      <c r="X38" s="64"/>
      <c r="Y38" s="60"/>
      <c r="AA38" s="62">
        <f t="shared" ref="AA38:AB38" si="38">L38-T38</f>
        <v>35431</v>
      </c>
      <c r="AB38" s="62">
        <f t="shared" si="38"/>
        <v>35448</v>
      </c>
    </row>
    <row r="39">
      <c r="A39" s="1"/>
      <c r="B39" s="41" t="s">
        <v>24</v>
      </c>
      <c r="C39" s="19">
        <v>36132.0</v>
      </c>
      <c r="D39" s="20">
        <v>36.01</v>
      </c>
      <c r="E39" s="70">
        <f t="shared" si="1"/>
        <v>36431</v>
      </c>
      <c r="F39" s="1"/>
      <c r="G39" s="1" t="str">
        <f>IFERROR(__xludf.DUMMYFUNCTION("""COMPUTED_VALUE"""),"REINGRESO")</f>
        <v>REINGRESO</v>
      </c>
      <c r="H39" s="51">
        <f>IFERROR(__xludf.DUMMYFUNCTION("""COMPUTED_VALUE"""),34706.0)</f>
        <v>34706</v>
      </c>
      <c r="I39" s="52">
        <f>IFERROR(__xludf.DUMMYFUNCTION("""COMPUTED_VALUE"""),333.1)</f>
        <v>333.1</v>
      </c>
      <c r="J39" s="51">
        <f>IFERROR(__xludf.DUMMYFUNCTION("""COMPUTED_VALUE"""),34759.0)</f>
        <v>34759</v>
      </c>
      <c r="K39" s="1"/>
      <c r="L39" s="53">
        <f t="shared" si="3"/>
        <v>35400</v>
      </c>
      <c r="M39" s="54">
        <f t="shared" si="4"/>
        <v>35431</v>
      </c>
      <c r="N39" s="67">
        <f t="shared" si="7"/>
        <v>346.02</v>
      </c>
      <c r="O39" s="56">
        <f t="shared" si="8"/>
        <v>4.428571429</v>
      </c>
      <c r="P39" s="56">
        <f t="shared" si="9"/>
        <v>0</v>
      </c>
      <c r="Q39" s="65">
        <f t="shared" si="5"/>
        <v>0</v>
      </c>
      <c r="R39" s="1"/>
      <c r="S39" s="58"/>
      <c r="T39" s="59"/>
      <c r="U39" s="59"/>
      <c r="V39" s="60"/>
      <c r="W39" s="64"/>
      <c r="X39" s="64"/>
      <c r="Y39" s="60"/>
      <c r="AA39" s="62">
        <f t="shared" ref="AA39:AB39" si="39">L39-T39</f>
        <v>35400</v>
      </c>
      <c r="AB39" s="62">
        <f t="shared" si="39"/>
        <v>35431</v>
      </c>
    </row>
    <row r="40">
      <c r="A40" s="1"/>
      <c r="B40" s="41" t="s">
        <v>9</v>
      </c>
      <c r="C40" s="19">
        <v>35977.0</v>
      </c>
      <c r="D40" s="20">
        <v>31.57</v>
      </c>
      <c r="E40" s="70">
        <f t="shared" si="1"/>
        <v>36132</v>
      </c>
      <c r="F40" s="1"/>
      <c r="G40" s="1" t="str">
        <f>IFERROR(__xludf.DUMMYFUNCTION("""COMPUTED_VALUE"""),"MODIFICACION DE SALARIO")</f>
        <v>MODIFICACION DE SALARIO</v>
      </c>
      <c r="H40" s="51">
        <f>IFERROR(__xludf.DUMMYFUNCTION("""COMPUTED_VALUE"""),34628.0)</f>
        <v>34628</v>
      </c>
      <c r="I40" s="52">
        <f>IFERROR(__xludf.DUMMYFUNCTION("""COMPUTED_VALUE"""),333.1)</f>
        <v>333.1</v>
      </c>
      <c r="J40" s="51">
        <f>IFERROR(__xludf.DUMMYFUNCTION("""COMPUTED_VALUE"""),34716.0)</f>
        <v>34716</v>
      </c>
      <c r="K40" s="1"/>
      <c r="L40" s="53">
        <f t="shared" si="3"/>
        <v>35125</v>
      </c>
      <c r="M40" s="54">
        <f t="shared" si="4"/>
        <v>35400</v>
      </c>
      <c r="N40" s="67">
        <f t="shared" si="7"/>
        <v>359.17</v>
      </c>
      <c r="O40" s="56">
        <f t="shared" si="8"/>
        <v>39.28571429</v>
      </c>
      <c r="P40" s="56">
        <f t="shared" si="9"/>
        <v>0</v>
      </c>
      <c r="Q40" s="65">
        <f t="shared" si="5"/>
        <v>0</v>
      </c>
      <c r="R40" s="1"/>
      <c r="S40" s="58"/>
      <c r="T40" s="59"/>
      <c r="U40" s="59"/>
      <c r="V40" s="60"/>
      <c r="W40" s="64"/>
      <c r="X40" s="64"/>
      <c r="Y40" s="60"/>
      <c r="AA40" s="62">
        <f t="shared" ref="AA40:AB40" si="40">L40-T40</f>
        <v>35125</v>
      </c>
      <c r="AB40" s="62">
        <f t="shared" si="40"/>
        <v>35400</v>
      </c>
    </row>
    <row r="41">
      <c r="A41" s="1"/>
      <c r="B41" s="41" t="s">
        <v>23</v>
      </c>
      <c r="C41" s="19">
        <v>35839.0</v>
      </c>
      <c r="D41" s="20">
        <v>755.0</v>
      </c>
      <c r="E41" s="70">
        <f t="shared" si="1"/>
        <v>35977</v>
      </c>
      <c r="F41" s="1"/>
      <c r="G41" s="1" t="str">
        <f>IFERROR(__xludf.DUMMYFUNCTION("""COMPUTED_VALUE"""),"MODIFICACION DE SALARIO")</f>
        <v>MODIFICACION DE SALARIO</v>
      </c>
      <c r="H41" s="51">
        <f>IFERROR(__xludf.DUMMYFUNCTION("""COMPUTED_VALUE"""),34384.0)</f>
        <v>34384</v>
      </c>
      <c r="I41" s="52">
        <f>IFERROR(__xludf.DUMMYFUNCTION("""COMPUTED_VALUE"""),311.14)</f>
        <v>311.14</v>
      </c>
      <c r="J41" s="51">
        <f>IFERROR(__xludf.DUMMYFUNCTION("""COMPUTED_VALUE"""),34628.0)</f>
        <v>34628</v>
      </c>
      <c r="K41" s="1"/>
      <c r="L41" s="53">
        <f t="shared" si="3"/>
        <v>34881</v>
      </c>
      <c r="M41" s="54">
        <f t="shared" si="4"/>
        <v>35125</v>
      </c>
      <c r="N41" s="67">
        <f t="shared" si="7"/>
        <v>344.23</v>
      </c>
      <c r="O41" s="56">
        <f t="shared" si="8"/>
        <v>34.85714286</v>
      </c>
      <c r="P41" s="56">
        <f t="shared" si="9"/>
        <v>0</v>
      </c>
      <c r="Q41" s="65">
        <f t="shared" si="5"/>
        <v>0</v>
      </c>
      <c r="R41" s="1"/>
      <c r="S41" s="58"/>
      <c r="T41" s="59"/>
      <c r="U41" s="59"/>
      <c r="V41" s="60"/>
      <c r="W41" s="64"/>
      <c r="X41" s="64"/>
      <c r="Y41" s="60"/>
      <c r="AA41" s="62">
        <f t="shared" ref="AA41:AB41" si="41">L41-T41</f>
        <v>34881</v>
      </c>
      <c r="AB41" s="62">
        <f t="shared" si="41"/>
        <v>35125</v>
      </c>
    </row>
    <row r="42">
      <c r="A42" s="1"/>
      <c r="B42" s="41" t="s">
        <v>24</v>
      </c>
      <c r="C42" s="19">
        <v>35827.0</v>
      </c>
      <c r="D42" s="20">
        <v>755.0</v>
      </c>
      <c r="E42" s="70">
        <f t="shared" si="1"/>
        <v>35839</v>
      </c>
      <c r="F42" s="1"/>
      <c r="G42" s="1" t="str">
        <f>IFERROR(__xludf.DUMMYFUNCTION("""COMPUTED_VALUE"""),"MODIFICACION DE SALARIO")</f>
        <v>MODIFICACION DE SALARIO</v>
      </c>
      <c r="H42" s="51">
        <f>IFERROR(__xludf.DUMMYFUNCTION("""COMPUTED_VALUE"""),34383.0)</f>
        <v>34383</v>
      </c>
      <c r="I42" s="52">
        <f>IFERROR(__xludf.DUMMYFUNCTION("""COMPUTED_VALUE"""),281.78)</f>
        <v>281.78</v>
      </c>
      <c r="J42" s="51">
        <f>IFERROR(__xludf.DUMMYFUNCTION("""COMPUTED_VALUE"""),34384.0)</f>
        <v>34384</v>
      </c>
      <c r="K42" s="1"/>
      <c r="L42" s="53">
        <f t="shared" si="3"/>
        <v>34748</v>
      </c>
      <c r="M42" s="54">
        <f t="shared" si="4"/>
        <v>34880</v>
      </c>
      <c r="N42" s="67">
        <f t="shared" si="7"/>
        <v>333.1</v>
      </c>
      <c r="O42" s="56">
        <f t="shared" si="8"/>
        <v>18.85714286</v>
      </c>
      <c r="P42" s="56">
        <f t="shared" si="9"/>
        <v>0</v>
      </c>
      <c r="Q42" s="65">
        <f t="shared" si="5"/>
        <v>0</v>
      </c>
      <c r="R42" s="1"/>
      <c r="S42" s="58"/>
      <c r="T42" s="66"/>
      <c r="U42" s="59"/>
      <c r="V42" s="60"/>
      <c r="W42" s="64"/>
      <c r="X42" s="64"/>
      <c r="Y42" s="60"/>
      <c r="AA42" s="62">
        <f t="shared" ref="AA42:AB42" si="42">L42-T42</f>
        <v>34748</v>
      </c>
      <c r="AB42" s="62">
        <f t="shared" si="42"/>
        <v>34880</v>
      </c>
    </row>
    <row r="43">
      <c r="A43" s="1"/>
      <c r="B43" s="41" t="s">
        <v>24</v>
      </c>
      <c r="C43" s="19">
        <v>35735.0</v>
      </c>
      <c r="D43" s="20">
        <v>594.3</v>
      </c>
      <c r="E43" s="70">
        <f t="shared" si="1"/>
        <v>35827</v>
      </c>
      <c r="F43" s="1"/>
      <c r="G43" s="1" t="str">
        <f>IFERROR(__xludf.DUMMYFUNCTION("""COMPUTED_VALUE"""),"MODIFICACION DE SALARIO")</f>
        <v>MODIFICACION DE SALARIO</v>
      </c>
      <c r="H43" s="51">
        <f>IFERROR(__xludf.DUMMYFUNCTION("""COMPUTED_VALUE"""),34171.0)</f>
        <v>34171</v>
      </c>
      <c r="I43" s="52">
        <f>IFERROR(__xludf.DUMMYFUNCTION("""COMPUTED_VALUE"""),247.17)</f>
        <v>247.17</v>
      </c>
      <c r="J43" s="51">
        <f>IFERROR(__xludf.DUMMYFUNCTION("""COMPUTED_VALUE"""),34383.0)</f>
        <v>34383</v>
      </c>
      <c r="K43" s="1"/>
      <c r="L43" s="53">
        <f t="shared" si="3"/>
        <v>34706</v>
      </c>
      <c r="M43" s="54">
        <f t="shared" si="4"/>
        <v>34759</v>
      </c>
      <c r="N43" s="67">
        <f t="shared" si="7"/>
        <v>333.1</v>
      </c>
      <c r="O43" s="56">
        <f t="shared" si="8"/>
        <v>7.571428571</v>
      </c>
      <c r="P43" s="56">
        <f t="shared" si="9"/>
        <v>0</v>
      </c>
      <c r="Q43" s="65">
        <f t="shared" si="5"/>
        <v>0</v>
      </c>
      <c r="R43" s="1"/>
      <c r="S43" s="58"/>
      <c r="T43" s="66"/>
      <c r="U43" s="66"/>
      <c r="V43" s="60"/>
      <c r="W43" s="64"/>
      <c r="X43" s="64"/>
      <c r="Y43" s="60"/>
      <c r="AA43" s="62">
        <f t="shared" ref="AA43:AB43" si="43">L43-T43</f>
        <v>34706</v>
      </c>
      <c r="AB43" s="62">
        <f t="shared" si="43"/>
        <v>34759</v>
      </c>
    </row>
    <row r="44">
      <c r="A44" s="1"/>
      <c r="B44" s="41" t="s">
        <v>24</v>
      </c>
      <c r="C44" s="19">
        <v>35612.0</v>
      </c>
      <c r="D44" s="20">
        <v>661.25</v>
      </c>
      <c r="E44" s="70">
        <f t="shared" si="1"/>
        <v>35735</v>
      </c>
      <c r="F44" s="1"/>
      <c r="G44" s="1" t="str">
        <f>IFERROR(__xludf.DUMMYFUNCTION("""COMPUTED_VALUE"""),"MODIFICACION DE SALARIO")</f>
        <v>MODIFICACION DE SALARIO</v>
      </c>
      <c r="H44" s="51">
        <f>IFERROR(__xludf.DUMMYFUNCTION("""COMPUTED_VALUE"""),33970.0)</f>
        <v>33970</v>
      </c>
      <c r="I44" s="52">
        <f>IFERROR(__xludf.DUMMYFUNCTION("""COMPUTED_VALUE"""),142.7)</f>
        <v>142.7</v>
      </c>
      <c r="J44" s="51">
        <f>IFERROR(__xludf.DUMMYFUNCTION("""COMPUTED_VALUE"""),34171.0)</f>
        <v>34171</v>
      </c>
      <c r="K44" s="1"/>
      <c r="L44" s="53">
        <f t="shared" si="3"/>
        <v>34628</v>
      </c>
      <c r="M44" s="54">
        <f t="shared" si="4"/>
        <v>34716</v>
      </c>
      <c r="N44" s="67">
        <f t="shared" si="7"/>
        <v>333.1</v>
      </c>
      <c r="O44" s="56">
        <f t="shared" si="8"/>
        <v>12.57142857</v>
      </c>
      <c r="P44" s="56">
        <f t="shared" si="9"/>
        <v>0</v>
      </c>
      <c r="Q44" s="65">
        <f t="shared" si="5"/>
        <v>0</v>
      </c>
      <c r="R44" s="1"/>
      <c r="S44" s="58"/>
      <c r="T44" s="59"/>
      <c r="U44" s="66"/>
      <c r="V44" s="60"/>
      <c r="W44" s="64"/>
      <c r="X44" s="64"/>
      <c r="Y44" s="60"/>
      <c r="AA44" s="62">
        <f t="shared" ref="AA44:AB44" si="44">L44-T44</f>
        <v>34628</v>
      </c>
      <c r="AB44" s="62">
        <f t="shared" si="44"/>
        <v>34716</v>
      </c>
    </row>
    <row r="45">
      <c r="A45" s="1"/>
      <c r="B45" s="41" t="s">
        <v>24</v>
      </c>
      <c r="C45" s="19">
        <v>35551.0</v>
      </c>
      <c r="D45" s="20">
        <v>630.54</v>
      </c>
      <c r="E45" s="70">
        <f t="shared" si="1"/>
        <v>35612</v>
      </c>
      <c r="F45" s="1"/>
      <c r="G45" s="1" t="str">
        <f>IFERROR(__xludf.DUMMYFUNCTION("""COMPUTED_VALUE"""),"MODIFICACION DE SALARIO")</f>
        <v>MODIFICACION DE SALARIO</v>
      </c>
      <c r="H45" s="51">
        <f>IFERROR(__xludf.DUMMYFUNCTION("""COMPUTED_VALUE"""),33700.0)</f>
        <v>33700</v>
      </c>
      <c r="I45" s="52">
        <f>IFERROR(__xludf.DUMMYFUNCTION("""COMPUTED_VALUE"""),133.33)</f>
        <v>133.33</v>
      </c>
      <c r="J45" s="51">
        <f>IFERROR(__xludf.DUMMYFUNCTION("""COMPUTED_VALUE"""),33970.0)</f>
        <v>33970</v>
      </c>
      <c r="K45" s="1"/>
      <c r="L45" s="53">
        <f t="shared" si="3"/>
        <v>34384</v>
      </c>
      <c r="M45" s="54">
        <f t="shared" si="4"/>
        <v>34628</v>
      </c>
      <c r="N45" s="67">
        <f t="shared" si="7"/>
        <v>311.14</v>
      </c>
      <c r="O45" s="56">
        <f t="shared" si="8"/>
        <v>34.85714286</v>
      </c>
      <c r="P45" s="56">
        <f t="shared" si="9"/>
        <v>0</v>
      </c>
      <c r="Q45" s="65">
        <f t="shared" si="5"/>
        <v>0</v>
      </c>
      <c r="R45" s="1"/>
      <c r="S45" s="58"/>
      <c r="T45" s="59"/>
      <c r="U45" s="59"/>
      <c r="V45" s="60"/>
      <c r="W45" s="64"/>
      <c r="X45" s="64"/>
      <c r="Y45" s="60"/>
      <c r="AA45" s="62">
        <f t="shared" ref="AA45:AB45" si="45">L45-T45</f>
        <v>34384</v>
      </c>
      <c r="AB45" s="62">
        <f t="shared" si="45"/>
        <v>34628</v>
      </c>
    </row>
    <row r="46">
      <c r="A46" s="1"/>
      <c r="B46" s="41" t="s">
        <v>24</v>
      </c>
      <c r="C46" s="19">
        <v>35490.0</v>
      </c>
      <c r="D46" s="20">
        <v>469.21</v>
      </c>
      <c r="E46" s="70">
        <f t="shared" si="1"/>
        <v>35551</v>
      </c>
      <c r="F46" s="1"/>
      <c r="G46" s="1" t="str">
        <f>IFERROR(__xludf.DUMMYFUNCTION("""COMPUTED_VALUE"""),"MODIFICACION DE SALARIO")</f>
        <v>MODIFICACION DE SALARIO</v>
      </c>
      <c r="H46" s="51">
        <f>IFERROR(__xludf.DUMMYFUNCTION("""COMPUTED_VALUE"""),33469.0)</f>
        <v>33469</v>
      </c>
      <c r="I46" s="52">
        <f>IFERROR(__xludf.DUMMYFUNCTION("""COMPUTED_VALUE"""),119.0)</f>
        <v>119</v>
      </c>
      <c r="J46" s="51">
        <f>IFERROR(__xludf.DUMMYFUNCTION("""COMPUTED_VALUE"""),33700.0)</f>
        <v>33700</v>
      </c>
      <c r="K46" s="1"/>
      <c r="L46" s="53">
        <f t="shared" si="3"/>
        <v>34383</v>
      </c>
      <c r="M46" s="54">
        <f t="shared" si="4"/>
        <v>34384</v>
      </c>
      <c r="N46" s="67">
        <f t="shared" si="7"/>
        <v>281.78</v>
      </c>
      <c r="O46" s="56">
        <f t="shared" si="8"/>
        <v>0.1428571429</v>
      </c>
      <c r="P46" s="56">
        <f t="shared" si="9"/>
        <v>0</v>
      </c>
      <c r="Q46" s="65">
        <f t="shared" si="5"/>
        <v>0</v>
      </c>
      <c r="R46" s="1"/>
      <c r="S46" s="58"/>
      <c r="T46" s="59"/>
      <c r="U46" s="59"/>
      <c r="V46" s="60"/>
      <c r="W46" s="64"/>
      <c r="X46" s="64"/>
      <c r="Y46" s="60"/>
      <c r="AA46" s="62"/>
      <c r="AB46" s="62"/>
    </row>
    <row r="47">
      <c r="A47" s="1"/>
      <c r="B47" s="41" t="s">
        <v>24</v>
      </c>
      <c r="C47" s="19">
        <v>35448.0</v>
      </c>
      <c r="D47" s="20">
        <v>453.25</v>
      </c>
      <c r="E47" s="70">
        <f t="shared" si="1"/>
        <v>35490</v>
      </c>
      <c r="F47" s="1"/>
      <c r="G47" s="1" t="str">
        <f>IFERROR(__xludf.DUMMYFUNCTION("""COMPUTED_VALUE"""),"MODIFICACION DE SALARIO")</f>
        <v>MODIFICACION DE SALARIO</v>
      </c>
      <c r="H47" s="51">
        <f>IFERROR(__xludf.DUMMYFUNCTION("""COMPUTED_VALUE"""),33264.0)</f>
        <v>33264</v>
      </c>
      <c r="I47" s="52">
        <f>IFERROR(__xludf.DUMMYFUNCTION("""COMPUTED_VALUE"""),80.55)</f>
        <v>80.55</v>
      </c>
      <c r="J47" s="51">
        <f>IFERROR(__xludf.DUMMYFUNCTION("""COMPUTED_VALUE"""),33469.0)</f>
        <v>33469</v>
      </c>
      <c r="K47" s="1"/>
      <c r="L47" s="53">
        <f t="shared" si="3"/>
        <v>34171</v>
      </c>
      <c r="M47" s="54">
        <f t="shared" si="4"/>
        <v>34383</v>
      </c>
      <c r="N47" s="67">
        <f t="shared" si="7"/>
        <v>247.17</v>
      </c>
      <c r="O47" s="56">
        <f t="shared" si="8"/>
        <v>30.28571429</v>
      </c>
      <c r="P47" s="56">
        <f t="shared" si="9"/>
        <v>0</v>
      </c>
      <c r="Q47" s="65">
        <f t="shared" si="5"/>
        <v>0</v>
      </c>
      <c r="R47" s="1"/>
      <c r="S47" s="58"/>
      <c r="T47" s="59"/>
      <c r="U47" s="59"/>
      <c r="V47" s="60"/>
      <c r="W47" s="64"/>
      <c r="X47" s="64"/>
      <c r="Y47" s="60"/>
      <c r="AA47" s="62"/>
      <c r="AB47" s="62"/>
    </row>
    <row r="48">
      <c r="A48" s="1"/>
      <c r="B48" s="41" t="s">
        <v>24</v>
      </c>
      <c r="C48" s="19">
        <v>35431.0</v>
      </c>
      <c r="D48" s="20">
        <v>385.87</v>
      </c>
      <c r="E48" s="70">
        <f t="shared" si="1"/>
        <v>35448</v>
      </c>
      <c r="F48" s="1"/>
      <c r="G48" s="1" t="str">
        <f>IFERROR(__xludf.DUMMYFUNCTION("""COMPUTED_VALUE"""),"MODIFICACION DE SALARIO")</f>
        <v>MODIFICACION DE SALARIO</v>
      </c>
      <c r="H48" s="51">
        <f>IFERROR(__xludf.DUMMYFUNCTION("""COMPUTED_VALUE"""),33068.0)</f>
        <v>33068</v>
      </c>
      <c r="I48" s="52">
        <f>IFERROR(__xludf.DUMMYFUNCTION("""COMPUTED_VALUE"""),59.53)</f>
        <v>59.53</v>
      </c>
      <c r="J48" s="51">
        <f>IFERROR(__xludf.DUMMYFUNCTION("""COMPUTED_VALUE"""),33264.0)</f>
        <v>33264</v>
      </c>
      <c r="K48" s="1"/>
      <c r="L48" s="53">
        <f t="shared" si="3"/>
        <v>33970</v>
      </c>
      <c r="M48" s="54">
        <f t="shared" si="4"/>
        <v>34171</v>
      </c>
      <c r="N48" s="67">
        <f t="shared" si="7"/>
        <v>142.7</v>
      </c>
      <c r="O48" s="56">
        <f t="shared" si="8"/>
        <v>28.71428571</v>
      </c>
      <c r="P48" s="56">
        <f t="shared" si="9"/>
        <v>0</v>
      </c>
      <c r="Q48" s="65">
        <f t="shared" si="5"/>
        <v>0</v>
      </c>
      <c r="R48" s="1"/>
      <c r="S48" s="58"/>
      <c r="T48" s="59"/>
      <c r="U48" s="59"/>
      <c r="V48" s="60"/>
      <c r="W48" s="64"/>
      <c r="X48" s="64"/>
      <c r="Y48" s="60"/>
      <c r="AA48" s="62"/>
      <c r="AB48" s="62"/>
    </row>
    <row r="49">
      <c r="A49" s="1"/>
      <c r="B49" s="41" t="s">
        <v>24</v>
      </c>
      <c r="C49" s="19">
        <v>35400.0</v>
      </c>
      <c r="D49" s="20">
        <v>346.02</v>
      </c>
      <c r="E49" s="70">
        <f t="shared" si="1"/>
        <v>35431</v>
      </c>
      <c r="F49" s="1"/>
      <c r="G49" s="1" t="str">
        <f>IFERROR(__xludf.DUMMYFUNCTION("""COMPUTED_VALUE"""),"ALTA")</f>
        <v>ALTA</v>
      </c>
      <c r="H49" s="51">
        <f>IFERROR(__xludf.DUMMYFUNCTION("""COMPUTED_VALUE"""),32878.0)</f>
        <v>32878</v>
      </c>
      <c r="I49" s="52">
        <f>IFERROR(__xludf.DUMMYFUNCTION("""COMPUTED_VALUE"""),59.53)</f>
        <v>59.53</v>
      </c>
      <c r="J49" s="51">
        <f>IFERROR(__xludf.DUMMYFUNCTION("""COMPUTED_VALUE"""),33068.0)</f>
        <v>33068</v>
      </c>
      <c r="K49" s="1"/>
      <c r="L49" s="53">
        <f t="shared" si="3"/>
        <v>33700</v>
      </c>
      <c r="M49" s="54">
        <f t="shared" si="4"/>
        <v>33970</v>
      </c>
      <c r="N49" s="67">
        <f t="shared" si="7"/>
        <v>133.33</v>
      </c>
      <c r="O49" s="56">
        <f t="shared" si="8"/>
        <v>38.57142857</v>
      </c>
      <c r="P49" s="56">
        <f t="shared" si="9"/>
        <v>0</v>
      </c>
      <c r="Q49" s="65">
        <f t="shared" si="5"/>
        <v>0</v>
      </c>
      <c r="R49" s="1"/>
      <c r="S49" s="58"/>
      <c r="T49" s="59"/>
      <c r="U49" s="59"/>
      <c r="V49" s="60"/>
      <c r="W49" s="64"/>
      <c r="X49" s="64"/>
      <c r="Y49" s="60"/>
      <c r="AA49" s="62"/>
      <c r="AB49" s="62"/>
    </row>
    <row r="50">
      <c r="A50" s="1"/>
      <c r="B50" s="41" t="s">
        <v>24</v>
      </c>
      <c r="C50" s="19">
        <v>35125.0</v>
      </c>
      <c r="D50" s="20">
        <v>359.17</v>
      </c>
      <c r="E50" s="70">
        <f t="shared" si="1"/>
        <v>35400</v>
      </c>
      <c r="F50" s="1"/>
      <c r="G50" s="1" t="str">
        <f>IFERROR(__xludf.DUMMYFUNCTION("""COMPUTED_VALUE"""),"ALTA")</f>
        <v>ALTA</v>
      </c>
      <c r="H50" s="51">
        <f>IFERROR(__xludf.DUMMYFUNCTION("""COMPUTED_VALUE"""),32868.0)</f>
        <v>32868</v>
      </c>
      <c r="I50" s="52">
        <f>IFERROR(__xludf.DUMMYFUNCTION("""COMPUTED_VALUE"""),78.13)</f>
        <v>78.13</v>
      </c>
      <c r="J50" s="51">
        <f>IFERROR(__xludf.DUMMYFUNCTION("""COMPUTED_VALUE"""),32867.0)</f>
        <v>32867</v>
      </c>
      <c r="K50" s="1"/>
      <c r="L50" s="53">
        <f t="shared" si="3"/>
        <v>33469</v>
      </c>
      <c r="M50" s="54">
        <f t="shared" si="4"/>
        <v>33700</v>
      </c>
      <c r="N50" s="67">
        <f t="shared" si="7"/>
        <v>119</v>
      </c>
      <c r="O50" s="56">
        <f t="shared" si="8"/>
        <v>33</v>
      </c>
      <c r="P50" s="56">
        <f t="shared" si="9"/>
        <v>0</v>
      </c>
      <c r="Q50" s="65">
        <f t="shared" si="5"/>
        <v>0</v>
      </c>
      <c r="R50" s="1"/>
      <c r="S50" s="58"/>
      <c r="T50" s="59"/>
      <c r="U50" s="59"/>
      <c r="V50" s="60"/>
      <c r="W50" s="64"/>
      <c r="X50" s="64"/>
      <c r="Y50" s="60"/>
      <c r="AA50" s="62"/>
      <c r="AB50" s="62"/>
    </row>
    <row r="51">
      <c r="A51" s="1"/>
      <c r="B51" s="41" t="s">
        <v>9</v>
      </c>
      <c r="C51" s="19">
        <v>34881.0</v>
      </c>
      <c r="D51" s="20">
        <v>344.23</v>
      </c>
      <c r="E51" s="70">
        <f t="shared" si="1"/>
        <v>35125</v>
      </c>
      <c r="F51" s="1"/>
      <c r="G51" s="1" t="str">
        <f>IFERROR(__xludf.DUMMYFUNCTION("""COMPUTED_VALUE"""),"MODIFICACION DE SALARIO")</f>
        <v>MODIFICACION DE SALARIO</v>
      </c>
      <c r="H51" s="51">
        <f>IFERROR(__xludf.DUMMYFUNCTION("""COMPUTED_VALUE"""),32643.0)</f>
        <v>32643</v>
      </c>
      <c r="I51" s="52">
        <f>IFERROR(__xludf.DUMMYFUNCTION("""COMPUTED_VALUE"""),32.61)</f>
        <v>32.61</v>
      </c>
      <c r="J51" s="51">
        <f>IFERROR(__xludf.DUMMYFUNCTION("""COMPUTED_VALUE"""),32509.0)</f>
        <v>32509</v>
      </c>
      <c r="K51" s="1"/>
      <c r="L51" s="53">
        <f t="shared" si="3"/>
        <v>33264</v>
      </c>
      <c r="M51" s="54">
        <f t="shared" si="4"/>
        <v>33469</v>
      </c>
      <c r="N51" s="67">
        <f t="shared" si="7"/>
        <v>80.55</v>
      </c>
      <c r="O51" s="56">
        <f t="shared" si="8"/>
        <v>29.28571429</v>
      </c>
      <c r="P51" s="56">
        <f t="shared" si="9"/>
        <v>0</v>
      </c>
      <c r="Q51" s="65">
        <f t="shared" si="5"/>
        <v>0</v>
      </c>
      <c r="R51" s="1"/>
      <c r="S51" s="58"/>
      <c r="T51" s="59"/>
      <c r="U51" s="59"/>
      <c r="V51" s="60"/>
      <c r="W51" s="64"/>
      <c r="X51" s="64"/>
      <c r="Y51" s="60"/>
      <c r="AA51" s="62"/>
      <c r="AB51" s="62"/>
    </row>
    <row r="52">
      <c r="A52" s="1"/>
      <c r="B52" s="41" t="s">
        <v>23</v>
      </c>
      <c r="C52" s="19">
        <v>34880.0</v>
      </c>
      <c r="D52" s="20">
        <v>333.1</v>
      </c>
      <c r="E52" s="70">
        <f t="shared" si="1"/>
        <v>34881</v>
      </c>
      <c r="F52" s="1"/>
      <c r="G52" s="1" t="str">
        <f>IFERROR(__xludf.DUMMYFUNCTION("""COMPUTED_VALUE"""),"MODIFICACION DE SALARIO")</f>
        <v>MODIFICACION DE SALARIO</v>
      </c>
      <c r="H52" s="51">
        <f>IFERROR(__xludf.DUMMYFUNCTION("""COMPUTED_VALUE"""),32509.0)</f>
        <v>32509</v>
      </c>
      <c r="I52" s="52">
        <f>IFERROR(__xludf.DUMMYFUNCTION("""COMPUTED_VALUE"""),9.03)</f>
        <v>9.03</v>
      </c>
      <c r="J52" s="51">
        <f>IFERROR(__xludf.DUMMYFUNCTION("""COMPUTED_VALUE"""),32387.0)</f>
        <v>32387</v>
      </c>
      <c r="K52" s="1"/>
      <c r="L52" s="53">
        <f t="shared" si="3"/>
        <v>33068</v>
      </c>
      <c r="M52" s="54">
        <f t="shared" si="4"/>
        <v>33264</v>
      </c>
      <c r="N52" s="67">
        <f t="shared" si="7"/>
        <v>59.53</v>
      </c>
      <c r="O52" s="56">
        <f t="shared" si="8"/>
        <v>28</v>
      </c>
      <c r="P52" s="56">
        <f t="shared" si="9"/>
        <v>0</v>
      </c>
      <c r="Q52" s="65">
        <f t="shared" si="5"/>
        <v>0</v>
      </c>
      <c r="R52" s="1"/>
      <c r="S52" s="58"/>
      <c r="T52" s="59"/>
      <c r="U52" s="59"/>
      <c r="V52" s="60"/>
      <c r="W52" s="64"/>
      <c r="X52" s="64"/>
      <c r="Y52" s="60"/>
      <c r="AA52" s="62"/>
      <c r="AB52" s="62"/>
    </row>
    <row r="53">
      <c r="A53" s="1"/>
      <c r="B53" s="41" t="s">
        <v>9</v>
      </c>
      <c r="C53" s="19">
        <v>34748.0</v>
      </c>
      <c r="D53" s="20">
        <v>333.1</v>
      </c>
      <c r="E53" s="70">
        <f t="shared" si="1"/>
        <v>34880</v>
      </c>
      <c r="F53" s="1"/>
      <c r="G53" s="1" t="str">
        <f>IFERROR(__xludf.DUMMYFUNCTION("""COMPUTED_VALUE"""),"REINGRESO")</f>
        <v>REINGRESO</v>
      </c>
      <c r="H53" s="51">
        <f>IFERROR(__xludf.DUMMYFUNCTION("""COMPUTED_VALUE"""),32387.0)</f>
        <v>32387</v>
      </c>
      <c r="I53" s="52">
        <f>IFERROR(__xludf.DUMMYFUNCTION("""COMPUTED_VALUE"""),8.36)</f>
        <v>8.36</v>
      </c>
      <c r="J53" s="51" t="str">
        <f>IFERROR(__xludf.DUMMYFUNCTION("""COMPUTED_VALUE"""),"#REF!")</f>
        <v>#REF!</v>
      </c>
      <c r="K53" s="1"/>
      <c r="L53" s="53">
        <f t="shared" si="3"/>
        <v>32878</v>
      </c>
      <c r="M53" s="54">
        <f t="shared" si="4"/>
        <v>33068</v>
      </c>
      <c r="N53" s="67">
        <f t="shared" si="7"/>
        <v>59.53</v>
      </c>
      <c r="O53" s="56">
        <f t="shared" si="8"/>
        <v>27.14285714</v>
      </c>
      <c r="P53" s="56">
        <f t="shared" si="9"/>
        <v>0</v>
      </c>
      <c r="Q53" s="65">
        <f t="shared" si="5"/>
        <v>0</v>
      </c>
      <c r="R53" s="1"/>
      <c r="S53" s="58"/>
      <c r="T53" s="59"/>
      <c r="U53" s="59"/>
      <c r="V53" s="60"/>
      <c r="W53" s="64"/>
      <c r="X53" s="64"/>
      <c r="Y53" s="60"/>
    </row>
    <row r="54">
      <c r="A54" s="1"/>
      <c r="B54" s="41" t="s">
        <v>23</v>
      </c>
      <c r="C54" s="19">
        <v>34759.0</v>
      </c>
      <c r="D54" s="20">
        <v>333.1</v>
      </c>
      <c r="E54" s="70">
        <f t="shared" si="1"/>
        <v>34748</v>
      </c>
      <c r="F54" s="1"/>
      <c r="G54" s="1"/>
      <c r="H54" s="51"/>
      <c r="I54" s="52"/>
      <c r="J54" s="51"/>
      <c r="K54" s="1"/>
      <c r="L54" s="53">
        <f t="shared" si="3"/>
        <v>32868</v>
      </c>
      <c r="M54" s="54">
        <f t="shared" si="4"/>
        <v>32867</v>
      </c>
      <c r="N54" s="67">
        <f t="shared" si="7"/>
        <v>78.13</v>
      </c>
      <c r="O54" s="56" t="str">
        <f t="shared" si="8"/>
        <v>#NUM!</v>
      </c>
      <c r="P54" s="56">
        <f t="shared" si="9"/>
        <v>-0.1428571429</v>
      </c>
      <c r="Q54" s="65">
        <f t="shared" si="5"/>
        <v>0</v>
      </c>
      <c r="R54" s="1"/>
      <c r="S54" s="58"/>
      <c r="T54" s="59"/>
      <c r="U54" s="59"/>
      <c r="V54" s="60"/>
      <c r="W54" s="64"/>
      <c r="X54" s="64"/>
      <c r="Y54" s="60"/>
    </row>
    <row r="55">
      <c r="A55" s="1"/>
      <c r="B55" s="41" t="s">
        <v>9</v>
      </c>
      <c r="C55" s="19">
        <v>34706.0</v>
      </c>
      <c r="D55" s="20">
        <v>333.1</v>
      </c>
      <c r="E55" s="70">
        <f t="shared" si="1"/>
        <v>34759</v>
      </c>
      <c r="F55" s="1"/>
      <c r="G55" s="1"/>
      <c r="H55" s="51"/>
      <c r="I55" s="52"/>
      <c r="J55" s="51"/>
      <c r="K55" s="1"/>
      <c r="L55" s="53">
        <f t="shared" si="3"/>
        <v>32643</v>
      </c>
      <c r="M55" s="54">
        <f t="shared" si="4"/>
        <v>32509</v>
      </c>
      <c r="N55" s="67">
        <f t="shared" si="7"/>
        <v>32.61</v>
      </c>
      <c r="O55" s="56" t="str">
        <f t="shared" si="8"/>
        <v>#NUM!</v>
      </c>
      <c r="P55" s="56">
        <f t="shared" si="9"/>
        <v>-19.14285714</v>
      </c>
      <c r="Q55" s="65">
        <f t="shared" si="5"/>
        <v>0</v>
      </c>
      <c r="R55" s="1"/>
      <c r="S55" s="58"/>
      <c r="T55" s="59"/>
      <c r="U55" s="59"/>
      <c r="V55" s="60"/>
      <c r="W55" s="64"/>
      <c r="X55" s="64"/>
      <c r="Y55" s="60"/>
    </row>
    <row r="56">
      <c r="A56" s="1"/>
      <c r="B56" s="41" t="s">
        <v>23</v>
      </c>
      <c r="C56" s="19">
        <v>34716.0</v>
      </c>
      <c r="D56" s="20">
        <v>333.1</v>
      </c>
      <c r="E56" s="70">
        <f t="shared" si="1"/>
        <v>34706</v>
      </c>
      <c r="F56" s="1"/>
      <c r="G56" s="1"/>
      <c r="H56" s="51"/>
      <c r="I56" s="52"/>
      <c r="J56" s="51"/>
      <c r="K56" s="1"/>
      <c r="L56" s="53">
        <f t="shared" si="3"/>
        <v>32509</v>
      </c>
      <c r="M56" s="54">
        <f t="shared" si="4"/>
        <v>32387</v>
      </c>
      <c r="N56" s="67">
        <f t="shared" si="7"/>
        <v>9.03</v>
      </c>
      <c r="O56" s="56" t="str">
        <f t="shared" si="8"/>
        <v>#NUM!</v>
      </c>
      <c r="P56" s="56">
        <f t="shared" si="9"/>
        <v>-17.42857143</v>
      </c>
      <c r="Q56" s="65">
        <f t="shared" si="5"/>
        <v>0</v>
      </c>
      <c r="R56" s="1"/>
      <c r="S56" s="58"/>
      <c r="T56" s="59"/>
      <c r="U56" s="59"/>
      <c r="V56" s="60"/>
      <c r="W56" s="64"/>
      <c r="X56" s="64"/>
      <c r="Y56" s="60"/>
    </row>
    <row r="57">
      <c r="A57" s="1"/>
      <c r="B57" s="41" t="s">
        <v>24</v>
      </c>
      <c r="C57" s="19">
        <v>34628.0</v>
      </c>
      <c r="D57" s="20">
        <v>333.1</v>
      </c>
      <c r="E57" s="70">
        <f t="shared" si="1"/>
        <v>34716</v>
      </c>
      <c r="F57" s="1"/>
      <c r="G57" s="1"/>
      <c r="H57" s="51"/>
      <c r="I57" s="52"/>
      <c r="J57" s="51"/>
      <c r="K57" s="1"/>
      <c r="L57" s="53">
        <f t="shared" si="3"/>
        <v>32387</v>
      </c>
      <c r="M57" s="54" t="str">
        <f t="shared" si="4"/>
        <v>#REF!</v>
      </c>
      <c r="N57" s="67">
        <f t="shared" si="7"/>
        <v>8.36</v>
      </c>
      <c r="O57" s="56" t="str">
        <f t="shared" si="8"/>
        <v>#REF!</v>
      </c>
      <c r="P57" s="56" t="str">
        <f t="shared" si="9"/>
        <v>#REF!</v>
      </c>
      <c r="Q57" s="65" t="str">
        <f t="shared" si="5"/>
        <v>#REF!</v>
      </c>
      <c r="R57" s="1"/>
      <c r="S57" s="58"/>
      <c r="T57" s="59"/>
      <c r="U57" s="59"/>
      <c r="V57" s="60"/>
      <c r="W57" s="64"/>
      <c r="X57" s="64"/>
      <c r="Y57" s="60"/>
    </row>
    <row r="58">
      <c r="A58" s="1"/>
      <c r="B58" s="41" t="s">
        <v>24</v>
      </c>
      <c r="C58" s="19">
        <v>34384.0</v>
      </c>
      <c r="D58" s="20">
        <v>311.14</v>
      </c>
      <c r="E58" s="70">
        <f t="shared" si="1"/>
        <v>34628</v>
      </c>
      <c r="F58" s="1"/>
      <c r="G58" s="1"/>
      <c r="H58" s="51"/>
      <c r="I58" s="52"/>
      <c r="J58" s="51"/>
      <c r="K58" s="1"/>
      <c r="L58" s="53" t="str">
        <f t="shared" si="3"/>
        <v/>
      </c>
      <c r="M58" s="54" t="str">
        <f t="shared" si="4"/>
        <v/>
      </c>
      <c r="N58" s="67" t="str">
        <f t="shared" si="7"/>
        <v/>
      </c>
      <c r="O58" s="56">
        <f t="shared" si="8"/>
        <v>0</v>
      </c>
      <c r="P58" s="56" t="str">
        <f t="shared" si="9"/>
        <v>#REF!</v>
      </c>
      <c r="Q58" s="65" t="str">
        <f t="shared" si="5"/>
        <v>#REF!</v>
      </c>
      <c r="R58" s="1"/>
      <c r="S58" s="58"/>
      <c r="T58" s="59"/>
      <c r="U58" s="59"/>
      <c r="V58" s="60"/>
      <c r="W58" s="64"/>
      <c r="X58" s="64"/>
      <c r="Y58" s="60"/>
    </row>
    <row r="59">
      <c r="A59" s="1"/>
      <c r="B59" s="41" t="s">
        <v>24</v>
      </c>
      <c r="C59" s="19">
        <v>34383.0</v>
      </c>
      <c r="D59" s="20">
        <v>281.78</v>
      </c>
      <c r="E59" s="70">
        <f t="shared" si="1"/>
        <v>34384</v>
      </c>
      <c r="F59" s="1"/>
      <c r="G59" s="1"/>
      <c r="H59" s="51"/>
      <c r="I59" s="52"/>
      <c r="J59" s="51"/>
      <c r="K59" s="1"/>
      <c r="L59" s="53" t="str">
        <f t="shared" si="3"/>
        <v/>
      </c>
      <c r="M59" s="54" t="str">
        <f t="shared" si="4"/>
        <v/>
      </c>
      <c r="N59" s="67" t="str">
        <f t="shared" si="7"/>
        <v/>
      </c>
      <c r="O59" s="56">
        <f t="shared" si="8"/>
        <v>0</v>
      </c>
      <c r="P59" s="56" t="str">
        <f t="shared" si="9"/>
        <v>#REF!</v>
      </c>
      <c r="Q59" s="65" t="str">
        <f t="shared" si="5"/>
        <v>#REF!</v>
      </c>
      <c r="R59" s="1"/>
      <c r="S59" s="58"/>
      <c r="T59" s="59"/>
      <c r="U59" s="59"/>
      <c r="V59" s="60"/>
      <c r="W59" s="64"/>
      <c r="X59" s="64"/>
      <c r="Y59" s="60"/>
    </row>
    <row r="60">
      <c r="A60" s="1"/>
      <c r="B60" s="41" t="s">
        <v>24</v>
      </c>
      <c r="C60" s="19">
        <v>34171.0</v>
      </c>
      <c r="D60" s="20">
        <v>247.17</v>
      </c>
      <c r="E60" s="70">
        <f t="shared" si="1"/>
        <v>34383</v>
      </c>
      <c r="F60" s="1"/>
      <c r="G60" s="1"/>
      <c r="H60" s="51"/>
      <c r="I60" s="52"/>
      <c r="J60" s="51"/>
      <c r="K60" s="1"/>
      <c r="L60" s="53" t="str">
        <f t="shared" si="3"/>
        <v/>
      </c>
      <c r="M60" s="54" t="str">
        <f t="shared" si="4"/>
        <v/>
      </c>
      <c r="N60" s="67" t="str">
        <f t="shared" si="7"/>
        <v/>
      </c>
      <c r="O60" s="56">
        <f t="shared" si="8"/>
        <v>0</v>
      </c>
      <c r="P60" s="56" t="str">
        <f t="shared" si="9"/>
        <v>#REF!</v>
      </c>
      <c r="Q60" s="65" t="str">
        <f t="shared" si="5"/>
        <v>#REF!</v>
      </c>
      <c r="R60" s="1"/>
      <c r="S60" s="58"/>
      <c r="T60" s="59"/>
      <c r="U60" s="59"/>
      <c r="V60" s="60"/>
      <c r="W60" s="64"/>
      <c r="X60" s="64"/>
      <c r="Y60" s="60"/>
    </row>
    <row r="61">
      <c r="A61" s="1"/>
      <c r="B61" s="41" t="s">
        <v>24</v>
      </c>
      <c r="C61" s="19">
        <v>33970.0</v>
      </c>
      <c r="D61" s="20">
        <v>142.7</v>
      </c>
      <c r="E61" s="70">
        <f t="shared" si="1"/>
        <v>34171</v>
      </c>
      <c r="F61" s="1"/>
      <c r="G61" s="1"/>
      <c r="H61" s="51"/>
      <c r="I61" s="52"/>
      <c r="J61" s="51"/>
      <c r="K61" s="1"/>
      <c r="L61" s="53" t="str">
        <f t="shared" si="3"/>
        <v/>
      </c>
      <c r="M61" s="54" t="str">
        <f t="shared" si="4"/>
        <v/>
      </c>
      <c r="N61" s="67" t="str">
        <f t="shared" si="7"/>
        <v/>
      </c>
      <c r="O61" s="56">
        <f t="shared" si="8"/>
        <v>0</v>
      </c>
      <c r="P61" s="56" t="str">
        <f t="shared" si="9"/>
        <v>#REF!</v>
      </c>
      <c r="Q61" s="65" t="str">
        <f t="shared" si="5"/>
        <v>#REF!</v>
      </c>
      <c r="R61" s="1"/>
      <c r="S61" s="58"/>
      <c r="T61" s="59"/>
      <c r="U61" s="59"/>
      <c r="V61" s="60"/>
      <c r="W61" s="64"/>
      <c r="X61" s="64"/>
      <c r="Y61" s="60"/>
    </row>
    <row r="62">
      <c r="A62" s="1"/>
      <c r="B62" s="41" t="s">
        <v>24</v>
      </c>
      <c r="C62" s="19">
        <v>33700.0</v>
      </c>
      <c r="D62" s="20">
        <v>133.33</v>
      </c>
      <c r="E62" s="70">
        <f t="shared" si="1"/>
        <v>33970</v>
      </c>
      <c r="F62" s="1"/>
      <c r="G62" s="1"/>
      <c r="H62" s="51"/>
      <c r="I62" s="52"/>
      <c r="J62" s="51"/>
      <c r="K62" s="1"/>
      <c r="L62" s="53" t="str">
        <f t="shared" si="3"/>
        <v/>
      </c>
      <c r="M62" s="54" t="str">
        <f t="shared" si="4"/>
        <v/>
      </c>
      <c r="N62" s="67" t="str">
        <f t="shared" si="7"/>
        <v/>
      </c>
      <c r="O62" s="56">
        <f t="shared" si="8"/>
        <v>0</v>
      </c>
      <c r="P62" s="56" t="str">
        <f t="shared" si="9"/>
        <v>#REF!</v>
      </c>
      <c r="Q62" s="65" t="str">
        <f t="shared" si="5"/>
        <v>#REF!</v>
      </c>
      <c r="R62" s="1"/>
      <c r="S62" s="72"/>
      <c r="T62" s="73"/>
      <c r="U62" s="73"/>
      <c r="V62" s="74"/>
      <c r="W62" s="75"/>
      <c r="X62" s="75"/>
      <c r="Y62" s="74"/>
    </row>
    <row r="63">
      <c r="A63" s="1"/>
      <c r="B63" s="41" t="s">
        <v>24</v>
      </c>
      <c r="C63" s="19">
        <v>33469.0</v>
      </c>
      <c r="D63" s="20">
        <v>119.0</v>
      </c>
      <c r="E63" s="70">
        <f t="shared" si="1"/>
        <v>33700</v>
      </c>
      <c r="F63" s="1"/>
      <c r="G63" s="1"/>
      <c r="H63" s="51"/>
      <c r="I63" s="52"/>
      <c r="J63" s="51"/>
      <c r="K63" s="1"/>
      <c r="L63" s="53" t="str">
        <f t="shared" si="3"/>
        <v/>
      </c>
      <c r="M63" s="54" t="str">
        <f t="shared" si="4"/>
        <v/>
      </c>
      <c r="N63" s="67" t="str">
        <f t="shared" si="7"/>
        <v/>
      </c>
      <c r="O63" s="56">
        <f t="shared" si="8"/>
        <v>0</v>
      </c>
      <c r="P63" s="56" t="str">
        <f t="shared" si="9"/>
        <v>#REF!</v>
      </c>
      <c r="Q63" s="65" t="str">
        <f t="shared" si="5"/>
        <v>#REF!</v>
      </c>
      <c r="R63" s="1"/>
      <c r="S63" s="58">
        <v>56.0</v>
      </c>
      <c r="T63" s="59">
        <v>41640.0</v>
      </c>
      <c r="U63" s="59">
        <v>42065.0</v>
      </c>
      <c r="V63" s="60">
        <v>684.64</v>
      </c>
      <c r="W63" s="64">
        <v>60.71</v>
      </c>
      <c r="X63" s="64">
        <v>0.0</v>
      </c>
      <c r="Y63" s="60">
        <v>0.0</v>
      </c>
    </row>
    <row r="64">
      <c r="A64" s="1"/>
      <c r="B64" s="41" t="s">
        <v>24</v>
      </c>
      <c r="C64" s="19">
        <v>33264.0</v>
      </c>
      <c r="D64" s="20">
        <v>80.55</v>
      </c>
      <c r="E64" s="70">
        <f t="shared" si="1"/>
        <v>33469</v>
      </c>
      <c r="F64" s="1"/>
      <c r="G64" s="1"/>
      <c r="H64" s="51"/>
      <c r="I64" s="52"/>
      <c r="J64" s="51"/>
      <c r="K64" s="1"/>
      <c r="L64" s="53" t="str">
        <f t="shared" si="3"/>
        <v/>
      </c>
      <c r="M64" s="54" t="str">
        <f t="shared" si="4"/>
        <v/>
      </c>
      <c r="N64" s="67" t="str">
        <f t="shared" si="7"/>
        <v/>
      </c>
      <c r="O64" s="56">
        <f t="shared" si="8"/>
        <v>0</v>
      </c>
      <c r="P64" s="56" t="str">
        <f t="shared" si="9"/>
        <v>#REF!</v>
      </c>
      <c r="Q64" s="65" t="str">
        <f t="shared" si="5"/>
        <v>#REF!</v>
      </c>
      <c r="R64" s="1"/>
      <c r="S64" s="58">
        <v>57.0</v>
      </c>
      <c r="T64" s="59">
        <v>41579.0</v>
      </c>
      <c r="U64" s="59">
        <v>41640.0</v>
      </c>
      <c r="V64" s="60">
        <v>722.03</v>
      </c>
      <c r="W64" s="64">
        <v>8.71</v>
      </c>
      <c r="X64" s="64">
        <v>0.0</v>
      </c>
      <c r="Y64" s="60">
        <v>0.0</v>
      </c>
    </row>
    <row r="65">
      <c r="A65" s="1"/>
      <c r="B65" s="41" t="s">
        <v>24</v>
      </c>
      <c r="C65" s="19">
        <v>33068.0</v>
      </c>
      <c r="D65" s="20">
        <v>59.53</v>
      </c>
      <c r="E65" s="70">
        <f t="shared" si="1"/>
        <v>33264</v>
      </c>
      <c r="F65" s="1"/>
      <c r="G65" s="1"/>
      <c r="H65" s="51"/>
      <c r="I65" s="52"/>
      <c r="J65" s="51"/>
      <c r="K65" s="1"/>
      <c r="L65" s="53" t="str">
        <f t="shared" si="3"/>
        <v/>
      </c>
      <c r="M65" s="54" t="str">
        <f t="shared" si="4"/>
        <v/>
      </c>
      <c r="N65" s="67" t="str">
        <f t="shared" si="7"/>
        <v/>
      </c>
      <c r="O65" s="56">
        <f t="shared" si="8"/>
        <v>0</v>
      </c>
      <c r="P65" s="56" t="str">
        <f t="shared" si="9"/>
        <v>#REF!</v>
      </c>
      <c r="Q65" s="65" t="str">
        <f t="shared" si="5"/>
        <v>#REF!</v>
      </c>
      <c r="R65" s="1"/>
      <c r="S65" s="58">
        <v>58.0</v>
      </c>
      <c r="T65" s="59">
        <v>41518.0</v>
      </c>
      <c r="U65" s="59">
        <v>41579.0</v>
      </c>
      <c r="V65" s="60">
        <v>725.87</v>
      </c>
      <c r="W65" s="64">
        <v>8.71</v>
      </c>
      <c r="X65" s="64">
        <v>0.0</v>
      </c>
      <c r="Y65" s="60">
        <v>0.0</v>
      </c>
    </row>
    <row r="66">
      <c r="A66" s="1"/>
      <c r="B66" s="41" t="s">
        <v>25</v>
      </c>
      <c r="C66" s="19">
        <v>32878.0</v>
      </c>
      <c r="D66" s="20">
        <v>59.53</v>
      </c>
      <c r="E66" s="70">
        <f t="shared" si="1"/>
        <v>33068</v>
      </c>
      <c r="F66" s="1"/>
      <c r="G66" s="1"/>
      <c r="H66" s="51"/>
      <c r="I66" s="52"/>
      <c r="J66" s="51"/>
      <c r="K66" s="1"/>
      <c r="L66" s="53" t="str">
        <f t="shared" si="3"/>
        <v/>
      </c>
      <c r="M66" s="54" t="str">
        <f t="shared" si="4"/>
        <v/>
      </c>
      <c r="N66" s="67" t="str">
        <f t="shared" si="7"/>
        <v/>
      </c>
      <c r="O66" s="56">
        <f t="shared" si="8"/>
        <v>0</v>
      </c>
      <c r="P66" s="56" t="str">
        <f t="shared" si="9"/>
        <v>#REF!</v>
      </c>
      <c r="Q66" s="65" t="str">
        <f t="shared" si="5"/>
        <v>#REF!</v>
      </c>
      <c r="R66" s="1"/>
      <c r="S66" s="58">
        <v>59.0</v>
      </c>
      <c r="T66" s="59">
        <v>41456.0</v>
      </c>
      <c r="U66" s="59">
        <v>41518.0</v>
      </c>
      <c r="V66" s="60">
        <v>701.26</v>
      </c>
      <c r="W66" s="64">
        <v>8.86</v>
      </c>
      <c r="X66" s="64">
        <v>0.0</v>
      </c>
      <c r="Y66" s="60">
        <v>0.0</v>
      </c>
    </row>
    <row r="67">
      <c r="A67" s="1"/>
      <c r="B67" s="41" t="s">
        <v>23</v>
      </c>
      <c r="C67" s="19">
        <v>32877.0</v>
      </c>
      <c r="D67" s="20">
        <f t="shared" ref="D67:D68" si="46">45.52+32.61</f>
        <v>78.13</v>
      </c>
      <c r="E67" s="70">
        <f t="shared" ref="E67:E71" si="47">C68</f>
        <v>32868</v>
      </c>
      <c r="F67" s="1"/>
      <c r="G67" s="1"/>
      <c r="H67" s="51"/>
      <c r="I67" s="52"/>
      <c r="J67" s="51"/>
      <c r="K67" s="1"/>
      <c r="L67" s="53" t="str">
        <f t="shared" si="3"/>
        <v/>
      </c>
      <c r="M67" s="54" t="str">
        <f t="shared" si="4"/>
        <v/>
      </c>
      <c r="N67" s="67" t="str">
        <f t="shared" si="7"/>
        <v/>
      </c>
      <c r="O67" s="56">
        <f t="shared" si="8"/>
        <v>0</v>
      </c>
      <c r="P67" s="56" t="str">
        <f t="shared" si="9"/>
        <v>#REF!</v>
      </c>
      <c r="Q67" s="65" t="str">
        <f t="shared" si="5"/>
        <v>#REF!</v>
      </c>
      <c r="R67" s="1"/>
      <c r="S67" s="58">
        <v>60.0</v>
      </c>
      <c r="T67" s="59">
        <v>41395.0</v>
      </c>
      <c r="U67" s="59">
        <v>41456.0</v>
      </c>
      <c r="V67" s="60">
        <v>764.96</v>
      </c>
      <c r="W67" s="64">
        <v>8.71</v>
      </c>
      <c r="X67" s="64">
        <v>0.0</v>
      </c>
      <c r="Y67" s="60">
        <v>0.0</v>
      </c>
    </row>
    <row r="68">
      <c r="A68" s="1"/>
      <c r="B68" s="41" t="s">
        <v>25</v>
      </c>
      <c r="C68" s="19">
        <v>32868.0</v>
      </c>
      <c r="D68" s="20">
        <f t="shared" si="46"/>
        <v>78.13</v>
      </c>
      <c r="E68" s="70">
        <f t="shared" si="47"/>
        <v>32867</v>
      </c>
      <c r="F68" s="1"/>
      <c r="G68" s="1"/>
      <c r="H68" s="51"/>
      <c r="I68" s="52"/>
      <c r="J68" s="51"/>
      <c r="K68" s="1"/>
      <c r="L68" s="53" t="str">
        <f t="shared" si="3"/>
        <v/>
      </c>
      <c r="M68" s="54" t="str">
        <f t="shared" si="4"/>
        <v/>
      </c>
      <c r="N68" s="67" t="str">
        <f t="shared" si="7"/>
        <v/>
      </c>
      <c r="O68" s="56">
        <f t="shared" si="8"/>
        <v>0</v>
      </c>
      <c r="P68" s="56" t="str">
        <f t="shared" si="9"/>
        <v>#REF!</v>
      </c>
      <c r="Q68" s="65" t="str">
        <f t="shared" si="5"/>
        <v>#REF!</v>
      </c>
      <c r="R68" s="1"/>
      <c r="S68" s="58">
        <v>61.0</v>
      </c>
      <c r="T68" s="59">
        <v>41334.0</v>
      </c>
      <c r="U68" s="59">
        <v>41395.0</v>
      </c>
      <c r="V68" s="60">
        <v>980.22</v>
      </c>
      <c r="W68" s="64">
        <v>8.71</v>
      </c>
      <c r="X68" s="64">
        <v>0.0</v>
      </c>
      <c r="Y68" s="60">
        <v>0.0</v>
      </c>
    </row>
    <row r="69">
      <c r="A69" s="1"/>
      <c r="B69" s="41" t="s">
        <v>23</v>
      </c>
      <c r="C69" s="19">
        <v>32867.0</v>
      </c>
      <c r="D69" s="20">
        <v>32.61</v>
      </c>
      <c r="E69" s="70">
        <f t="shared" si="47"/>
        <v>32643</v>
      </c>
      <c r="F69" s="1"/>
      <c r="G69" s="1"/>
      <c r="H69" s="51"/>
      <c r="I69" s="52"/>
      <c r="J69" s="51"/>
      <c r="K69" s="1"/>
      <c r="L69" s="53" t="str">
        <f t="shared" si="3"/>
        <v/>
      </c>
      <c r="M69" s="54" t="str">
        <f t="shared" si="4"/>
        <v/>
      </c>
      <c r="N69" s="67" t="str">
        <f t="shared" si="7"/>
        <v/>
      </c>
      <c r="O69" s="56">
        <f t="shared" si="8"/>
        <v>0</v>
      </c>
      <c r="P69" s="56" t="str">
        <f t="shared" si="9"/>
        <v>#REF!</v>
      </c>
      <c r="Q69" s="65" t="str">
        <f t="shared" si="5"/>
        <v>#REF!</v>
      </c>
      <c r="R69" s="1"/>
      <c r="S69" s="58">
        <v>62.0</v>
      </c>
      <c r="T69" s="59">
        <v>41330.0</v>
      </c>
      <c r="U69" s="59">
        <v>41334.0</v>
      </c>
      <c r="V69" s="60">
        <v>712.44</v>
      </c>
      <c r="W69" s="64">
        <v>0.57</v>
      </c>
      <c r="X69" s="64">
        <v>0.0</v>
      </c>
      <c r="Y69" s="60">
        <v>0.0</v>
      </c>
    </row>
    <row r="70">
      <c r="A70" s="1"/>
      <c r="B70" s="41" t="s">
        <v>24</v>
      </c>
      <c r="C70" s="19">
        <v>32643.0</v>
      </c>
      <c r="D70" s="20">
        <v>32.61</v>
      </c>
      <c r="E70" s="70">
        <f t="shared" si="47"/>
        <v>32509</v>
      </c>
      <c r="F70" s="1"/>
      <c r="G70" s="1"/>
      <c r="H70" s="51"/>
      <c r="I70" s="52"/>
      <c r="J70" s="51"/>
      <c r="K70" s="1"/>
      <c r="L70" s="53" t="str">
        <f t="shared" si="3"/>
        <v/>
      </c>
      <c r="M70" s="54" t="str">
        <f t="shared" si="4"/>
        <v/>
      </c>
      <c r="N70" s="67" t="str">
        <f t="shared" si="7"/>
        <v/>
      </c>
      <c r="O70" s="56">
        <f t="shared" si="8"/>
        <v>0</v>
      </c>
      <c r="P70" s="56" t="str">
        <f t="shared" si="9"/>
        <v>#REF!</v>
      </c>
      <c r="Q70" s="65" t="str">
        <f t="shared" si="5"/>
        <v>#REF!</v>
      </c>
      <c r="R70" s="1"/>
      <c r="S70" s="58">
        <v>63.0</v>
      </c>
      <c r="T70" s="59">
        <v>41275.0</v>
      </c>
      <c r="U70" s="59">
        <v>41330.0</v>
      </c>
      <c r="V70" s="60">
        <v>682.33</v>
      </c>
      <c r="W70" s="64">
        <v>7.86</v>
      </c>
      <c r="X70" s="64">
        <v>0.0</v>
      </c>
      <c r="Y70" s="60">
        <v>0.0</v>
      </c>
    </row>
    <row r="71">
      <c r="A71" s="1"/>
      <c r="B71" s="41" t="s">
        <v>24</v>
      </c>
      <c r="C71" s="19">
        <v>32509.0</v>
      </c>
      <c r="D71" s="20">
        <v>9.03</v>
      </c>
      <c r="E71" s="70">
        <f t="shared" si="47"/>
        <v>32387</v>
      </c>
      <c r="F71" s="1"/>
      <c r="G71" s="1"/>
      <c r="H71" s="51"/>
      <c r="I71" s="52"/>
      <c r="J71" s="51"/>
      <c r="K71" s="1"/>
      <c r="L71" s="53" t="str">
        <f t="shared" si="3"/>
        <v/>
      </c>
      <c r="M71" s="54" t="str">
        <f t="shared" si="4"/>
        <v/>
      </c>
      <c r="N71" s="67" t="str">
        <f t="shared" si="7"/>
        <v/>
      </c>
      <c r="O71" s="56">
        <f t="shared" si="8"/>
        <v>0</v>
      </c>
      <c r="P71" s="56" t="str">
        <f t="shared" si="9"/>
        <v>#REF!</v>
      </c>
      <c r="Q71" s="65" t="str">
        <f t="shared" si="5"/>
        <v>#REF!</v>
      </c>
      <c r="R71" s="1"/>
      <c r="S71" s="58">
        <v>64.0</v>
      </c>
      <c r="T71" s="59">
        <v>41214.0</v>
      </c>
      <c r="U71" s="59">
        <v>41275.0</v>
      </c>
      <c r="V71" s="60">
        <v>754.43</v>
      </c>
      <c r="W71" s="64">
        <v>8.71</v>
      </c>
      <c r="X71" s="64">
        <v>0.0</v>
      </c>
      <c r="Y71" s="60">
        <v>0.0</v>
      </c>
    </row>
    <row r="72">
      <c r="A72" s="1"/>
      <c r="B72" s="41" t="s">
        <v>9</v>
      </c>
      <c r="C72" s="19">
        <v>32387.0</v>
      </c>
      <c r="D72" s="20">
        <v>8.36</v>
      </c>
      <c r="E72" s="70" t="str">
        <f t="shared" ref="E72:E73" si="48">#REF!</f>
        <v>#REF!</v>
      </c>
      <c r="F72" s="1"/>
      <c r="G72" s="1"/>
      <c r="H72" s="51"/>
      <c r="I72" s="52"/>
      <c r="J72" s="51"/>
      <c r="K72" s="1"/>
      <c r="L72" s="53" t="str">
        <f t="shared" si="3"/>
        <v/>
      </c>
      <c r="M72" s="54" t="str">
        <f t="shared" si="4"/>
        <v/>
      </c>
      <c r="N72" s="67" t="str">
        <f t="shared" si="7"/>
        <v/>
      </c>
      <c r="O72" s="56">
        <f t="shared" si="8"/>
        <v>0</v>
      </c>
      <c r="P72" s="56" t="str">
        <f t="shared" si="9"/>
        <v>#REF!</v>
      </c>
      <c r="Q72" s="65" t="str">
        <f t="shared" si="5"/>
        <v>#REF!</v>
      </c>
      <c r="R72" s="1"/>
      <c r="S72" s="58">
        <v>65.0</v>
      </c>
      <c r="T72" s="59">
        <v>41153.0</v>
      </c>
      <c r="U72" s="59">
        <v>41214.0</v>
      </c>
      <c r="V72" s="60">
        <v>726.03</v>
      </c>
      <c r="W72" s="64">
        <v>8.71</v>
      </c>
      <c r="X72" s="64">
        <v>0.0</v>
      </c>
      <c r="Y72" s="60">
        <v>0.0</v>
      </c>
    </row>
    <row r="73">
      <c r="A73" s="1"/>
      <c r="E73" s="70" t="str">
        <f t="shared" si="48"/>
        <v>#REF!</v>
      </c>
      <c r="F73" s="1"/>
      <c r="G73" s="1"/>
      <c r="H73" s="51"/>
      <c r="I73" s="52"/>
      <c r="J73" s="51"/>
      <c r="K73" s="1"/>
      <c r="L73" s="53" t="str">
        <f t="shared" si="3"/>
        <v/>
      </c>
      <c r="M73" s="54" t="str">
        <f t="shared" si="4"/>
        <v/>
      </c>
      <c r="N73" s="67" t="str">
        <f t="shared" si="7"/>
        <v/>
      </c>
      <c r="O73" s="56">
        <f t="shared" si="8"/>
        <v>0</v>
      </c>
      <c r="P73" s="56" t="str">
        <f t="shared" si="9"/>
        <v>#REF!</v>
      </c>
      <c r="Q73" s="65" t="str">
        <f t="shared" si="5"/>
        <v>#REF!</v>
      </c>
      <c r="R73" s="1"/>
      <c r="S73" s="58">
        <v>66.0</v>
      </c>
      <c r="T73" s="59">
        <v>41091.0</v>
      </c>
      <c r="U73" s="59">
        <v>41153.0</v>
      </c>
      <c r="V73" s="60">
        <v>694.25</v>
      </c>
      <c r="W73" s="64">
        <v>8.86</v>
      </c>
      <c r="X73" s="64">
        <v>0.0</v>
      </c>
      <c r="Y73" s="60">
        <v>0.0</v>
      </c>
    </row>
    <row r="74">
      <c r="A74" s="1"/>
      <c r="E74" s="70" t="str">
        <f t="shared" ref="E74:E538" si="49">C73</f>
        <v/>
      </c>
      <c r="F74" s="1"/>
      <c r="G74" s="1"/>
      <c r="H74" s="51"/>
      <c r="I74" s="52"/>
      <c r="J74" s="51"/>
      <c r="K74" s="1"/>
      <c r="L74" s="53" t="str">
        <f t="shared" si="3"/>
        <v/>
      </c>
      <c r="M74" s="54" t="str">
        <f t="shared" si="4"/>
        <v/>
      </c>
      <c r="N74" s="67" t="str">
        <f t="shared" si="7"/>
        <v/>
      </c>
      <c r="O74" s="56">
        <f t="shared" si="8"/>
        <v>0</v>
      </c>
      <c r="P74" s="56" t="str">
        <f t="shared" si="9"/>
        <v>#REF!</v>
      </c>
      <c r="Q74" s="65" t="str">
        <f t="shared" si="5"/>
        <v>#REF!</v>
      </c>
      <c r="R74" s="1"/>
      <c r="S74" s="58">
        <v>67.0</v>
      </c>
      <c r="T74" s="59">
        <v>41036.0</v>
      </c>
      <c r="U74" s="59">
        <v>41091.0</v>
      </c>
      <c r="V74" s="60">
        <v>746.66</v>
      </c>
      <c r="W74" s="64">
        <v>7.86</v>
      </c>
      <c r="X74" s="64">
        <v>0.0</v>
      </c>
      <c r="Y74" s="60">
        <v>0.0</v>
      </c>
    </row>
    <row r="75">
      <c r="A75" s="1"/>
      <c r="B75" s="41"/>
      <c r="C75" s="19"/>
      <c r="D75" s="20"/>
      <c r="E75" s="70" t="str">
        <f t="shared" si="49"/>
        <v/>
      </c>
      <c r="F75" s="1"/>
      <c r="G75" s="1"/>
      <c r="H75" s="51"/>
      <c r="I75" s="52"/>
      <c r="J75" s="51"/>
      <c r="K75" s="1"/>
      <c r="L75" s="53" t="str">
        <f t="shared" si="3"/>
        <v/>
      </c>
      <c r="M75" s="54" t="str">
        <f t="shared" si="4"/>
        <v/>
      </c>
      <c r="N75" s="67" t="str">
        <f t="shared" si="7"/>
        <v/>
      </c>
      <c r="O75" s="56">
        <f t="shared" si="8"/>
        <v>0</v>
      </c>
      <c r="P75" s="56" t="str">
        <f t="shared" si="9"/>
        <v>#REF!</v>
      </c>
      <c r="Q75" s="65" t="str">
        <f t="shared" si="5"/>
        <v>#REF!</v>
      </c>
      <c r="R75" s="1"/>
      <c r="S75" s="58">
        <v>68.0</v>
      </c>
      <c r="T75" s="59">
        <v>41030.0</v>
      </c>
      <c r="U75" s="59">
        <v>41036.0</v>
      </c>
      <c r="V75" s="60">
        <v>649.29</v>
      </c>
      <c r="W75" s="64">
        <v>0.86</v>
      </c>
      <c r="X75" s="64">
        <v>0.0</v>
      </c>
      <c r="Y75" s="60">
        <v>0.0</v>
      </c>
    </row>
    <row r="76">
      <c r="A76" s="1"/>
      <c r="B76" s="41"/>
      <c r="C76" s="19"/>
      <c r="D76" s="20"/>
      <c r="E76" s="70" t="str">
        <f t="shared" si="49"/>
        <v/>
      </c>
      <c r="F76" s="1"/>
      <c r="G76" s="1"/>
      <c r="H76" s="51"/>
      <c r="I76" s="52"/>
      <c r="J76" s="51"/>
      <c r="K76" s="1"/>
      <c r="L76" s="53" t="str">
        <f t="shared" si="3"/>
        <v/>
      </c>
      <c r="M76" s="54" t="str">
        <f t="shared" si="4"/>
        <v/>
      </c>
      <c r="N76" s="67" t="str">
        <f t="shared" si="7"/>
        <v/>
      </c>
      <c r="O76" s="56">
        <f t="shared" si="8"/>
        <v>0</v>
      </c>
      <c r="P76" s="56" t="str">
        <f t="shared" si="9"/>
        <v>#REF!</v>
      </c>
      <c r="Q76" s="65" t="str">
        <f t="shared" si="5"/>
        <v>#REF!</v>
      </c>
      <c r="R76" s="1"/>
      <c r="S76" s="58">
        <v>69.0</v>
      </c>
      <c r="T76" s="59">
        <v>41001.0</v>
      </c>
      <c r="U76" s="59">
        <v>41030.0</v>
      </c>
      <c r="V76" s="60">
        <v>842.08</v>
      </c>
      <c r="W76" s="64">
        <v>4.14</v>
      </c>
      <c r="X76" s="64">
        <v>0.0</v>
      </c>
      <c r="Y76" s="60">
        <v>0.0</v>
      </c>
    </row>
    <row r="77">
      <c r="A77" s="1"/>
      <c r="B77" s="41"/>
      <c r="C77" s="19"/>
      <c r="D77" s="20"/>
      <c r="E77" s="70" t="str">
        <f t="shared" si="49"/>
        <v/>
      </c>
      <c r="F77" s="1"/>
      <c r="G77" s="1"/>
      <c r="H77" s="51"/>
      <c r="I77" s="52"/>
      <c r="J77" s="51"/>
      <c r="K77" s="1"/>
      <c r="L77" s="53" t="str">
        <f t="shared" si="3"/>
        <v/>
      </c>
      <c r="M77" s="54" t="str">
        <f t="shared" si="4"/>
        <v/>
      </c>
      <c r="N77" s="67" t="str">
        <f t="shared" si="7"/>
        <v/>
      </c>
      <c r="O77" s="56">
        <f t="shared" si="8"/>
        <v>0</v>
      </c>
      <c r="P77" s="56" t="str">
        <f t="shared" si="9"/>
        <v>#REF!</v>
      </c>
      <c r="Q77" s="65" t="str">
        <f t="shared" si="5"/>
        <v>#REF!</v>
      </c>
      <c r="R77" s="1"/>
      <c r="S77" s="58">
        <v>70.0</v>
      </c>
      <c r="T77" s="59">
        <v>40969.0</v>
      </c>
      <c r="U77" s="59">
        <v>41001.0</v>
      </c>
      <c r="V77" s="60">
        <v>791.98</v>
      </c>
      <c r="W77" s="64">
        <v>4.57</v>
      </c>
      <c r="X77" s="64">
        <v>0.0</v>
      </c>
      <c r="Y77" s="60">
        <v>0.0</v>
      </c>
    </row>
    <row r="78">
      <c r="A78" s="1"/>
      <c r="B78" s="41"/>
      <c r="C78" s="19"/>
      <c r="D78" s="20"/>
      <c r="E78" s="70" t="str">
        <f t="shared" si="49"/>
        <v/>
      </c>
      <c r="F78" s="1"/>
      <c r="G78" s="1"/>
      <c r="H78" s="51"/>
      <c r="I78" s="52"/>
      <c r="J78" s="51"/>
      <c r="K78" s="1"/>
      <c r="L78" s="53" t="str">
        <f t="shared" si="3"/>
        <v/>
      </c>
      <c r="M78" s="54" t="str">
        <f t="shared" si="4"/>
        <v/>
      </c>
      <c r="N78" s="67" t="str">
        <f t="shared" si="7"/>
        <v/>
      </c>
      <c r="O78" s="56">
        <f t="shared" si="8"/>
        <v>0</v>
      </c>
      <c r="P78" s="56" t="str">
        <f t="shared" si="9"/>
        <v>#REF!</v>
      </c>
      <c r="Q78" s="65" t="str">
        <f t="shared" si="5"/>
        <v>#REF!</v>
      </c>
      <c r="R78" s="1"/>
      <c r="S78" s="58">
        <v>71.0</v>
      </c>
      <c r="T78" s="59">
        <v>40959.0</v>
      </c>
      <c r="U78" s="59">
        <v>40969.0</v>
      </c>
      <c r="V78" s="60">
        <v>583.21</v>
      </c>
      <c r="W78" s="64">
        <v>1.43</v>
      </c>
      <c r="X78" s="64">
        <v>0.0</v>
      </c>
      <c r="Y78" s="60">
        <v>0.0</v>
      </c>
    </row>
    <row r="79">
      <c r="A79" s="1"/>
      <c r="B79" s="41"/>
      <c r="C79" s="19"/>
      <c r="D79" s="20"/>
      <c r="E79" s="70" t="str">
        <f t="shared" si="49"/>
        <v/>
      </c>
      <c r="F79" s="1"/>
      <c r="G79" s="1"/>
      <c r="H79" s="71"/>
      <c r="I79" s="52"/>
      <c r="J79" s="51"/>
      <c r="K79" s="1"/>
      <c r="L79" s="53" t="str">
        <f t="shared" si="3"/>
        <v/>
      </c>
      <c r="M79" s="54" t="str">
        <f t="shared" si="4"/>
        <v/>
      </c>
      <c r="N79" s="67" t="str">
        <f t="shared" si="7"/>
        <v/>
      </c>
      <c r="O79" s="56">
        <f t="shared" si="8"/>
        <v>0</v>
      </c>
      <c r="P79" s="56" t="str">
        <f t="shared" si="9"/>
        <v>#REF!</v>
      </c>
      <c r="Q79" s="65" t="str">
        <f t="shared" si="5"/>
        <v>#REF!</v>
      </c>
      <c r="R79" s="1"/>
      <c r="S79" s="58">
        <v>72.0</v>
      </c>
      <c r="T79" s="59">
        <v>40909.0</v>
      </c>
      <c r="U79" s="59">
        <v>40959.0</v>
      </c>
      <c r="V79" s="60">
        <v>561.63</v>
      </c>
      <c r="W79" s="64">
        <v>7.14</v>
      </c>
      <c r="X79" s="64">
        <v>0.0</v>
      </c>
      <c r="Y79" s="60">
        <v>0.0</v>
      </c>
    </row>
    <row r="80">
      <c r="A80" s="1"/>
      <c r="B80" s="41"/>
      <c r="C80" s="19"/>
      <c r="D80" s="20"/>
      <c r="E80" s="70" t="str">
        <f t="shared" si="49"/>
        <v/>
      </c>
      <c r="F80" s="1"/>
      <c r="G80" s="1"/>
      <c r="H80" s="51"/>
      <c r="I80" s="52"/>
      <c r="J80" s="51"/>
      <c r="K80" s="1"/>
      <c r="L80" s="53" t="str">
        <f t="shared" si="3"/>
        <v/>
      </c>
      <c r="M80" s="54" t="str">
        <f t="shared" si="4"/>
        <v/>
      </c>
      <c r="N80" s="67" t="str">
        <f t="shared" si="7"/>
        <v/>
      </c>
      <c r="O80" s="56">
        <f t="shared" si="8"/>
        <v>0</v>
      </c>
      <c r="P80" s="56" t="str">
        <f t="shared" si="9"/>
        <v>#REF!</v>
      </c>
      <c r="Q80" s="65" t="str">
        <f t="shared" si="5"/>
        <v>#REF!</v>
      </c>
      <c r="R80" s="1"/>
      <c r="S80" s="58">
        <v>73.0</v>
      </c>
      <c r="T80" s="59">
        <v>40848.0</v>
      </c>
      <c r="U80" s="59">
        <v>40909.0</v>
      </c>
      <c r="V80" s="60">
        <v>491.16</v>
      </c>
      <c r="W80" s="64">
        <v>8.71</v>
      </c>
      <c r="X80" s="64">
        <v>0.0</v>
      </c>
      <c r="Y80" s="60">
        <v>0.0</v>
      </c>
    </row>
    <row r="81">
      <c r="A81" s="1"/>
      <c r="B81" s="41"/>
      <c r="C81" s="19"/>
      <c r="D81" s="20"/>
      <c r="E81" s="70" t="str">
        <f t="shared" si="49"/>
        <v/>
      </c>
      <c r="F81" s="1"/>
      <c r="G81" s="1"/>
      <c r="H81" s="51"/>
      <c r="I81" s="52"/>
      <c r="J81" s="51"/>
      <c r="K81" s="1"/>
      <c r="L81" s="53" t="str">
        <f t="shared" si="3"/>
        <v/>
      </c>
      <c r="M81" s="54" t="str">
        <f t="shared" si="4"/>
        <v/>
      </c>
      <c r="N81" s="67" t="str">
        <f t="shared" si="7"/>
        <v/>
      </c>
      <c r="O81" s="56">
        <f t="shared" si="8"/>
        <v>0</v>
      </c>
      <c r="P81" s="56" t="str">
        <f t="shared" si="9"/>
        <v>#REF!</v>
      </c>
      <c r="Q81" s="65" t="str">
        <f t="shared" si="5"/>
        <v>#REF!</v>
      </c>
      <c r="R81" s="1"/>
      <c r="S81" s="58">
        <v>74.0</v>
      </c>
      <c r="T81" s="59">
        <v>40787.0</v>
      </c>
      <c r="U81" s="59">
        <v>40848.0</v>
      </c>
      <c r="V81" s="60">
        <v>492.26</v>
      </c>
      <c r="W81" s="64">
        <v>8.71</v>
      </c>
      <c r="X81" s="64">
        <v>0.0</v>
      </c>
      <c r="Y81" s="60">
        <v>0.0</v>
      </c>
    </row>
    <row r="82">
      <c r="A82" s="1"/>
      <c r="B82" s="41"/>
      <c r="C82" s="19"/>
      <c r="D82" s="20"/>
      <c r="E82" s="70" t="str">
        <f t="shared" si="49"/>
        <v/>
      </c>
      <c r="F82" s="1"/>
      <c r="G82" s="1"/>
      <c r="H82" s="51"/>
      <c r="I82" s="52"/>
      <c r="J82" s="51"/>
      <c r="K82" s="1"/>
      <c r="L82" s="53" t="str">
        <f t="shared" si="3"/>
        <v/>
      </c>
      <c r="M82" s="54" t="str">
        <f t="shared" si="4"/>
        <v/>
      </c>
      <c r="N82" s="67" t="str">
        <f t="shared" si="7"/>
        <v/>
      </c>
      <c r="O82" s="56">
        <f t="shared" si="8"/>
        <v>0</v>
      </c>
      <c r="P82" s="56" t="str">
        <f t="shared" si="9"/>
        <v>#REF!</v>
      </c>
      <c r="Q82" s="65" t="str">
        <f t="shared" si="5"/>
        <v>#REF!</v>
      </c>
      <c r="R82" s="1"/>
      <c r="S82" s="58">
        <v>75.0</v>
      </c>
      <c r="T82" s="59">
        <v>40725.0</v>
      </c>
      <c r="U82" s="59">
        <v>40787.0</v>
      </c>
      <c r="V82" s="60">
        <v>535.94</v>
      </c>
      <c r="W82" s="64">
        <v>8.86</v>
      </c>
      <c r="X82" s="64">
        <v>0.0</v>
      </c>
      <c r="Y82" s="60">
        <v>0.0</v>
      </c>
    </row>
    <row r="83">
      <c r="A83" s="1"/>
      <c r="B83" s="41"/>
      <c r="C83" s="76"/>
      <c r="D83" s="20"/>
      <c r="E83" s="70" t="str">
        <f t="shared" si="49"/>
        <v/>
      </c>
      <c r="F83" s="1"/>
      <c r="G83" s="1"/>
      <c r="H83" s="51"/>
      <c r="I83" s="52"/>
      <c r="J83" s="51"/>
      <c r="K83" s="1"/>
      <c r="L83" s="53" t="str">
        <f t="shared" si="3"/>
        <v/>
      </c>
      <c r="M83" s="54" t="str">
        <f t="shared" si="4"/>
        <v/>
      </c>
      <c r="N83" s="67" t="str">
        <f t="shared" si="7"/>
        <v/>
      </c>
      <c r="O83" s="56">
        <f t="shared" si="8"/>
        <v>0</v>
      </c>
      <c r="P83" s="56" t="str">
        <f t="shared" si="9"/>
        <v>#REF!</v>
      </c>
      <c r="Q83" s="65" t="str">
        <f t="shared" si="5"/>
        <v>#REF!</v>
      </c>
      <c r="R83" s="1"/>
      <c r="S83" s="58">
        <v>76.0</v>
      </c>
      <c r="T83" s="59">
        <v>40664.0</v>
      </c>
      <c r="U83" s="59">
        <v>40725.0</v>
      </c>
      <c r="V83" s="60">
        <v>516.99</v>
      </c>
      <c r="W83" s="64">
        <v>8.71</v>
      </c>
      <c r="X83" s="64">
        <v>0.0</v>
      </c>
      <c r="Y83" s="60">
        <v>0.0</v>
      </c>
    </row>
    <row r="84">
      <c r="A84" s="1"/>
      <c r="B84" s="41"/>
      <c r="C84" s="19"/>
      <c r="D84" s="20"/>
      <c r="E84" s="70" t="str">
        <f t="shared" si="49"/>
        <v/>
      </c>
      <c r="F84" s="1"/>
      <c r="G84" s="1"/>
      <c r="H84" s="51"/>
      <c r="I84" s="52"/>
      <c r="J84" s="51"/>
      <c r="K84" s="1"/>
      <c r="L84" s="53" t="str">
        <f t="shared" si="3"/>
        <v/>
      </c>
      <c r="M84" s="54" t="str">
        <f t="shared" si="4"/>
        <v/>
      </c>
      <c r="N84" s="67" t="str">
        <f t="shared" si="7"/>
        <v/>
      </c>
      <c r="O84" s="56">
        <f t="shared" si="8"/>
        <v>0</v>
      </c>
      <c r="P84" s="56" t="str">
        <f t="shared" si="9"/>
        <v>#REF!</v>
      </c>
      <c r="Q84" s="65" t="str">
        <f t="shared" si="5"/>
        <v>#REF!</v>
      </c>
      <c r="R84" s="1"/>
      <c r="S84" s="58">
        <v>77.0</v>
      </c>
      <c r="T84" s="59">
        <v>40603.0</v>
      </c>
      <c r="U84" s="59">
        <v>40664.0</v>
      </c>
      <c r="V84" s="60">
        <v>668.56</v>
      </c>
      <c r="W84" s="64">
        <v>8.71</v>
      </c>
      <c r="X84" s="64">
        <v>0.0</v>
      </c>
      <c r="Y84" s="60">
        <v>0.0</v>
      </c>
    </row>
    <row r="85">
      <c r="A85" s="1"/>
      <c r="B85" s="41"/>
      <c r="C85" s="19"/>
      <c r="D85" s="20"/>
      <c r="E85" s="70" t="str">
        <f t="shared" si="49"/>
        <v/>
      </c>
      <c r="F85" s="1"/>
      <c r="G85" s="1"/>
      <c r="H85" s="51"/>
      <c r="I85" s="52"/>
      <c r="J85" s="51"/>
      <c r="K85" s="1"/>
      <c r="L85" s="53" t="str">
        <f t="shared" si="3"/>
        <v/>
      </c>
      <c r="M85" s="54" t="str">
        <f t="shared" si="4"/>
        <v/>
      </c>
      <c r="N85" s="67" t="str">
        <f t="shared" si="7"/>
        <v/>
      </c>
      <c r="O85" s="56">
        <f t="shared" si="8"/>
        <v>0</v>
      </c>
      <c r="P85" s="56" t="str">
        <f t="shared" si="9"/>
        <v>#REF!</v>
      </c>
      <c r="Q85" s="65" t="str">
        <f t="shared" si="5"/>
        <v>#REF!</v>
      </c>
      <c r="R85" s="1"/>
      <c r="S85" s="58">
        <v>78.0</v>
      </c>
      <c r="T85" s="59">
        <v>40595.0</v>
      </c>
      <c r="U85" s="59">
        <v>40603.0</v>
      </c>
      <c r="V85" s="60">
        <v>509.59</v>
      </c>
      <c r="W85" s="64">
        <v>1.14</v>
      </c>
      <c r="X85" s="64">
        <v>0.0</v>
      </c>
      <c r="Y85" s="60">
        <v>0.0</v>
      </c>
    </row>
    <row r="86">
      <c r="A86" s="1"/>
      <c r="B86" s="41"/>
      <c r="C86" s="19"/>
      <c r="D86" s="20"/>
      <c r="E86" s="70" t="str">
        <f t="shared" si="49"/>
        <v/>
      </c>
      <c r="F86" s="1"/>
      <c r="G86" s="1"/>
      <c r="H86" s="71"/>
      <c r="I86" s="52"/>
      <c r="J86" s="51"/>
      <c r="K86" s="1"/>
      <c r="L86" s="53" t="str">
        <f t="shared" si="3"/>
        <v/>
      </c>
      <c r="M86" s="54" t="str">
        <f t="shared" si="4"/>
        <v/>
      </c>
      <c r="N86" s="67" t="str">
        <f t="shared" si="7"/>
        <v/>
      </c>
      <c r="O86" s="56">
        <f t="shared" si="8"/>
        <v>0</v>
      </c>
      <c r="P86" s="56" t="str">
        <f t="shared" si="9"/>
        <v>#REF!</v>
      </c>
      <c r="Q86" s="65" t="str">
        <f t="shared" si="5"/>
        <v>#REF!</v>
      </c>
      <c r="R86" s="1"/>
      <c r="S86" s="58">
        <v>79.0</v>
      </c>
      <c r="T86" s="59">
        <v>40544.0</v>
      </c>
      <c r="U86" s="59">
        <v>40595.0</v>
      </c>
      <c r="V86" s="60">
        <v>488.95</v>
      </c>
      <c r="W86" s="64">
        <v>7.29</v>
      </c>
      <c r="X86" s="64">
        <v>0.0</v>
      </c>
      <c r="Y86" s="60">
        <v>0.0</v>
      </c>
    </row>
    <row r="87">
      <c r="A87" s="1"/>
      <c r="B87" s="41"/>
      <c r="C87" s="19"/>
      <c r="D87" s="20"/>
      <c r="E87" s="70" t="str">
        <f t="shared" si="49"/>
        <v/>
      </c>
      <c r="F87" s="1"/>
      <c r="G87" s="1"/>
      <c r="H87" s="71"/>
      <c r="I87" s="52"/>
      <c r="J87" s="51"/>
      <c r="K87" s="1"/>
      <c r="L87" s="53" t="str">
        <f t="shared" si="3"/>
        <v/>
      </c>
      <c r="M87" s="54" t="str">
        <f t="shared" si="4"/>
        <v/>
      </c>
      <c r="N87" s="67" t="str">
        <f t="shared" si="7"/>
        <v/>
      </c>
      <c r="O87" s="56">
        <f t="shared" si="8"/>
        <v>0</v>
      </c>
      <c r="P87" s="56" t="str">
        <f t="shared" si="9"/>
        <v>#REF!</v>
      </c>
      <c r="Q87" s="65" t="str">
        <f t="shared" si="5"/>
        <v>#REF!</v>
      </c>
      <c r="R87" s="1"/>
      <c r="S87" s="58">
        <v>80.0</v>
      </c>
      <c r="T87" s="59">
        <v>40483.0</v>
      </c>
      <c r="U87" s="59">
        <v>40544.0</v>
      </c>
      <c r="V87" s="60">
        <v>498.11</v>
      </c>
      <c r="W87" s="64">
        <v>8.71</v>
      </c>
      <c r="X87" s="64">
        <v>0.0</v>
      </c>
      <c r="Y87" s="60">
        <v>0.0</v>
      </c>
    </row>
    <row r="88">
      <c r="A88" s="1"/>
      <c r="B88" s="41"/>
      <c r="C88" s="19"/>
      <c r="D88" s="20"/>
      <c r="E88" s="70" t="str">
        <f t="shared" si="49"/>
        <v/>
      </c>
      <c r="F88" s="1"/>
      <c r="G88" s="1"/>
      <c r="H88" s="51"/>
      <c r="I88" s="52"/>
      <c r="J88" s="51"/>
      <c r="K88" s="1"/>
      <c r="L88" s="53" t="str">
        <f t="shared" si="3"/>
        <v/>
      </c>
      <c r="M88" s="54" t="str">
        <f t="shared" si="4"/>
        <v/>
      </c>
      <c r="N88" s="67" t="str">
        <f t="shared" si="7"/>
        <v/>
      </c>
      <c r="O88" s="56">
        <f t="shared" si="8"/>
        <v>0</v>
      </c>
      <c r="P88" s="56" t="str">
        <f t="shared" si="9"/>
        <v>#REF!</v>
      </c>
      <c r="Q88" s="65" t="str">
        <f t="shared" si="5"/>
        <v>#REF!</v>
      </c>
      <c r="R88" s="1"/>
      <c r="S88" s="58">
        <v>81.0</v>
      </c>
      <c r="T88" s="59">
        <v>40422.0</v>
      </c>
      <c r="U88" s="59">
        <v>40483.0</v>
      </c>
      <c r="V88" s="60">
        <v>486.68</v>
      </c>
      <c r="W88" s="64">
        <v>8.71</v>
      </c>
      <c r="X88" s="64">
        <v>0.0</v>
      </c>
      <c r="Y88" s="60">
        <v>0.0</v>
      </c>
    </row>
    <row r="89">
      <c r="A89" s="1"/>
      <c r="B89" s="41"/>
      <c r="C89" s="19"/>
      <c r="D89" s="20"/>
      <c r="E89" s="70" t="str">
        <f t="shared" si="49"/>
        <v/>
      </c>
      <c r="F89" s="1"/>
      <c r="G89" s="1"/>
      <c r="H89" s="51"/>
      <c r="I89" s="52"/>
      <c r="J89" s="51"/>
      <c r="K89" s="1"/>
      <c r="L89" s="53" t="str">
        <f t="shared" si="3"/>
        <v/>
      </c>
      <c r="M89" s="54" t="str">
        <f t="shared" si="4"/>
        <v/>
      </c>
      <c r="N89" s="67" t="str">
        <f t="shared" si="7"/>
        <v/>
      </c>
      <c r="O89" s="56">
        <f t="shared" si="8"/>
        <v>0</v>
      </c>
      <c r="P89" s="56" t="str">
        <f t="shared" si="9"/>
        <v>#REF!</v>
      </c>
      <c r="Q89" s="65" t="str">
        <f t="shared" si="5"/>
        <v>#REF!</v>
      </c>
      <c r="R89" s="1"/>
      <c r="S89" s="58">
        <v>82.0</v>
      </c>
      <c r="T89" s="59">
        <v>40360.0</v>
      </c>
      <c r="U89" s="59">
        <v>40422.0</v>
      </c>
      <c r="V89" s="60">
        <v>515.23</v>
      </c>
      <c r="W89" s="64">
        <v>8.86</v>
      </c>
      <c r="X89" s="64">
        <v>0.0</v>
      </c>
      <c r="Y89" s="60">
        <v>0.0</v>
      </c>
    </row>
    <row r="90">
      <c r="A90" s="1"/>
      <c r="B90" s="41"/>
      <c r="C90" s="76"/>
      <c r="D90" s="20"/>
      <c r="E90" s="70" t="str">
        <f t="shared" si="49"/>
        <v/>
      </c>
      <c r="F90" s="1"/>
      <c r="G90" s="1"/>
      <c r="H90" s="51"/>
      <c r="I90" s="52"/>
      <c r="J90" s="51"/>
      <c r="K90" s="1"/>
      <c r="L90" s="53" t="str">
        <f t="shared" si="3"/>
        <v/>
      </c>
      <c r="M90" s="54" t="str">
        <f t="shared" si="4"/>
        <v/>
      </c>
      <c r="N90" s="67" t="str">
        <f t="shared" si="7"/>
        <v/>
      </c>
      <c r="O90" s="56">
        <f t="shared" si="8"/>
        <v>0</v>
      </c>
      <c r="P90" s="56" t="str">
        <f t="shared" si="9"/>
        <v>#REF!</v>
      </c>
      <c r="Q90" s="65" t="str">
        <f t="shared" si="5"/>
        <v>#REF!</v>
      </c>
      <c r="R90" s="1"/>
      <c r="S90" s="58">
        <v>83.0</v>
      </c>
      <c r="T90" s="59">
        <v>40299.0</v>
      </c>
      <c r="U90" s="59">
        <v>40360.0</v>
      </c>
      <c r="V90" s="60">
        <v>626.32</v>
      </c>
      <c r="W90" s="64">
        <v>8.71</v>
      </c>
      <c r="X90" s="64">
        <v>0.0</v>
      </c>
      <c r="Y90" s="60">
        <v>0.0</v>
      </c>
    </row>
    <row r="91">
      <c r="A91" s="1"/>
      <c r="B91" s="41"/>
      <c r="C91" s="76"/>
      <c r="D91" s="20"/>
      <c r="E91" s="70" t="str">
        <f t="shared" si="49"/>
        <v/>
      </c>
      <c r="F91" s="1"/>
      <c r="G91" s="1"/>
      <c r="H91" s="51"/>
      <c r="I91" s="52"/>
      <c r="J91" s="51"/>
      <c r="K91" s="1"/>
      <c r="L91" s="53" t="str">
        <f t="shared" si="3"/>
        <v/>
      </c>
      <c r="M91" s="54" t="str">
        <f t="shared" si="4"/>
        <v/>
      </c>
      <c r="N91" s="67" t="str">
        <f t="shared" si="7"/>
        <v/>
      </c>
      <c r="O91" s="56">
        <f t="shared" si="8"/>
        <v>0</v>
      </c>
      <c r="P91" s="56" t="str">
        <f t="shared" si="9"/>
        <v>#REF!</v>
      </c>
      <c r="Q91" s="65" t="str">
        <f t="shared" si="5"/>
        <v>#REF!</v>
      </c>
      <c r="R91" s="1"/>
      <c r="S91" s="58">
        <v>84.0</v>
      </c>
      <c r="T91" s="59">
        <v>40238.0</v>
      </c>
      <c r="U91" s="59">
        <v>40299.0</v>
      </c>
      <c r="V91" s="60">
        <v>685.92</v>
      </c>
      <c r="W91" s="64">
        <v>8.71</v>
      </c>
      <c r="X91" s="64">
        <v>0.0</v>
      </c>
      <c r="Y91" s="60">
        <v>0.0</v>
      </c>
    </row>
    <row r="92">
      <c r="A92" s="1"/>
      <c r="B92" s="41"/>
      <c r="C92" s="19"/>
      <c r="D92" s="20"/>
      <c r="E92" s="70" t="str">
        <f t="shared" si="49"/>
        <v/>
      </c>
      <c r="F92" s="1"/>
      <c r="G92" s="1"/>
      <c r="H92" s="51"/>
      <c r="I92" s="52"/>
      <c r="J92" s="51"/>
      <c r="K92" s="1"/>
      <c r="L92" s="53" t="str">
        <f t="shared" si="3"/>
        <v/>
      </c>
      <c r="M92" s="54" t="str">
        <f t="shared" si="4"/>
        <v/>
      </c>
      <c r="N92" s="67" t="str">
        <f t="shared" si="7"/>
        <v/>
      </c>
      <c r="O92" s="56">
        <f t="shared" si="8"/>
        <v>0</v>
      </c>
      <c r="P92" s="56" t="str">
        <f t="shared" si="9"/>
        <v>#REF!</v>
      </c>
      <c r="Q92" s="65" t="str">
        <f t="shared" si="5"/>
        <v>#REF!</v>
      </c>
      <c r="R92" s="1"/>
      <c r="S92" s="58">
        <v>85.0</v>
      </c>
      <c r="T92" s="59">
        <v>40231.0</v>
      </c>
      <c r="U92" s="59">
        <v>40238.0</v>
      </c>
      <c r="V92" s="60">
        <v>477.15</v>
      </c>
      <c r="W92" s="64">
        <v>1.0</v>
      </c>
      <c r="X92" s="64">
        <v>0.0</v>
      </c>
      <c r="Y92" s="60">
        <v>0.0</v>
      </c>
    </row>
    <row r="93">
      <c r="A93" s="1"/>
      <c r="B93" s="41"/>
      <c r="C93" s="19"/>
      <c r="D93" s="20"/>
      <c r="E93" s="70" t="str">
        <f t="shared" si="49"/>
        <v/>
      </c>
      <c r="F93" s="1"/>
      <c r="G93" s="1"/>
      <c r="H93" s="51"/>
      <c r="I93" s="52"/>
      <c r="J93" s="51"/>
      <c r="K93" s="1"/>
      <c r="L93" s="53" t="str">
        <f t="shared" si="3"/>
        <v/>
      </c>
      <c r="M93" s="54" t="str">
        <f t="shared" si="4"/>
        <v/>
      </c>
      <c r="N93" s="67" t="str">
        <f t="shared" si="7"/>
        <v/>
      </c>
      <c r="O93" s="56">
        <f t="shared" si="8"/>
        <v>0</v>
      </c>
      <c r="P93" s="56" t="str">
        <f t="shared" si="9"/>
        <v>#REF!</v>
      </c>
      <c r="Q93" s="65" t="str">
        <f t="shared" si="5"/>
        <v>#REF!</v>
      </c>
      <c r="R93" s="1"/>
      <c r="S93" s="58">
        <v>86.0</v>
      </c>
      <c r="T93" s="59">
        <v>40179.0</v>
      </c>
      <c r="U93" s="59">
        <v>40231.0</v>
      </c>
      <c r="V93" s="60">
        <v>459.5</v>
      </c>
      <c r="W93" s="64">
        <v>7.43</v>
      </c>
      <c r="X93" s="64">
        <v>0.0</v>
      </c>
      <c r="Y93" s="60">
        <v>0.0</v>
      </c>
    </row>
    <row r="94">
      <c r="A94" s="1"/>
      <c r="B94" s="41"/>
      <c r="C94" s="19"/>
      <c r="D94" s="20"/>
      <c r="E94" s="70" t="str">
        <f t="shared" si="49"/>
        <v/>
      </c>
      <c r="F94" s="1"/>
      <c r="G94" s="1"/>
      <c r="H94" s="51"/>
      <c r="I94" s="52"/>
      <c r="J94" s="51"/>
      <c r="K94" s="1"/>
      <c r="L94" s="53" t="str">
        <f t="shared" si="3"/>
        <v/>
      </c>
      <c r="M94" s="54" t="str">
        <f t="shared" si="4"/>
        <v/>
      </c>
      <c r="N94" s="67" t="str">
        <f t="shared" si="7"/>
        <v/>
      </c>
      <c r="O94" s="56">
        <f t="shared" si="8"/>
        <v>0</v>
      </c>
      <c r="P94" s="56" t="str">
        <f t="shared" si="9"/>
        <v>#REF!</v>
      </c>
      <c r="Q94" s="65" t="str">
        <f t="shared" si="5"/>
        <v>#REF!</v>
      </c>
      <c r="R94" s="1"/>
      <c r="S94" s="58">
        <v>87.0</v>
      </c>
      <c r="T94" s="59">
        <v>40118.0</v>
      </c>
      <c r="U94" s="59">
        <v>40179.0</v>
      </c>
      <c r="V94" s="60">
        <v>516.78</v>
      </c>
      <c r="W94" s="64">
        <v>8.71</v>
      </c>
      <c r="X94" s="64">
        <v>0.0</v>
      </c>
      <c r="Y94" s="60">
        <v>0.0</v>
      </c>
    </row>
    <row r="95">
      <c r="A95" s="1"/>
      <c r="B95" s="41"/>
      <c r="C95" s="19"/>
      <c r="D95" s="20"/>
      <c r="E95" s="70" t="str">
        <f t="shared" si="49"/>
        <v/>
      </c>
      <c r="F95" s="1"/>
      <c r="G95" s="1"/>
      <c r="H95" s="51"/>
      <c r="I95" s="52"/>
      <c r="J95" s="51"/>
      <c r="K95" s="1"/>
      <c r="L95" s="53" t="str">
        <f t="shared" si="3"/>
        <v/>
      </c>
      <c r="M95" s="54" t="str">
        <f t="shared" si="4"/>
        <v/>
      </c>
      <c r="N95" s="67" t="str">
        <f t="shared" si="7"/>
        <v/>
      </c>
      <c r="O95" s="56">
        <f t="shared" si="8"/>
        <v>0</v>
      </c>
      <c r="P95" s="56" t="str">
        <f t="shared" si="9"/>
        <v>#REF!</v>
      </c>
      <c r="Q95" s="65" t="str">
        <f t="shared" si="5"/>
        <v>#REF!</v>
      </c>
      <c r="R95" s="1"/>
      <c r="S95" s="58">
        <v>88.0</v>
      </c>
      <c r="T95" s="59">
        <v>40057.0</v>
      </c>
      <c r="U95" s="59">
        <v>40118.0</v>
      </c>
      <c r="V95" s="60">
        <v>461.11</v>
      </c>
      <c r="W95" s="64">
        <v>8.71</v>
      </c>
      <c r="X95" s="64">
        <v>0.0</v>
      </c>
      <c r="Y95" s="60">
        <v>0.0</v>
      </c>
    </row>
    <row r="96">
      <c r="A96" s="1"/>
      <c r="B96" s="41"/>
      <c r="C96" s="19"/>
      <c r="D96" s="20"/>
      <c r="E96" s="70" t="str">
        <f t="shared" si="49"/>
        <v/>
      </c>
      <c r="F96" s="1"/>
      <c r="G96" s="1"/>
      <c r="H96" s="51"/>
      <c r="I96" s="52"/>
      <c r="J96" s="51"/>
      <c r="K96" s="1"/>
      <c r="L96" s="53" t="str">
        <f t="shared" si="3"/>
        <v/>
      </c>
      <c r="M96" s="54" t="str">
        <f t="shared" si="4"/>
        <v/>
      </c>
      <c r="N96" s="67" t="str">
        <f t="shared" si="7"/>
        <v/>
      </c>
      <c r="O96" s="56">
        <f t="shared" si="8"/>
        <v>0</v>
      </c>
      <c r="P96" s="56" t="str">
        <f t="shared" si="9"/>
        <v>#REF!</v>
      </c>
      <c r="Q96" s="65" t="str">
        <f t="shared" si="5"/>
        <v>#REF!</v>
      </c>
      <c r="R96" s="1"/>
      <c r="S96" s="58">
        <v>89.0</v>
      </c>
      <c r="T96" s="59">
        <v>39995.0</v>
      </c>
      <c r="U96" s="59">
        <v>40057.0</v>
      </c>
      <c r="V96" s="60">
        <v>773.48</v>
      </c>
      <c r="W96" s="64">
        <v>8.86</v>
      </c>
      <c r="X96" s="64">
        <v>0.0</v>
      </c>
      <c r="Y96" s="60">
        <v>0.0</v>
      </c>
    </row>
    <row r="97">
      <c r="A97" s="1"/>
      <c r="B97" s="41"/>
      <c r="C97" s="19"/>
      <c r="D97" s="20"/>
      <c r="E97" s="70" t="str">
        <f t="shared" si="49"/>
        <v/>
      </c>
      <c r="F97" s="1"/>
      <c r="G97" s="1"/>
      <c r="H97" s="71"/>
      <c r="I97" s="52"/>
      <c r="J97" s="51"/>
      <c r="K97" s="1"/>
      <c r="L97" s="53" t="str">
        <f t="shared" si="3"/>
        <v/>
      </c>
      <c r="M97" s="54" t="str">
        <f t="shared" si="4"/>
        <v/>
      </c>
      <c r="N97" s="67" t="str">
        <f t="shared" si="7"/>
        <v/>
      </c>
      <c r="O97" s="56">
        <f t="shared" si="8"/>
        <v>0</v>
      </c>
      <c r="P97" s="56" t="str">
        <f t="shared" si="9"/>
        <v>#REF!</v>
      </c>
      <c r="Q97" s="65" t="str">
        <f t="shared" si="5"/>
        <v>#REF!</v>
      </c>
      <c r="R97" s="1"/>
      <c r="S97" s="58">
        <v>90.0</v>
      </c>
      <c r="T97" s="59">
        <v>39934.0</v>
      </c>
      <c r="U97" s="59">
        <v>39995.0</v>
      </c>
      <c r="V97" s="60">
        <v>562.71</v>
      </c>
      <c r="W97" s="64">
        <v>8.71</v>
      </c>
      <c r="X97" s="64">
        <v>0.0</v>
      </c>
      <c r="Y97" s="60">
        <v>0.0</v>
      </c>
    </row>
    <row r="98">
      <c r="A98" s="1"/>
      <c r="B98" s="41"/>
      <c r="C98" s="19"/>
      <c r="D98" s="20"/>
      <c r="E98" s="70" t="str">
        <f t="shared" si="49"/>
        <v/>
      </c>
      <c r="F98" s="1"/>
      <c r="G98" s="1"/>
      <c r="H98" s="51"/>
      <c r="I98" s="52"/>
      <c r="J98" s="51"/>
      <c r="K98" s="1"/>
      <c r="L98" s="53" t="str">
        <f t="shared" si="3"/>
        <v/>
      </c>
      <c r="M98" s="54" t="str">
        <f t="shared" si="4"/>
        <v/>
      </c>
      <c r="N98" s="67" t="str">
        <f t="shared" si="7"/>
        <v/>
      </c>
      <c r="O98" s="56">
        <f t="shared" si="8"/>
        <v>0</v>
      </c>
      <c r="P98" s="56" t="str">
        <f t="shared" si="9"/>
        <v>#REF!</v>
      </c>
      <c r="Q98" s="65" t="str">
        <f t="shared" si="5"/>
        <v>#REF!</v>
      </c>
      <c r="R98" s="1"/>
      <c r="S98" s="58">
        <v>91.0</v>
      </c>
      <c r="T98" s="59">
        <v>39873.0</v>
      </c>
      <c r="U98" s="59">
        <v>39934.0</v>
      </c>
      <c r="V98" s="60">
        <v>609.38</v>
      </c>
      <c r="W98" s="64">
        <v>8.71</v>
      </c>
      <c r="X98" s="64">
        <v>0.0</v>
      </c>
      <c r="Y98" s="60">
        <v>0.0</v>
      </c>
    </row>
    <row r="99">
      <c r="A99" s="1"/>
      <c r="B99" s="41"/>
      <c r="C99" s="76"/>
      <c r="D99" s="20"/>
      <c r="E99" s="70" t="str">
        <f t="shared" si="49"/>
        <v/>
      </c>
      <c r="F99" s="1"/>
      <c r="G99" s="1"/>
      <c r="H99" s="51"/>
      <c r="I99" s="52"/>
      <c r="J99" s="51"/>
      <c r="K99" s="1"/>
      <c r="L99" s="53" t="str">
        <f t="shared" si="3"/>
        <v/>
      </c>
      <c r="M99" s="54" t="str">
        <f t="shared" si="4"/>
        <v/>
      </c>
      <c r="N99" s="67" t="str">
        <f t="shared" si="7"/>
        <v/>
      </c>
      <c r="O99" s="56">
        <f t="shared" si="8"/>
        <v>0</v>
      </c>
      <c r="P99" s="56" t="str">
        <f t="shared" si="9"/>
        <v>#REF!</v>
      </c>
      <c r="Q99" s="65" t="str">
        <f t="shared" si="5"/>
        <v>#REF!</v>
      </c>
      <c r="R99" s="1"/>
      <c r="S99" s="58">
        <v>92.0</v>
      </c>
      <c r="T99" s="59">
        <v>39867.0</v>
      </c>
      <c r="U99" s="59">
        <v>39873.0</v>
      </c>
      <c r="V99" s="60">
        <v>508.22</v>
      </c>
      <c r="W99" s="64">
        <v>0.86</v>
      </c>
      <c r="X99" s="64">
        <v>0.0</v>
      </c>
      <c r="Y99" s="60">
        <v>0.0</v>
      </c>
    </row>
    <row r="100">
      <c r="A100" s="1"/>
      <c r="B100" s="41"/>
      <c r="C100" s="19"/>
      <c r="D100" s="20"/>
      <c r="E100" s="70" t="str">
        <f t="shared" si="49"/>
        <v/>
      </c>
      <c r="F100" s="1"/>
      <c r="G100" s="1"/>
      <c r="H100" s="51"/>
      <c r="I100" s="52"/>
      <c r="J100" s="51"/>
      <c r="K100" s="1"/>
      <c r="L100" s="53" t="str">
        <f t="shared" si="3"/>
        <v/>
      </c>
      <c r="M100" s="54" t="str">
        <f t="shared" si="4"/>
        <v/>
      </c>
      <c r="N100" s="67" t="str">
        <f t="shared" si="7"/>
        <v/>
      </c>
      <c r="O100" s="56">
        <f t="shared" si="8"/>
        <v>0</v>
      </c>
      <c r="P100" s="56" t="str">
        <f t="shared" si="9"/>
        <v>#REF!</v>
      </c>
      <c r="Q100" s="65" t="str">
        <f t="shared" si="5"/>
        <v>#REF!</v>
      </c>
      <c r="R100" s="1"/>
      <c r="S100" s="58">
        <v>93.0</v>
      </c>
      <c r="T100" s="59">
        <v>39814.0</v>
      </c>
      <c r="U100" s="59">
        <v>39867.0</v>
      </c>
      <c r="V100" s="60">
        <v>484.43</v>
      </c>
      <c r="W100" s="64">
        <v>7.57</v>
      </c>
      <c r="X100" s="64">
        <v>0.0</v>
      </c>
      <c r="Y100" s="60">
        <v>0.0</v>
      </c>
    </row>
    <row r="101">
      <c r="A101" s="1"/>
      <c r="B101" s="41"/>
      <c r="C101" s="19"/>
      <c r="D101" s="20"/>
      <c r="E101" s="70" t="str">
        <f t="shared" si="49"/>
        <v/>
      </c>
      <c r="F101" s="1"/>
      <c r="G101" s="1"/>
      <c r="H101" s="51"/>
      <c r="I101" s="52"/>
      <c r="J101" s="51"/>
      <c r="K101" s="1"/>
      <c r="L101" s="53" t="str">
        <f t="shared" si="3"/>
        <v/>
      </c>
      <c r="M101" s="54" t="str">
        <f t="shared" si="4"/>
        <v/>
      </c>
      <c r="N101" s="67" t="str">
        <f t="shared" si="7"/>
        <v/>
      </c>
      <c r="O101" s="56">
        <f t="shared" si="8"/>
        <v>0</v>
      </c>
      <c r="P101" s="56" t="str">
        <f t="shared" si="9"/>
        <v>#REF!</v>
      </c>
      <c r="Q101" s="65" t="str">
        <f t="shared" si="5"/>
        <v>#REF!</v>
      </c>
      <c r="R101" s="1"/>
      <c r="S101" s="58">
        <v>94.0</v>
      </c>
      <c r="T101" s="59">
        <v>39753.0</v>
      </c>
      <c r="U101" s="59">
        <v>39814.0</v>
      </c>
      <c r="V101" s="60">
        <v>494.1</v>
      </c>
      <c r="W101" s="64">
        <v>8.71</v>
      </c>
      <c r="X101" s="64">
        <v>0.0</v>
      </c>
      <c r="Y101" s="60">
        <v>0.0</v>
      </c>
    </row>
    <row r="102">
      <c r="A102" s="1"/>
      <c r="B102" s="41"/>
      <c r="C102" s="19"/>
      <c r="D102" s="20"/>
      <c r="E102" s="70" t="str">
        <f t="shared" si="49"/>
        <v/>
      </c>
      <c r="F102" s="1"/>
      <c r="G102" s="1"/>
      <c r="H102" s="51"/>
      <c r="I102" s="52"/>
      <c r="J102" s="51"/>
      <c r="K102" s="1"/>
      <c r="L102" s="53" t="str">
        <f t="shared" si="3"/>
        <v/>
      </c>
      <c r="M102" s="54" t="str">
        <f t="shared" si="4"/>
        <v/>
      </c>
      <c r="N102" s="67" t="str">
        <f t="shared" si="7"/>
        <v/>
      </c>
      <c r="O102" s="56">
        <f t="shared" si="8"/>
        <v>0</v>
      </c>
      <c r="P102" s="56" t="str">
        <f t="shared" si="9"/>
        <v>#REF!</v>
      </c>
      <c r="Q102" s="65" t="str">
        <f t="shared" si="5"/>
        <v>#REF!</v>
      </c>
      <c r="R102" s="1"/>
      <c r="S102" s="58">
        <v>95.0</v>
      </c>
      <c r="T102" s="59">
        <v>39692.0</v>
      </c>
      <c r="U102" s="59">
        <v>39753.0</v>
      </c>
      <c r="V102" s="60">
        <v>517.24</v>
      </c>
      <c r="W102" s="64">
        <v>8.71</v>
      </c>
      <c r="X102" s="64">
        <v>0.0</v>
      </c>
      <c r="Y102" s="60">
        <v>0.0</v>
      </c>
    </row>
    <row r="103">
      <c r="A103" s="1"/>
      <c r="B103" s="41"/>
      <c r="C103" s="19"/>
      <c r="D103" s="20"/>
      <c r="E103" s="70" t="str">
        <f t="shared" si="49"/>
        <v/>
      </c>
      <c r="F103" s="1"/>
      <c r="G103" s="1"/>
      <c r="H103" s="71"/>
      <c r="I103" s="52"/>
      <c r="J103" s="51"/>
      <c r="K103" s="1"/>
      <c r="L103" s="53" t="str">
        <f t="shared" si="3"/>
        <v/>
      </c>
      <c r="M103" s="54" t="str">
        <f t="shared" si="4"/>
        <v/>
      </c>
      <c r="N103" s="67" t="str">
        <f t="shared" si="7"/>
        <v/>
      </c>
      <c r="O103" s="56">
        <f t="shared" si="8"/>
        <v>0</v>
      </c>
      <c r="P103" s="56" t="str">
        <f t="shared" si="9"/>
        <v>#REF!</v>
      </c>
      <c r="Q103" s="65" t="str">
        <f t="shared" si="5"/>
        <v>#REF!</v>
      </c>
      <c r="R103" s="1"/>
      <c r="S103" s="58">
        <v>96.0</v>
      </c>
      <c r="T103" s="59">
        <v>39630.0</v>
      </c>
      <c r="U103" s="59">
        <v>39692.0</v>
      </c>
      <c r="V103" s="60">
        <v>493.38</v>
      </c>
      <c r="W103" s="64">
        <v>8.86</v>
      </c>
      <c r="X103" s="64">
        <v>0.0</v>
      </c>
      <c r="Y103" s="60">
        <v>0.0</v>
      </c>
    </row>
    <row r="104">
      <c r="A104" s="1"/>
      <c r="B104" s="41"/>
      <c r="C104" s="19"/>
      <c r="D104" s="20"/>
      <c r="E104" s="70" t="str">
        <f t="shared" si="49"/>
        <v/>
      </c>
      <c r="F104" s="1"/>
      <c r="G104" s="1"/>
      <c r="H104" s="51"/>
      <c r="I104" s="52"/>
      <c r="J104" s="51"/>
      <c r="K104" s="1"/>
      <c r="L104" s="53" t="str">
        <f t="shared" si="3"/>
        <v/>
      </c>
      <c r="M104" s="54" t="str">
        <f t="shared" si="4"/>
        <v/>
      </c>
      <c r="N104" s="67" t="str">
        <f t="shared" si="7"/>
        <v/>
      </c>
      <c r="O104" s="56">
        <f t="shared" si="8"/>
        <v>0</v>
      </c>
      <c r="P104" s="56" t="str">
        <f t="shared" si="9"/>
        <v>#REF!</v>
      </c>
      <c r="Q104" s="65" t="str">
        <f t="shared" si="5"/>
        <v>#REF!</v>
      </c>
      <c r="R104" s="1"/>
      <c r="S104" s="58">
        <v>97.0</v>
      </c>
      <c r="T104" s="59">
        <v>39569.0</v>
      </c>
      <c r="U104" s="59">
        <v>39630.0</v>
      </c>
      <c r="V104" s="60">
        <v>556.01</v>
      </c>
      <c r="W104" s="64">
        <v>8.71</v>
      </c>
      <c r="X104" s="64">
        <v>0.0</v>
      </c>
      <c r="Y104" s="60">
        <v>0.0</v>
      </c>
    </row>
    <row r="105">
      <c r="A105" s="1"/>
      <c r="B105" s="41"/>
      <c r="C105" s="76"/>
      <c r="D105" s="20"/>
      <c r="E105" s="70" t="str">
        <f t="shared" si="49"/>
        <v/>
      </c>
      <c r="F105" s="1"/>
      <c r="G105" s="1"/>
      <c r="H105" s="71"/>
      <c r="I105" s="52"/>
      <c r="J105" s="51"/>
      <c r="K105" s="1"/>
      <c r="L105" s="53" t="str">
        <f t="shared" si="3"/>
        <v/>
      </c>
      <c r="M105" s="54" t="str">
        <f t="shared" si="4"/>
        <v/>
      </c>
      <c r="N105" s="67" t="str">
        <f t="shared" si="7"/>
        <v/>
      </c>
      <c r="O105" s="56">
        <f t="shared" si="8"/>
        <v>0</v>
      </c>
      <c r="P105" s="56" t="str">
        <f t="shared" si="9"/>
        <v>#REF!</v>
      </c>
      <c r="Q105" s="65" t="str">
        <f t="shared" si="5"/>
        <v>#REF!</v>
      </c>
      <c r="R105" s="1"/>
      <c r="S105" s="58">
        <v>98.0</v>
      </c>
      <c r="T105" s="59">
        <v>39508.0</v>
      </c>
      <c r="U105" s="59">
        <v>39569.0</v>
      </c>
      <c r="V105" s="60">
        <v>733.95</v>
      </c>
      <c r="W105" s="64">
        <v>8.71</v>
      </c>
      <c r="X105" s="64">
        <v>0.0</v>
      </c>
      <c r="Y105" s="60">
        <v>0.0</v>
      </c>
    </row>
    <row r="106">
      <c r="A106" s="1"/>
      <c r="B106" s="41"/>
      <c r="C106" s="19"/>
      <c r="D106" s="20"/>
      <c r="E106" s="70" t="str">
        <f t="shared" si="49"/>
        <v/>
      </c>
      <c r="F106" s="1"/>
      <c r="G106" s="1"/>
      <c r="H106" s="51"/>
      <c r="I106" s="52"/>
      <c r="J106" s="51"/>
      <c r="K106" s="1"/>
      <c r="L106" s="53" t="str">
        <f t="shared" si="3"/>
        <v/>
      </c>
      <c r="M106" s="54" t="str">
        <f t="shared" si="4"/>
        <v/>
      </c>
      <c r="N106" s="67" t="str">
        <f t="shared" si="7"/>
        <v/>
      </c>
      <c r="O106" s="56">
        <f t="shared" si="8"/>
        <v>0</v>
      </c>
      <c r="P106" s="56" t="str">
        <f t="shared" si="9"/>
        <v>#REF!</v>
      </c>
      <c r="Q106" s="65" t="str">
        <f t="shared" si="5"/>
        <v>#REF!</v>
      </c>
      <c r="R106" s="1"/>
      <c r="S106" s="58">
        <v>99.0</v>
      </c>
      <c r="T106" s="59">
        <v>39503.0</v>
      </c>
      <c r="U106" s="59">
        <v>39508.0</v>
      </c>
      <c r="V106" s="60">
        <v>524.35</v>
      </c>
      <c r="W106" s="64">
        <v>0.71</v>
      </c>
      <c r="X106" s="64">
        <v>0.0</v>
      </c>
      <c r="Y106" s="60">
        <v>0.0</v>
      </c>
    </row>
    <row r="107">
      <c r="A107" s="1"/>
      <c r="B107" s="41"/>
      <c r="C107" s="19"/>
      <c r="D107" s="20"/>
      <c r="E107" s="70" t="str">
        <f t="shared" si="49"/>
        <v/>
      </c>
      <c r="F107" s="1"/>
      <c r="G107" s="1"/>
      <c r="H107" s="51"/>
      <c r="I107" s="52"/>
      <c r="J107" s="51"/>
      <c r="K107" s="1"/>
      <c r="L107" s="53" t="str">
        <f t="shared" si="3"/>
        <v/>
      </c>
      <c r="M107" s="54" t="str">
        <f t="shared" si="4"/>
        <v/>
      </c>
      <c r="N107" s="67" t="str">
        <f t="shared" si="7"/>
        <v/>
      </c>
      <c r="O107" s="56">
        <f t="shared" si="8"/>
        <v>0</v>
      </c>
      <c r="P107" s="56" t="str">
        <f t="shared" si="9"/>
        <v>#REF!</v>
      </c>
      <c r="Q107" s="65" t="str">
        <f t="shared" si="5"/>
        <v>#REF!</v>
      </c>
      <c r="R107" s="1"/>
      <c r="S107" s="58">
        <v>100.0</v>
      </c>
      <c r="T107" s="59">
        <v>39448.0</v>
      </c>
      <c r="U107" s="59">
        <v>39503.0</v>
      </c>
      <c r="V107" s="60">
        <v>506.38</v>
      </c>
      <c r="W107" s="64">
        <v>7.86</v>
      </c>
      <c r="X107" s="64">
        <v>0.0</v>
      </c>
      <c r="Y107" s="60">
        <v>0.0</v>
      </c>
    </row>
    <row r="108">
      <c r="A108" s="1"/>
      <c r="B108" s="41"/>
      <c r="C108" s="19"/>
      <c r="D108" s="20"/>
      <c r="E108" s="70" t="str">
        <f t="shared" si="49"/>
        <v/>
      </c>
      <c r="F108" s="1"/>
      <c r="G108" s="1"/>
      <c r="H108" s="51"/>
      <c r="I108" s="52"/>
      <c r="J108" s="51"/>
      <c r="K108" s="1"/>
      <c r="L108" s="53" t="str">
        <f t="shared" si="3"/>
        <v/>
      </c>
      <c r="M108" s="54" t="str">
        <f t="shared" si="4"/>
        <v/>
      </c>
      <c r="N108" s="67" t="str">
        <f t="shared" si="7"/>
        <v/>
      </c>
      <c r="O108" s="56">
        <f t="shared" si="8"/>
        <v>0</v>
      </c>
      <c r="P108" s="56" t="str">
        <f t="shared" si="9"/>
        <v>#REF!</v>
      </c>
      <c r="Q108" s="65" t="str">
        <f t="shared" si="5"/>
        <v>#REF!</v>
      </c>
      <c r="R108" s="1"/>
      <c r="S108" s="58">
        <v>101.0</v>
      </c>
      <c r="T108" s="59">
        <v>39387.0</v>
      </c>
      <c r="U108" s="59">
        <v>39448.0</v>
      </c>
      <c r="V108" s="60">
        <v>600.56</v>
      </c>
      <c r="W108" s="64">
        <v>8.71</v>
      </c>
      <c r="X108" s="64">
        <v>0.0</v>
      </c>
      <c r="Y108" s="60">
        <v>0.0</v>
      </c>
    </row>
    <row r="109">
      <c r="A109" s="1"/>
      <c r="B109" s="41"/>
      <c r="C109" s="19"/>
      <c r="D109" s="20"/>
      <c r="E109" s="70" t="str">
        <f t="shared" si="49"/>
        <v/>
      </c>
      <c r="F109" s="1"/>
      <c r="G109" s="1"/>
      <c r="H109" s="51"/>
      <c r="I109" s="52"/>
      <c r="J109" s="51"/>
      <c r="K109" s="1"/>
      <c r="L109" s="53" t="str">
        <f t="shared" si="3"/>
        <v/>
      </c>
      <c r="M109" s="54" t="str">
        <f t="shared" si="4"/>
        <v/>
      </c>
      <c r="N109" s="67" t="str">
        <f t="shared" si="7"/>
        <v/>
      </c>
      <c r="O109" s="56">
        <f t="shared" si="8"/>
        <v>0</v>
      </c>
      <c r="P109" s="56" t="str">
        <f t="shared" si="9"/>
        <v>#REF!</v>
      </c>
      <c r="Q109" s="65" t="str">
        <f t="shared" si="5"/>
        <v>#REF!</v>
      </c>
      <c r="R109" s="1"/>
      <c r="S109" s="58">
        <v>102.0</v>
      </c>
      <c r="T109" s="59">
        <v>39326.0</v>
      </c>
      <c r="U109" s="59">
        <v>39387.0</v>
      </c>
      <c r="V109" s="60">
        <v>593.2</v>
      </c>
      <c r="W109" s="64">
        <v>8.71</v>
      </c>
      <c r="X109" s="64">
        <v>0.0</v>
      </c>
      <c r="Y109" s="60">
        <v>0.0</v>
      </c>
    </row>
    <row r="110">
      <c r="A110" s="1"/>
      <c r="B110" s="41"/>
      <c r="C110" s="19"/>
      <c r="D110" s="20"/>
      <c r="E110" s="70" t="str">
        <f t="shared" si="49"/>
        <v/>
      </c>
      <c r="F110" s="1"/>
      <c r="G110" s="1"/>
      <c r="H110" s="51"/>
      <c r="I110" s="52"/>
      <c r="J110" s="51"/>
      <c r="K110" s="1"/>
      <c r="L110" s="53" t="str">
        <f t="shared" si="3"/>
        <v/>
      </c>
      <c r="M110" s="54" t="str">
        <f t="shared" si="4"/>
        <v/>
      </c>
      <c r="N110" s="67" t="str">
        <f t="shared" si="7"/>
        <v/>
      </c>
      <c r="O110" s="56">
        <f t="shared" si="8"/>
        <v>0</v>
      </c>
      <c r="P110" s="56" t="str">
        <f t="shared" si="9"/>
        <v>#REF!</v>
      </c>
      <c r="Q110" s="65" t="str">
        <f t="shared" si="5"/>
        <v>#REF!</v>
      </c>
      <c r="R110" s="1"/>
      <c r="S110" s="58">
        <v>103.0</v>
      </c>
      <c r="T110" s="59">
        <v>39264.0</v>
      </c>
      <c r="U110" s="59">
        <v>39326.0</v>
      </c>
      <c r="V110" s="60">
        <v>514.94</v>
      </c>
      <c r="W110" s="64">
        <v>8.86</v>
      </c>
      <c r="X110" s="64">
        <v>0.0</v>
      </c>
      <c r="Y110" s="60">
        <v>0.0</v>
      </c>
    </row>
    <row r="111">
      <c r="A111" s="1"/>
      <c r="B111" s="41"/>
      <c r="C111" s="19"/>
      <c r="D111" s="20"/>
      <c r="E111" s="70" t="str">
        <f t="shared" si="49"/>
        <v/>
      </c>
      <c r="F111" s="1"/>
      <c r="G111" s="1"/>
      <c r="H111" s="71"/>
      <c r="I111" s="52"/>
      <c r="J111" s="51"/>
      <c r="K111" s="1"/>
      <c r="L111" s="53" t="str">
        <f t="shared" si="3"/>
        <v/>
      </c>
      <c r="M111" s="54" t="str">
        <f t="shared" si="4"/>
        <v/>
      </c>
      <c r="N111" s="67" t="str">
        <f t="shared" si="7"/>
        <v/>
      </c>
      <c r="O111" s="56">
        <f t="shared" si="8"/>
        <v>0</v>
      </c>
      <c r="P111" s="56" t="str">
        <f t="shared" si="9"/>
        <v>#REF!</v>
      </c>
      <c r="Q111" s="65" t="str">
        <f t="shared" si="5"/>
        <v>#REF!</v>
      </c>
      <c r="R111" s="1"/>
      <c r="S111" s="58">
        <v>104.0</v>
      </c>
      <c r="T111" s="59">
        <v>39203.0</v>
      </c>
      <c r="U111" s="59">
        <v>39264.0</v>
      </c>
      <c r="V111" s="60">
        <v>481.13</v>
      </c>
      <c r="W111" s="64">
        <v>8.71</v>
      </c>
      <c r="X111" s="64">
        <v>0.0</v>
      </c>
      <c r="Y111" s="60">
        <v>0.0</v>
      </c>
    </row>
    <row r="112">
      <c r="A112" s="1"/>
      <c r="B112" s="41"/>
      <c r="C112" s="19"/>
      <c r="D112" s="20"/>
      <c r="E112" s="70" t="str">
        <f t="shared" si="49"/>
        <v/>
      </c>
      <c r="F112" s="1"/>
      <c r="G112" s="1"/>
      <c r="H112" s="51"/>
      <c r="I112" s="52"/>
      <c r="J112" s="51"/>
      <c r="K112" s="1"/>
      <c r="L112" s="53" t="str">
        <f t="shared" si="3"/>
        <v/>
      </c>
      <c r="M112" s="54" t="str">
        <f t="shared" si="4"/>
        <v/>
      </c>
      <c r="N112" s="67" t="str">
        <f t="shared" si="7"/>
        <v/>
      </c>
      <c r="O112" s="56">
        <f t="shared" si="8"/>
        <v>0</v>
      </c>
      <c r="P112" s="56" t="str">
        <f t="shared" si="9"/>
        <v>#REF!</v>
      </c>
      <c r="Q112" s="65" t="str">
        <f t="shared" si="5"/>
        <v>#REF!</v>
      </c>
      <c r="R112" s="1"/>
      <c r="S112" s="58">
        <v>105.0</v>
      </c>
      <c r="T112" s="59">
        <v>39142.0</v>
      </c>
      <c r="U112" s="59">
        <v>39203.0</v>
      </c>
      <c r="V112" s="60">
        <v>697.65</v>
      </c>
      <c r="W112" s="64">
        <v>8.71</v>
      </c>
      <c r="X112" s="64">
        <v>0.0</v>
      </c>
      <c r="Y112" s="60">
        <v>0.0</v>
      </c>
    </row>
    <row r="113">
      <c r="A113" s="1"/>
      <c r="B113" s="41"/>
      <c r="C113" s="19"/>
      <c r="D113" s="20"/>
      <c r="E113" s="70" t="str">
        <f t="shared" si="49"/>
        <v/>
      </c>
      <c r="F113" s="1"/>
      <c r="G113" s="1"/>
      <c r="H113" s="51"/>
      <c r="I113" s="52"/>
      <c r="J113" s="51"/>
      <c r="K113" s="1"/>
      <c r="L113" s="53" t="str">
        <f t="shared" si="3"/>
        <v/>
      </c>
      <c r="M113" s="54" t="str">
        <f t="shared" si="4"/>
        <v/>
      </c>
      <c r="N113" s="67" t="str">
        <f t="shared" si="7"/>
        <v/>
      </c>
      <c r="O113" s="56">
        <f t="shared" si="8"/>
        <v>0</v>
      </c>
      <c r="P113" s="56" t="str">
        <f t="shared" si="9"/>
        <v>#REF!</v>
      </c>
      <c r="Q113" s="65" t="str">
        <f t="shared" si="5"/>
        <v>#REF!</v>
      </c>
      <c r="R113" s="1"/>
      <c r="S113" s="58">
        <v>106.0</v>
      </c>
      <c r="T113" s="59">
        <v>39139.0</v>
      </c>
      <c r="U113" s="59">
        <v>39142.0</v>
      </c>
      <c r="V113" s="60">
        <v>504.3</v>
      </c>
      <c r="W113" s="64">
        <v>0.43</v>
      </c>
      <c r="X113" s="64">
        <v>0.0</v>
      </c>
      <c r="Y113" s="60">
        <v>0.0</v>
      </c>
    </row>
    <row r="114">
      <c r="A114" s="1"/>
      <c r="B114" s="41"/>
      <c r="C114" s="76"/>
      <c r="D114" s="20"/>
      <c r="E114" s="70" t="str">
        <f t="shared" si="49"/>
        <v/>
      </c>
      <c r="F114" s="1"/>
      <c r="G114" s="1"/>
      <c r="H114" s="51"/>
      <c r="I114" s="52"/>
      <c r="J114" s="51"/>
      <c r="K114" s="1"/>
      <c r="L114" s="53" t="str">
        <f t="shared" si="3"/>
        <v/>
      </c>
      <c r="M114" s="54" t="str">
        <f t="shared" si="4"/>
        <v/>
      </c>
      <c r="N114" s="67" t="str">
        <f t="shared" si="7"/>
        <v/>
      </c>
      <c r="O114" s="56">
        <f t="shared" si="8"/>
        <v>0</v>
      </c>
      <c r="P114" s="56" t="str">
        <f t="shared" si="9"/>
        <v>#REF!</v>
      </c>
      <c r="Q114" s="65" t="str">
        <f t="shared" si="5"/>
        <v>#REF!</v>
      </c>
      <c r="R114" s="1"/>
      <c r="S114" s="58">
        <v>107.0</v>
      </c>
      <c r="T114" s="59">
        <v>39083.0</v>
      </c>
      <c r="U114" s="59">
        <v>39139.0</v>
      </c>
      <c r="V114" s="60">
        <v>482.98</v>
      </c>
      <c r="W114" s="64">
        <v>8.0</v>
      </c>
      <c r="X114" s="64">
        <v>0.0</v>
      </c>
      <c r="Y114" s="60">
        <v>0.0</v>
      </c>
    </row>
    <row r="115">
      <c r="A115" s="1"/>
      <c r="B115" s="41"/>
      <c r="C115" s="19"/>
      <c r="D115" s="20"/>
      <c r="E115" s="70" t="str">
        <f t="shared" si="49"/>
        <v/>
      </c>
      <c r="F115" s="1"/>
      <c r="G115" s="1"/>
      <c r="H115" s="51"/>
      <c r="I115" s="52"/>
      <c r="J115" s="51"/>
      <c r="K115" s="1"/>
      <c r="L115" s="53" t="str">
        <f t="shared" si="3"/>
        <v/>
      </c>
      <c r="M115" s="54" t="str">
        <f t="shared" si="4"/>
        <v/>
      </c>
      <c r="N115" s="67" t="str">
        <f t="shared" si="7"/>
        <v/>
      </c>
      <c r="O115" s="56">
        <f t="shared" si="8"/>
        <v>0</v>
      </c>
      <c r="P115" s="56" t="str">
        <f t="shared" si="9"/>
        <v>#REF!</v>
      </c>
      <c r="Q115" s="65" t="str">
        <f t="shared" si="5"/>
        <v>#REF!</v>
      </c>
      <c r="R115" s="1"/>
      <c r="S115" s="58">
        <v>108.0</v>
      </c>
      <c r="T115" s="59">
        <v>39022.0</v>
      </c>
      <c r="U115" s="59">
        <v>39083.0</v>
      </c>
      <c r="V115" s="60">
        <v>445.07</v>
      </c>
      <c r="W115" s="64">
        <v>8.71</v>
      </c>
      <c r="X115" s="64">
        <v>0.0</v>
      </c>
      <c r="Y115" s="60">
        <v>0.0</v>
      </c>
    </row>
    <row r="116">
      <c r="A116" s="1"/>
      <c r="B116" s="41"/>
      <c r="C116" s="76"/>
      <c r="D116" s="20"/>
      <c r="E116" s="70" t="str">
        <f t="shared" si="49"/>
        <v/>
      </c>
      <c r="F116" s="1"/>
      <c r="G116" s="1"/>
      <c r="H116" s="51"/>
      <c r="I116" s="52"/>
      <c r="J116" s="51"/>
      <c r="K116" s="1"/>
      <c r="L116" s="53" t="str">
        <f t="shared" si="3"/>
        <v/>
      </c>
      <c r="M116" s="54" t="str">
        <f t="shared" si="4"/>
        <v/>
      </c>
      <c r="N116" s="67" t="str">
        <f t="shared" si="7"/>
        <v/>
      </c>
      <c r="O116" s="56">
        <f t="shared" si="8"/>
        <v>0</v>
      </c>
      <c r="P116" s="56" t="str">
        <f t="shared" si="9"/>
        <v>#REF!</v>
      </c>
      <c r="Q116" s="65" t="str">
        <f t="shared" si="5"/>
        <v>#REF!</v>
      </c>
      <c r="R116" s="1"/>
      <c r="S116" s="58">
        <v>109.0</v>
      </c>
      <c r="T116" s="59">
        <v>38961.0</v>
      </c>
      <c r="U116" s="59">
        <v>39022.0</v>
      </c>
      <c r="V116" s="60">
        <v>430.89</v>
      </c>
      <c r="W116" s="64">
        <v>8.71</v>
      </c>
      <c r="X116" s="64">
        <v>0.0</v>
      </c>
      <c r="Y116" s="60">
        <v>0.0</v>
      </c>
    </row>
    <row r="117">
      <c r="A117" s="1"/>
      <c r="B117" s="41"/>
      <c r="C117" s="19"/>
      <c r="D117" s="20"/>
      <c r="E117" s="70" t="str">
        <f t="shared" si="49"/>
        <v/>
      </c>
      <c r="F117" s="1"/>
      <c r="G117" s="1"/>
      <c r="H117" s="51"/>
      <c r="I117" s="52"/>
      <c r="J117" s="51"/>
      <c r="K117" s="1"/>
      <c r="L117" s="53" t="str">
        <f t="shared" si="3"/>
        <v/>
      </c>
      <c r="M117" s="54" t="str">
        <f t="shared" si="4"/>
        <v/>
      </c>
      <c r="N117" s="67" t="str">
        <f t="shared" si="7"/>
        <v/>
      </c>
      <c r="O117" s="56">
        <f t="shared" si="8"/>
        <v>0</v>
      </c>
      <c r="P117" s="56" t="str">
        <f t="shared" si="9"/>
        <v>#REF!</v>
      </c>
      <c r="Q117" s="65" t="str">
        <f t="shared" si="5"/>
        <v>#REF!</v>
      </c>
      <c r="R117" s="1"/>
      <c r="S117" s="58">
        <v>110.0</v>
      </c>
      <c r="T117" s="59">
        <v>38899.0</v>
      </c>
      <c r="U117" s="59">
        <v>38961.0</v>
      </c>
      <c r="V117" s="60">
        <v>382.98</v>
      </c>
      <c r="W117" s="64">
        <v>8.86</v>
      </c>
      <c r="X117" s="64">
        <v>0.0</v>
      </c>
      <c r="Y117" s="60">
        <v>0.0</v>
      </c>
    </row>
    <row r="118">
      <c r="A118" s="1"/>
      <c r="B118" s="41"/>
      <c r="C118" s="19"/>
      <c r="D118" s="20"/>
      <c r="E118" s="70" t="str">
        <f t="shared" si="49"/>
        <v/>
      </c>
      <c r="F118" s="1"/>
      <c r="G118" s="1"/>
      <c r="H118" s="51"/>
      <c r="I118" s="50"/>
      <c r="J118" s="51"/>
      <c r="K118" s="1"/>
      <c r="L118" s="53" t="str">
        <f t="shared" si="3"/>
        <v/>
      </c>
      <c r="M118" s="54" t="str">
        <f t="shared" si="4"/>
        <v/>
      </c>
      <c r="N118" s="67" t="str">
        <f t="shared" si="7"/>
        <v/>
      </c>
      <c r="O118" s="56">
        <f t="shared" si="8"/>
        <v>0</v>
      </c>
      <c r="P118" s="56" t="str">
        <f t="shared" si="9"/>
        <v>#REF!</v>
      </c>
      <c r="Q118" s="65" t="str">
        <f t="shared" si="5"/>
        <v>#REF!</v>
      </c>
      <c r="R118" s="1"/>
      <c r="S118" s="58">
        <v>111.0</v>
      </c>
      <c r="T118" s="59">
        <v>38838.0</v>
      </c>
      <c r="U118" s="59">
        <v>38899.0</v>
      </c>
      <c r="V118" s="60">
        <v>445.85</v>
      </c>
      <c r="W118" s="64">
        <v>8.71</v>
      </c>
      <c r="X118" s="64">
        <v>0.0</v>
      </c>
      <c r="Y118" s="60">
        <v>0.0</v>
      </c>
    </row>
    <row r="119">
      <c r="A119" s="1"/>
      <c r="B119" s="41"/>
      <c r="C119" s="19"/>
      <c r="D119" s="20"/>
      <c r="E119" s="70" t="str">
        <f t="shared" si="49"/>
        <v/>
      </c>
      <c r="F119" s="1"/>
      <c r="G119" s="1"/>
      <c r="H119" s="51"/>
      <c r="I119" s="50"/>
      <c r="J119" s="51"/>
      <c r="K119" s="1"/>
      <c r="L119" s="53" t="str">
        <f t="shared" si="3"/>
        <v/>
      </c>
      <c r="M119" s="54" t="str">
        <f t="shared" si="4"/>
        <v/>
      </c>
      <c r="N119" s="67" t="str">
        <f t="shared" si="7"/>
        <v/>
      </c>
      <c r="O119" s="56">
        <f t="shared" si="8"/>
        <v>0</v>
      </c>
      <c r="P119" s="56" t="str">
        <f t="shared" si="9"/>
        <v>#REF!</v>
      </c>
      <c r="Q119" s="65" t="str">
        <f t="shared" si="5"/>
        <v>#REF!</v>
      </c>
      <c r="R119" s="1"/>
      <c r="S119" s="58">
        <v>112.0</v>
      </c>
      <c r="T119" s="59">
        <v>38777.0</v>
      </c>
      <c r="U119" s="59">
        <v>38838.0</v>
      </c>
      <c r="V119" s="60">
        <v>397.94</v>
      </c>
      <c r="W119" s="64">
        <v>8.71</v>
      </c>
      <c r="X119" s="64">
        <v>0.0</v>
      </c>
      <c r="Y119" s="60">
        <v>0.0</v>
      </c>
    </row>
    <row r="120">
      <c r="A120" s="1"/>
      <c r="B120" s="41"/>
      <c r="C120" s="19"/>
      <c r="D120" s="20"/>
      <c r="E120" s="70" t="str">
        <f t="shared" si="49"/>
        <v/>
      </c>
      <c r="F120" s="1"/>
      <c r="G120" s="1"/>
      <c r="H120" s="51"/>
      <c r="I120" s="50"/>
      <c r="J120" s="51"/>
      <c r="K120" s="1"/>
      <c r="L120" s="53" t="str">
        <f t="shared" si="3"/>
        <v/>
      </c>
      <c r="M120" s="54" t="str">
        <f t="shared" si="4"/>
        <v/>
      </c>
      <c r="N120" s="67" t="str">
        <f t="shared" si="7"/>
        <v/>
      </c>
      <c r="O120" s="56">
        <f t="shared" si="8"/>
        <v>0</v>
      </c>
      <c r="P120" s="56" t="str">
        <f t="shared" si="9"/>
        <v>#REF!</v>
      </c>
      <c r="Q120" s="65" t="str">
        <f t="shared" si="5"/>
        <v>#REF!</v>
      </c>
      <c r="R120" s="1"/>
      <c r="S120" s="58">
        <v>113.0</v>
      </c>
      <c r="T120" s="59">
        <v>38718.0</v>
      </c>
      <c r="U120" s="59">
        <v>38777.0</v>
      </c>
      <c r="V120" s="60">
        <v>387.45</v>
      </c>
      <c r="W120" s="64">
        <v>8.43</v>
      </c>
      <c r="X120" s="64">
        <v>0.0</v>
      </c>
      <c r="Y120" s="60">
        <v>0.0</v>
      </c>
    </row>
    <row r="121">
      <c r="A121" s="1"/>
      <c r="B121" s="41"/>
      <c r="C121" s="19"/>
      <c r="D121" s="20"/>
      <c r="E121" s="70" t="str">
        <f t="shared" si="49"/>
        <v/>
      </c>
      <c r="F121" s="1"/>
      <c r="G121" s="1"/>
      <c r="H121" s="51"/>
      <c r="I121" s="50"/>
      <c r="J121" s="51"/>
      <c r="K121" s="1"/>
      <c r="L121" s="53" t="str">
        <f t="shared" si="3"/>
        <v/>
      </c>
      <c r="M121" s="54" t="str">
        <f t="shared" si="4"/>
        <v/>
      </c>
      <c r="N121" s="67" t="str">
        <f t="shared" si="7"/>
        <v/>
      </c>
      <c r="O121" s="56">
        <f t="shared" si="8"/>
        <v>0</v>
      </c>
      <c r="P121" s="56" t="str">
        <f t="shared" si="9"/>
        <v>#REF!</v>
      </c>
      <c r="Q121" s="65" t="str">
        <f t="shared" si="5"/>
        <v>#REF!</v>
      </c>
      <c r="R121" s="1"/>
      <c r="S121" s="58">
        <v>114.0</v>
      </c>
      <c r="T121" s="59">
        <v>38657.0</v>
      </c>
      <c r="U121" s="59">
        <v>38718.0</v>
      </c>
      <c r="V121" s="60">
        <v>405.35</v>
      </c>
      <c r="W121" s="64">
        <v>8.71</v>
      </c>
      <c r="X121" s="64">
        <v>0.0</v>
      </c>
      <c r="Y121" s="60">
        <v>0.0</v>
      </c>
    </row>
    <row r="122">
      <c r="A122" s="1"/>
      <c r="B122" s="41"/>
      <c r="C122" s="76"/>
      <c r="D122" s="20"/>
      <c r="E122" s="70" t="str">
        <f t="shared" si="49"/>
        <v/>
      </c>
      <c r="F122" s="1"/>
      <c r="G122" s="1"/>
      <c r="H122" s="51"/>
      <c r="I122" s="50"/>
      <c r="J122" s="51"/>
      <c r="K122" s="1"/>
      <c r="L122" s="53" t="str">
        <f t="shared" si="3"/>
        <v/>
      </c>
      <c r="M122" s="54" t="str">
        <f t="shared" si="4"/>
        <v/>
      </c>
      <c r="N122" s="67" t="str">
        <f t="shared" si="7"/>
        <v/>
      </c>
      <c r="O122" s="56">
        <f t="shared" si="8"/>
        <v>0</v>
      </c>
      <c r="P122" s="56" t="str">
        <f t="shared" si="9"/>
        <v>#REF!</v>
      </c>
      <c r="Q122" s="65" t="str">
        <f t="shared" si="5"/>
        <v>#REF!</v>
      </c>
      <c r="R122" s="1"/>
      <c r="S122" s="58">
        <v>115.0</v>
      </c>
      <c r="T122" s="59">
        <v>38596.0</v>
      </c>
      <c r="U122" s="59">
        <v>38657.0</v>
      </c>
      <c r="V122" s="60">
        <v>462.05</v>
      </c>
      <c r="W122" s="64">
        <v>8.71</v>
      </c>
      <c r="X122" s="64">
        <v>0.0</v>
      </c>
      <c r="Y122" s="60">
        <v>0.0</v>
      </c>
    </row>
    <row r="123">
      <c r="A123" s="1"/>
      <c r="B123" s="41"/>
      <c r="C123" s="19"/>
      <c r="D123" s="20"/>
      <c r="E123" s="70" t="str">
        <f t="shared" si="49"/>
        <v/>
      </c>
      <c r="F123" s="1"/>
      <c r="G123" s="1"/>
      <c r="H123" s="51"/>
      <c r="I123" s="50"/>
      <c r="J123" s="51"/>
      <c r="K123" s="1"/>
      <c r="L123" s="53" t="str">
        <f t="shared" si="3"/>
        <v/>
      </c>
      <c r="M123" s="54" t="str">
        <f t="shared" si="4"/>
        <v/>
      </c>
      <c r="N123" s="67" t="str">
        <f t="shared" si="7"/>
        <v/>
      </c>
      <c r="O123" s="56">
        <f t="shared" si="8"/>
        <v>0</v>
      </c>
      <c r="P123" s="56" t="str">
        <f t="shared" si="9"/>
        <v>#REF!</v>
      </c>
      <c r="Q123" s="65" t="str">
        <f t="shared" si="5"/>
        <v>#REF!</v>
      </c>
      <c r="R123" s="1"/>
      <c r="S123" s="58">
        <v>116.0</v>
      </c>
      <c r="T123" s="59">
        <v>38534.0</v>
      </c>
      <c r="U123" s="59">
        <v>38596.0</v>
      </c>
      <c r="V123" s="60">
        <v>439.77</v>
      </c>
      <c r="W123" s="64">
        <v>8.86</v>
      </c>
      <c r="X123" s="64">
        <v>0.0</v>
      </c>
      <c r="Y123" s="60">
        <v>0.0</v>
      </c>
    </row>
    <row r="124">
      <c r="A124" s="1"/>
      <c r="B124" s="41"/>
      <c r="C124" s="19"/>
      <c r="D124" s="20"/>
      <c r="E124" s="70" t="str">
        <f t="shared" si="49"/>
        <v/>
      </c>
      <c r="F124" s="1"/>
      <c r="G124" s="1"/>
      <c r="H124" s="51"/>
      <c r="I124" s="50"/>
      <c r="J124" s="51"/>
      <c r="K124" s="1"/>
      <c r="L124" s="53" t="str">
        <f t="shared" si="3"/>
        <v/>
      </c>
      <c r="M124" s="54" t="str">
        <f t="shared" si="4"/>
        <v/>
      </c>
      <c r="N124" s="67" t="str">
        <f t="shared" si="7"/>
        <v/>
      </c>
      <c r="O124" s="56">
        <f t="shared" si="8"/>
        <v>0</v>
      </c>
      <c r="P124" s="56" t="str">
        <f t="shared" si="9"/>
        <v>#REF!</v>
      </c>
      <c r="Q124" s="65" t="str">
        <f t="shared" si="5"/>
        <v>#REF!</v>
      </c>
      <c r="R124" s="1"/>
      <c r="S124" s="58">
        <v>117.0</v>
      </c>
      <c r="T124" s="59">
        <v>38473.0</v>
      </c>
      <c r="U124" s="59">
        <v>38534.0</v>
      </c>
      <c r="V124" s="60">
        <v>375.4</v>
      </c>
      <c r="W124" s="64">
        <v>8.71</v>
      </c>
      <c r="X124" s="64">
        <v>0.0</v>
      </c>
      <c r="Y124" s="60">
        <v>0.0</v>
      </c>
    </row>
    <row r="125">
      <c r="A125" s="1"/>
      <c r="B125" s="41"/>
      <c r="C125" s="19"/>
      <c r="D125" s="20"/>
      <c r="E125" s="70" t="str">
        <f t="shared" si="49"/>
        <v/>
      </c>
      <c r="F125" s="1"/>
      <c r="G125" s="1"/>
      <c r="H125" s="51"/>
      <c r="I125" s="50"/>
      <c r="J125" s="51"/>
      <c r="K125" s="1"/>
      <c r="L125" s="53" t="str">
        <f t="shared" si="3"/>
        <v/>
      </c>
      <c r="M125" s="54" t="str">
        <f t="shared" si="4"/>
        <v/>
      </c>
      <c r="N125" s="67" t="str">
        <f t="shared" si="7"/>
        <v/>
      </c>
      <c r="O125" s="56">
        <f t="shared" si="8"/>
        <v>0</v>
      </c>
      <c r="P125" s="56" t="str">
        <f t="shared" si="9"/>
        <v>#REF!</v>
      </c>
      <c r="Q125" s="65" t="str">
        <f t="shared" si="5"/>
        <v>#REF!</v>
      </c>
      <c r="R125" s="1"/>
      <c r="S125" s="58">
        <v>118.0</v>
      </c>
      <c r="T125" s="59">
        <v>38412.0</v>
      </c>
      <c r="U125" s="59">
        <v>38473.0</v>
      </c>
      <c r="V125" s="60">
        <v>590.7</v>
      </c>
      <c r="W125" s="64">
        <v>8.71</v>
      </c>
      <c r="X125" s="64">
        <v>0.0</v>
      </c>
      <c r="Y125" s="60">
        <v>0.0</v>
      </c>
    </row>
    <row r="126">
      <c r="A126" s="1"/>
      <c r="B126" s="41"/>
      <c r="C126" s="19"/>
      <c r="D126" s="20"/>
      <c r="E126" s="70" t="str">
        <f t="shared" si="49"/>
        <v/>
      </c>
      <c r="F126" s="1"/>
      <c r="G126" s="1"/>
      <c r="H126" s="51"/>
      <c r="I126" s="50"/>
      <c r="J126" s="51"/>
      <c r="K126" s="1"/>
      <c r="L126" s="53" t="str">
        <f t="shared" si="3"/>
        <v/>
      </c>
      <c r="M126" s="54" t="str">
        <f t="shared" si="4"/>
        <v/>
      </c>
      <c r="N126" s="67" t="str">
        <f t="shared" si="7"/>
        <v/>
      </c>
      <c r="O126" s="56">
        <f t="shared" si="8"/>
        <v>0</v>
      </c>
      <c r="P126" s="56" t="str">
        <f t="shared" si="9"/>
        <v>#REF!</v>
      </c>
      <c r="Q126" s="65" t="str">
        <f t="shared" si="5"/>
        <v>#REF!</v>
      </c>
      <c r="R126" s="1"/>
      <c r="S126" s="58">
        <v>119.0</v>
      </c>
      <c r="T126" s="59">
        <v>38411.0</v>
      </c>
      <c r="U126" s="59">
        <v>38412.0</v>
      </c>
      <c r="V126" s="60">
        <v>408.42</v>
      </c>
      <c r="W126" s="64">
        <v>0.14</v>
      </c>
      <c r="X126" s="64">
        <v>0.0</v>
      </c>
      <c r="Y126" s="60">
        <v>0.0</v>
      </c>
    </row>
    <row r="127">
      <c r="A127" s="1"/>
      <c r="B127" s="41"/>
      <c r="C127" s="19"/>
      <c r="D127" s="20"/>
      <c r="E127" s="70" t="str">
        <f t="shared" si="49"/>
        <v/>
      </c>
      <c r="F127" s="1"/>
      <c r="G127" s="1"/>
      <c r="H127" s="51"/>
      <c r="I127" s="50"/>
      <c r="J127" s="51"/>
      <c r="K127" s="1"/>
      <c r="L127" s="53" t="str">
        <f t="shared" si="3"/>
        <v/>
      </c>
      <c r="M127" s="54" t="str">
        <f t="shared" si="4"/>
        <v/>
      </c>
      <c r="N127" s="67" t="str">
        <f t="shared" si="7"/>
        <v/>
      </c>
      <c r="O127" s="56">
        <f t="shared" si="8"/>
        <v>0</v>
      </c>
      <c r="P127" s="56" t="str">
        <f t="shared" si="9"/>
        <v>#REF!</v>
      </c>
      <c r="Q127" s="65" t="str">
        <f t="shared" si="5"/>
        <v>#REF!</v>
      </c>
      <c r="R127" s="1"/>
      <c r="S127" s="58">
        <v>120.0</v>
      </c>
      <c r="T127" s="59">
        <v>38362.0</v>
      </c>
      <c r="U127" s="59">
        <v>38411.0</v>
      </c>
      <c r="V127" s="60">
        <v>387.55</v>
      </c>
      <c r="W127" s="64">
        <v>7.0</v>
      </c>
      <c r="X127" s="64">
        <v>0.0</v>
      </c>
      <c r="Y127" s="60">
        <v>0.0</v>
      </c>
    </row>
    <row r="128">
      <c r="A128" s="1"/>
      <c r="B128" s="41"/>
      <c r="C128" s="19"/>
      <c r="D128" s="20"/>
      <c r="E128" s="70" t="str">
        <f t="shared" si="49"/>
        <v/>
      </c>
      <c r="F128" s="1"/>
      <c r="G128" s="1"/>
      <c r="H128" s="51"/>
      <c r="I128" s="50"/>
      <c r="J128" s="51"/>
      <c r="K128" s="1"/>
      <c r="L128" s="53" t="str">
        <f t="shared" si="3"/>
        <v/>
      </c>
      <c r="M128" s="54" t="str">
        <f t="shared" si="4"/>
        <v/>
      </c>
      <c r="N128" s="67" t="str">
        <f t="shared" si="7"/>
        <v/>
      </c>
      <c r="O128" s="56">
        <f t="shared" si="8"/>
        <v>0</v>
      </c>
      <c r="P128" s="56" t="str">
        <f t="shared" si="9"/>
        <v>#REF!</v>
      </c>
      <c r="Q128" s="65" t="str">
        <f t="shared" si="5"/>
        <v>#REF!</v>
      </c>
      <c r="R128" s="1"/>
      <c r="S128" s="58">
        <v>121.0</v>
      </c>
      <c r="T128" s="59">
        <v>38353.0</v>
      </c>
      <c r="U128" s="59">
        <v>38362.0</v>
      </c>
      <c r="V128" s="60">
        <v>355.91</v>
      </c>
      <c r="W128" s="64">
        <v>1.29</v>
      </c>
      <c r="X128" s="64">
        <v>0.0</v>
      </c>
      <c r="Y128" s="60">
        <v>0.0</v>
      </c>
    </row>
    <row r="129">
      <c r="A129" s="1"/>
      <c r="B129" s="41"/>
      <c r="C129" s="19"/>
      <c r="D129" s="20"/>
      <c r="E129" s="70" t="str">
        <f t="shared" si="49"/>
        <v/>
      </c>
      <c r="F129" s="1"/>
      <c r="G129" s="1"/>
      <c r="H129" s="51"/>
      <c r="I129" s="50"/>
      <c r="J129" s="51"/>
      <c r="K129" s="1"/>
      <c r="L129" s="53" t="str">
        <f t="shared" si="3"/>
        <v/>
      </c>
      <c r="M129" s="54" t="str">
        <f t="shared" si="4"/>
        <v/>
      </c>
      <c r="N129" s="67" t="str">
        <f t="shared" si="7"/>
        <v/>
      </c>
      <c r="O129" s="56">
        <f t="shared" si="8"/>
        <v>0</v>
      </c>
      <c r="P129" s="56" t="str">
        <f t="shared" si="9"/>
        <v>#REF!</v>
      </c>
      <c r="Q129" s="65" t="str">
        <f t="shared" si="5"/>
        <v>#REF!</v>
      </c>
      <c r="R129" s="1"/>
      <c r="S129" s="58">
        <v>122.0</v>
      </c>
      <c r="T129" s="59">
        <v>38292.0</v>
      </c>
      <c r="U129" s="59">
        <v>38353.0</v>
      </c>
      <c r="V129" s="60">
        <v>484.13</v>
      </c>
      <c r="W129" s="64">
        <v>8.71</v>
      </c>
      <c r="X129" s="64">
        <v>0.0</v>
      </c>
      <c r="Y129" s="60">
        <v>0.0</v>
      </c>
    </row>
    <row r="130">
      <c r="A130" s="1"/>
      <c r="B130" s="41"/>
      <c r="C130" s="19"/>
      <c r="D130" s="77"/>
      <c r="E130" s="70" t="str">
        <f t="shared" si="49"/>
        <v/>
      </c>
      <c r="F130" s="1"/>
      <c r="G130" s="1"/>
      <c r="H130" s="51"/>
      <c r="I130" s="50"/>
      <c r="J130" s="51"/>
      <c r="K130" s="1"/>
      <c r="L130" s="53" t="str">
        <f t="shared" si="3"/>
        <v/>
      </c>
      <c r="M130" s="54" t="str">
        <f t="shared" si="4"/>
        <v/>
      </c>
      <c r="N130" s="67" t="str">
        <f t="shared" si="7"/>
        <v/>
      </c>
      <c r="O130" s="56">
        <f t="shared" si="8"/>
        <v>0</v>
      </c>
      <c r="P130" s="56" t="str">
        <f t="shared" si="9"/>
        <v>#REF!</v>
      </c>
      <c r="Q130" s="65" t="str">
        <f t="shared" si="5"/>
        <v>#REF!</v>
      </c>
      <c r="R130" s="1"/>
      <c r="S130" s="58">
        <v>123.0</v>
      </c>
      <c r="T130" s="59">
        <v>38231.0</v>
      </c>
      <c r="U130" s="59">
        <v>38292.0</v>
      </c>
      <c r="V130" s="60">
        <v>475.37</v>
      </c>
      <c r="W130" s="64">
        <v>8.71</v>
      </c>
      <c r="X130" s="64">
        <v>0.0</v>
      </c>
      <c r="Y130" s="60">
        <v>0.0</v>
      </c>
    </row>
    <row r="131">
      <c r="A131" s="1"/>
      <c r="B131" s="41"/>
      <c r="C131" s="19"/>
      <c r="D131" s="77"/>
      <c r="E131" s="70" t="str">
        <f t="shared" si="49"/>
        <v/>
      </c>
      <c r="F131" s="1"/>
      <c r="G131" s="1"/>
      <c r="H131" s="51"/>
      <c r="I131" s="50"/>
      <c r="J131" s="51"/>
      <c r="K131" s="1"/>
      <c r="L131" s="53" t="str">
        <f t="shared" si="3"/>
        <v/>
      </c>
      <c r="M131" s="54" t="str">
        <f t="shared" si="4"/>
        <v/>
      </c>
      <c r="N131" s="67" t="str">
        <f t="shared" si="7"/>
        <v/>
      </c>
      <c r="O131" s="56">
        <f t="shared" si="8"/>
        <v>0</v>
      </c>
      <c r="P131" s="56" t="str">
        <f t="shared" si="9"/>
        <v>#REF!</v>
      </c>
      <c r="Q131" s="65" t="str">
        <f t="shared" si="5"/>
        <v>#REF!</v>
      </c>
      <c r="R131" s="1"/>
      <c r="S131" s="58">
        <v>124.0</v>
      </c>
      <c r="T131" s="59">
        <v>38187.0</v>
      </c>
      <c r="U131" s="59">
        <v>38231.0</v>
      </c>
      <c r="V131" s="60">
        <v>464.89</v>
      </c>
      <c r="W131" s="64">
        <v>6.29</v>
      </c>
      <c r="X131" s="64">
        <v>0.0</v>
      </c>
      <c r="Y131" s="60">
        <v>0.0</v>
      </c>
    </row>
    <row r="132">
      <c r="A132" s="1"/>
      <c r="B132" s="41"/>
      <c r="C132" s="19"/>
      <c r="D132" s="77"/>
      <c r="E132" s="70" t="str">
        <f t="shared" si="49"/>
        <v/>
      </c>
      <c r="F132" s="1"/>
      <c r="G132" s="1"/>
      <c r="H132" s="51"/>
      <c r="I132" s="50"/>
      <c r="J132" s="51"/>
      <c r="K132" s="1"/>
      <c r="L132" s="53" t="str">
        <f t="shared" si="3"/>
        <v/>
      </c>
      <c r="M132" s="54" t="str">
        <f t="shared" si="4"/>
        <v/>
      </c>
      <c r="N132" s="67" t="str">
        <f t="shared" si="7"/>
        <v/>
      </c>
      <c r="O132" s="56">
        <f t="shared" si="8"/>
        <v>0</v>
      </c>
      <c r="P132" s="56" t="str">
        <f t="shared" si="9"/>
        <v>#REF!</v>
      </c>
      <c r="Q132" s="65" t="str">
        <f t="shared" si="5"/>
        <v>#REF!</v>
      </c>
      <c r="R132" s="1"/>
      <c r="S132" s="58">
        <v>125.0</v>
      </c>
      <c r="T132" s="59">
        <v>38169.0</v>
      </c>
      <c r="U132" s="59">
        <v>38187.0</v>
      </c>
      <c r="V132" s="60">
        <v>452.06</v>
      </c>
      <c r="W132" s="64">
        <v>2.57</v>
      </c>
      <c r="X132" s="64">
        <v>0.0</v>
      </c>
      <c r="Y132" s="60">
        <v>0.0</v>
      </c>
    </row>
    <row r="133">
      <c r="A133" s="1"/>
      <c r="B133" s="41"/>
      <c r="C133" s="19"/>
      <c r="D133" s="77"/>
      <c r="E133" s="70" t="str">
        <f t="shared" si="49"/>
        <v/>
      </c>
      <c r="F133" s="1"/>
      <c r="G133" s="1"/>
      <c r="H133" s="51"/>
      <c r="I133" s="50"/>
      <c r="J133" s="51"/>
      <c r="K133" s="1"/>
      <c r="L133" s="53" t="str">
        <f t="shared" si="3"/>
        <v/>
      </c>
      <c r="M133" s="54" t="str">
        <f t="shared" si="4"/>
        <v/>
      </c>
      <c r="N133" s="67" t="str">
        <f t="shared" si="7"/>
        <v/>
      </c>
      <c r="O133" s="56">
        <f t="shared" si="8"/>
        <v>0</v>
      </c>
      <c r="P133" s="56" t="str">
        <f t="shared" si="9"/>
        <v>#REF!</v>
      </c>
      <c r="Q133" s="65" t="str">
        <f t="shared" si="5"/>
        <v>#REF!</v>
      </c>
      <c r="R133" s="1"/>
      <c r="S133" s="58">
        <v>126.0</v>
      </c>
      <c r="T133" s="59">
        <v>38108.0</v>
      </c>
      <c r="U133" s="59">
        <v>38169.0</v>
      </c>
      <c r="V133" s="60">
        <v>431.27</v>
      </c>
      <c r="W133" s="64">
        <v>8.71</v>
      </c>
      <c r="X133" s="64">
        <v>0.0</v>
      </c>
      <c r="Y133" s="60">
        <v>0.0</v>
      </c>
    </row>
    <row r="134">
      <c r="A134" s="1"/>
      <c r="B134" s="41"/>
      <c r="C134" s="19"/>
      <c r="D134" s="77"/>
      <c r="E134" s="70" t="str">
        <f t="shared" si="49"/>
        <v/>
      </c>
      <c r="F134" s="1"/>
      <c r="G134" s="1"/>
      <c r="H134" s="51"/>
      <c r="I134" s="50"/>
      <c r="J134" s="51"/>
      <c r="K134" s="1"/>
      <c r="L134" s="53" t="str">
        <f t="shared" si="3"/>
        <v/>
      </c>
      <c r="M134" s="54" t="str">
        <f t="shared" si="4"/>
        <v/>
      </c>
      <c r="N134" s="67" t="str">
        <f t="shared" si="7"/>
        <v/>
      </c>
      <c r="O134" s="56">
        <f t="shared" si="8"/>
        <v>0</v>
      </c>
      <c r="P134" s="56" t="str">
        <f t="shared" si="9"/>
        <v>#REF!</v>
      </c>
      <c r="Q134" s="65" t="str">
        <f t="shared" si="5"/>
        <v>#REF!</v>
      </c>
      <c r="R134" s="1"/>
      <c r="S134" s="58">
        <v>127.0</v>
      </c>
      <c r="T134" s="59">
        <v>38047.0</v>
      </c>
      <c r="U134" s="59">
        <v>38108.0</v>
      </c>
      <c r="V134" s="60">
        <v>386.6</v>
      </c>
      <c r="W134" s="64">
        <v>8.71</v>
      </c>
      <c r="X134" s="64">
        <v>0.0</v>
      </c>
      <c r="Y134" s="60">
        <v>0.0</v>
      </c>
    </row>
    <row r="135">
      <c r="A135" s="1"/>
      <c r="B135" s="41"/>
      <c r="C135" s="19"/>
      <c r="D135" s="77"/>
      <c r="E135" s="70" t="str">
        <f t="shared" si="49"/>
        <v/>
      </c>
      <c r="F135" s="1"/>
      <c r="G135" s="1"/>
      <c r="H135" s="51"/>
      <c r="I135" s="50"/>
      <c r="J135" s="51"/>
      <c r="K135" s="1"/>
      <c r="L135" s="53" t="str">
        <f t="shared" si="3"/>
        <v/>
      </c>
      <c r="M135" s="54" t="str">
        <f t="shared" si="4"/>
        <v/>
      </c>
      <c r="N135" s="67" t="str">
        <f t="shared" si="7"/>
        <v/>
      </c>
      <c r="O135" s="56">
        <f t="shared" si="8"/>
        <v>0</v>
      </c>
      <c r="P135" s="56" t="str">
        <f t="shared" si="9"/>
        <v>#REF!</v>
      </c>
      <c r="Q135" s="65" t="str">
        <f t="shared" si="5"/>
        <v>#REF!</v>
      </c>
      <c r="R135" s="1"/>
      <c r="S135" s="58">
        <v>128.0</v>
      </c>
      <c r="T135" s="59">
        <v>37987.0</v>
      </c>
      <c r="U135" s="59">
        <v>38047.0</v>
      </c>
      <c r="V135" s="60">
        <v>352.79</v>
      </c>
      <c r="W135" s="64">
        <v>8.57</v>
      </c>
      <c r="X135" s="64">
        <v>0.0</v>
      </c>
      <c r="Y135" s="60">
        <v>0.0</v>
      </c>
    </row>
    <row r="136">
      <c r="A136" s="1"/>
      <c r="B136" s="41"/>
      <c r="C136" s="19"/>
      <c r="D136" s="77"/>
      <c r="E136" s="70" t="str">
        <f t="shared" si="49"/>
        <v/>
      </c>
      <c r="F136" s="1"/>
      <c r="G136" s="1"/>
      <c r="H136" s="51"/>
      <c r="I136" s="50"/>
      <c r="J136" s="51"/>
      <c r="K136" s="1"/>
      <c r="L136" s="53" t="str">
        <f t="shared" si="3"/>
        <v/>
      </c>
      <c r="M136" s="54" t="str">
        <f t="shared" si="4"/>
        <v/>
      </c>
      <c r="N136" s="67" t="str">
        <f t="shared" si="7"/>
        <v/>
      </c>
      <c r="O136" s="56">
        <f t="shared" si="8"/>
        <v>0</v>
      </c>
      <c r="P136" s="56" t="str">
        <f t="shared" si="9"/>
        <v>#REF!</v>
      </c>
      <c r="Q136" s="65" t="str">
        <f t="shared" si="5"/>
        <v>#REF!</v>
      </c>
      <c r="R136" s="1"/>
      <c r="S136" s="58">
        <v>129.0</v>
      </c>
      <c r="T136" s="59">
        <v>37926.0</v>
      </c>
      <c r="U136" s="59">
        <v>37987.0</v>
      </c>
      <c r="V136" s="60">
        <v>374.45</v>
      </c>
      <c r="W136" s="64">
        <v>8.71</v>
      </c>
      <c r="X136" s="64">
        <v>0.0</v>
      </c>
      <c r="Y136" s="60">
        <v>0.0</v>
      </c>
    </row>
    <row r="137">
      <c r="A137" s="1"/>
      <c r="B137" s="41"/>
      <c r="C137" s="19"/>
      <c r="D137" s="77"/>
      <c r="E137" s="70" t="str">
        <f t="shared" si="49"/>
        <v/>
      </c>
      <c r="F137" s="1"/>
      <c r="G137" s="1"/>
      <c r="H137" s="51"/>
      <c r="I137" s="50"/>
      <c r="J137" s="51"/>
      <c r="K137" s="1"/>
      <c r="L137" s="53" t="str">
        <f t="shared" si="3"/>
        <v/>
      </c>
      <c r="M137" s="54" t="str">
        <f t="shared" si="4"/>
        <v/>
      </c>
      <c r="N137" s="67" t="str">
        <f t="shared" si="7"/>
        <v/>
      </c>
      <c r="O137" s="56">
        <f t="shared" si="8"/>
        <v>0</v>
      </c>
      <c r="P137" s="56" t="str">
        <f t="shared" si="9"/>
        <v>#REF!</v>
      </c>
      <c r="Q137" s="65" t="str">
        <f t="shared" si="5"/>
        <v>#REF!</v>
      </c>
      <c r="R137" s="1"/>
      <c r="S137" s="58">
        <v>130.0</v>
      </c>
      <c r="T137" s="59">
        <v>37865.0</v>
      </c>
      <c r="U137" s="59">
        <v>37926.0</v>
      </c>
      <c r="V137" s="60">
        <v>319.63</v>
      </c>
      <c r="W137" s="64">
        <v>8.71</v>
      </c>
      <c r="X137" s="64">
        <v>0.0</v>
      </c>
      <c r="Y137" s="60">
        <v>0.0</v>
      </c>
    </row>
    <row r="138">
      <c r="A138" s="1"/>
      <c r="B138" s="41"/>
      <c r="C138" s="19"/>
      <c r="D138" s="77"/>
      <c r="E138" s="70" t="str">
        <f t="shared" si="49"/>
        <v/>
      </c>
      <c r="F138" s="1"/>
      <c r="G138" s="1"/>
      <c r="H138" s="51"/>
      <c r="I138" s="50"/>
      <c r="J138" s="51"/>
      <c r="K138" s="1"/>
      <c r="L138" s="53" t="str">
        <f t="shared" si="3"/>
        <v/>
      </c>
      <c r="M138" s="54" t="str">
        <f t="shared" si="4"/>
        <v/>
      </c>
      <c r="N138" s="67" t="str">
        <f t="shared" si="7"/>
        <v/>
      </c>
      <c r="O138" s="56">
        <f t="shared" si="8"/>
        <v>0</v>
      </c>
      <c r="P138" s="56" t="str">
        <f t="shared" si="9"/>
        <v>#REF!</v>
      </c>
      <c r="Q138" s="65" t="str">
        <f t="shared" si="5"/>
        <v>#REF!</v>
      </c>
      <c r="R138" s="1"/>
      <c r="S138" s="58">
        <v>131.0</v>
      </c>
      <c r="T138" s="59">
        <v>37823.0</v>
      </c>
      <c r="U138" s="59">
        <v>37865.0</v>
      </c>
      <c r="V138" s="60">
        <v>284.4</v>
      </c>
      <c r="W138" s="64">
        <v>6.0</v>
      </c>
      <c r="X138" s="64">
        <v>0.0</v>
      </c>
      <c r="Y138" s="60">
        <v>0.0</v>
      </c>
    </row>
    <row r="139">
      <c r="A139" s="1"/>
      <c r="B139" s="41"/>
      <c r="C139" s="19"/>
      <c r="D139" s="77"/>
      <c r="E139" s="70" t="str">
        <f t="shared" si="49"/>
        <v/>
      </c>
      <c r="F139" s="1"/>
      <c r="G139" s="1"/>
      <c r="H139" s="51"/>
      <c r="I139" s="50"/>
      <c r="J139" s="51"/>
      <c r="K139" s="1"/>
      <c r="L139" s="53" t="str">
        <f t="shared" si="3"/>
        <v/>
      </c>
      <c r="M139" s="54" t="str">
        <f t="shared" si="4"/>
        <v/>
      </c>
      <c r="N139" s="67" t="str">
        <f t="shared" si="7"/>
        <v/>
      </c>
      <c r="O139" s="56">
        <f t="shared" si="8"/>
        <v>0</v>
      </c>
      <c r="P139" s="56" t="str">
        <f t="shared" si="9"/>
        <v>#REF!</v>
      </c>
      <c r="Q139" s="65" t="str">
        <f t="shared" si="5"/>
        <v>#REF!</v>
      </c>
      <c r="R139" s="1"/>
      <c r="S139" s="58">
        <v>132.0</v>
      </c>
      <c r="T139" s="59">
        <v>37734.0</v>
      </c>
      <c r="U139" s="59">
        <v>37818.0</v>
      </c>
      <c r="V139" s="60">
        <v>113.5</v>
      </c>
      <c r="W139" s="64">
        <v>12.0</v>
      </c>
      <c r="X139" s="64">
        <v>0.0</v>
      </c>
      <c r="Y139" s="60">
        <v>0.0</v>
      </c>
    </row>
    <row r="140">
      <c r="A140" s="1"/>
      <c r="B140" s="41"/>
      <c r="C140" s="19"/>
      <c r="D140" s="77"/>
      <c r="E140" s="70" t="str">
        <f t="shared" si="49"/>
        <v/>
      </c>
      <c r="F140" s="1"/>
      <c r="G140" s="1"/>
      <c r="H140" s="51"/>
      <c r="I140" s="50"/>
      <c r="J140" s="51"/>
      <c r="K140" s="1"/>
      <c r="L140" s="53" t="str">
        <f t="shared" si="3"/>
        <v/>
      </c>
      <c r="M140" s="54" t="str">
        <f t="shared" si="4"/>
        <v/>
      </c>
      <c r="N140" s="67" t="str">
        <f t="shared" si="7"/>
        <v/>
      </c>
      <c r="O140" s="56">
        <f t="shared" si="8"/>
        <v>0</v>
      </c>
      <c r="P140" s="56" t="str">
        <f t="shared" si="9"/>
        <v>#REF!</v>
      </c>
      <c r="Q140" s="65" t="str">
        <f t="shared" si="5"/>
        <v>#REF!</v>
      </c>
      <c r="R140" s="1"/>
      <c r="S140" s="58">
        <v>133.0</v>
      </c>
      <c r="T140" s="59">
        <v>37666.0</v>
      </c>
      <c r="U140" s="59">
        <v>37707.0</v>
      </c>
      <c r="V140" s="60">
        <v>162.01</v>
      </c>
      <c r="W140" s="64">
        <v>5.86</v>
      </c>
      <c r="X140" s="64">
        <v>0.0</v>
      </c>
      <c r="Y140" s="60">
        <v>0.0</v>
      </c>
    </row>
    <row r="141">
      <c r="A141" s="1"/>
      <c r="B141" s="41"/>
      <c r="C141" s="19"/>
      <c r="D141" s="77"/>
      <c r="E141" s="70" t="str">
        <f t="shared" si="49"/>
        <v/>
      </c>
      <c r="F141" s="1"/>
      <c r="G141" s="1"/>
      <c r="H141" s="1"/>
      <c r="I141" s="1"/>
      <c r="J141" s="1"/>
      <c r="K141" s="1"/>
      <c r="L141" s="53" t="str">
        <f t="shared" si="3"/>
        <v/>
      </c>
      <c r="M141" s="54" t="str">
        <f t="shared" si="4"/>
        <v/>
      </c>
      <c r="N141" s="67" t="str">
        <f t="shared" si="7"/>
        <v/>
      </c>
      <c r="O141" s="56">
        <f t="shared" si="8"/>
        <v>0</v>
      </c>
      <c r="P141" s="56" t="str">
        <f t="shared" si="9"/>
        <v>#REF!</v>
      </c>
      <c r="Q141" s="65" t="str">
        <f t="shared" si="5"/>
        <v>#REF!</v>
      </c>
      <c r="R141" s="1"/>
      <c r="S141" s="58">
        <v>134.0</v>
      </c>
      <c r="T141" s="59">
        <v>37622.0</v>
      </c>
      <c r="U141" s="59">
        <v>37634.0</v>
      </c>
      <c r="V141" s="60">
        <v>157.03</v>
      </c>
      <c r="W141" s="64">
        <v>1.71</v>
      </c>
      <c r="X141" s="64">
        <v>0.0</v>
      </c>
      <c r="Y141" s="60">
        <v>0.0</v>
      </c>
    </row>
    <row r="142">
      <c r="A142" s="1"/>
      <c r="B142" s="41"/>
      <c r="C142" s="19"/>
      <c r="D142" s="77"/>
      <c r="E142" s="70" t="str">
        <f t="shared" si="49"/>
        <v/>
      </c>
      <c r="F142" s="1"/>
      <c r="G142" s="1"/>
      <c r="H142" s="1"/>
      <c r="I142" s="1"/>
      <c r="J142" s="1"/>
      <c r="K142" s="1"/>
      <c r="L142" s="53" t="str">
        <f t="shared" si="3"/>
        <v/>
      </c>
      <c r="M142" s="54" t="str">
        <f t="shared" si="4"/>
        <v/>
      </c>
      <c r="N142" s="67" t="str">
        <f t="shared" si="7"/>
        <v/>
      </c>
      <c r="O142" s="56">
        <f t="shared" si="8"/>
        <v>0</v>
      </c>
      <c r="P142" s="56" t="str">
        <f t="shared" si="9"/>
        <v>#REF!</v>
      </c>
      <c r="Q142" s="65" t="str">
        <f t="shared" si="5"/>
        <v>#REF!</v>
      </c>
      <c r="R142" s="1"/>
      <c r="S142" s="58">
        <v>135.0</v>
      </c>
      <c r="T142" s="66">
        <v>37602.0</v>
      </c>
      <c r="U142" s="59">
        <v>37622.0</v>
      </c>
      <c r="V142" s="60">
        <v>153.53</v>
      </c>
      <c r="W142" s="64">
        <v>2.86</v>
      </c>
      <c r="X142" s="64">
        <v>0.0</v>
      </c>
      <c r="Y142" s="60">
        <v>0.0</v>
      </c>
    </row>
    <row r="143">
      <c r="A143" s="1"/>
      <c r="B143" s="41"/>
      <c r="C143" s="19"/>
      <c r="D143" s="77"/>
      <c r="E143" s="70" t="str">
        <f t="shared" si="49"/>
        <v/>
      </c>
      <c r="F143" s="1"/>
      <c r="G143" s="1"/>
      <c r="H143" s="1"/>
      <c r="I143" s="1"/>
      <c r="J143" s="1"/>
      <c r="K143" s="1"/>
      <c r="L143" s="53" t="str">
        <f t="shared" si="3"/>
        <v/>
      </c>
      <c r="M143" s="54" t="str">
        <f t="shared" si="4"/>
        <v/>
      </c>
      <c r="N143" s="67" t="str">
        <f t="shared" si="7"/>
        <v/>
      </c>
      <c r="O143" s="56">
        <f t="shared" si="8"/>
        <v>0</v>
      </c>
      <c r="P143" s="56" t="str">
        <f t="shared" si="9"/>
        <v>#REF!</v>
      </c>
      <c r="Q143" s="65" t="str">
        <f t="shared" si="5"/>
        <v>#REF!</v>
      </c>
      <c r="R143" s="1"/>
      <c r="S143" s="58">
        <v>136.0</v>
      </c>
      <c r="T143" s="59">
        <v>37565.0</v>
      </c>
      <c r="U143" s="66">
        <v>37586.0</v>
      </c>
      <c r="V143" s="60">
        <v>92.8</v>
      </c>
      <c r="W143" s="64">
        <v>3.0</v>
      </c>
      <c r="X143" s="64">
        <v>0.0</v>
      </c>
      <c r="Y143" s="60">
        <v>0.0</v>
      </c>
    </row>
    <row r="144">
      <c r="A144" s="1"/>
      <c r="B144" s="41"/>
      <c r="C144" s="19"/>
      <c r="D144" s="77"/>
      <c r="E144" s="70" t="str">
        <f t="shared" si="49"/>
        <v/>
      </c>
      <c r="F144" s="1"/>
      <c r="G144" s="1"/>
      <c r="H144" s="1"/>
      <c r="I144" s="1"/>
      <c r="J144" s="1"/>
      <c r="K144" s="1"/>
      <c r="L144" s="53" t="str">
        <f t="shared" si="3"/>
        <v/>
      </c>
      <c r="M144" s="54" t="str">
        <f t="shared" si="4"/>
        <v/>
      </c>
      <c r="N144" s="67" t="str">
        <f t="shared" si="7"/>
        <v/>
      </c>
      <c r="O144" s="56">
        <f t="shared" si="8"/>
        <v>0</v>
      </c>
      <c r="P144" s="56" t="str">
        <f t="shared" si="9"/>
        <v>#REF!</v>
      </c>
      <c r="Q144" s="65" t="str">
        <f t="shared" si="5"/>
        <v>#REF!</v>
      </c>
      <c r="R144" s="1"/>
      <c r="S144" s="58">
        <v>137.0</v>
      </c>
      <c r="T144" s="59">
        <v>37525.0</v>
      </c>
      <c r="U144" s="66">
        <v>37556.0</v>
      </c>
      <c r="V144" s="60">
        <v>65.55</v>
      </c>
      <c r="W144" s="64">
        <v>4.43</v>
      </c>
      <c r="X144" s="64">
        <v>0.0</v>
      </c>
      <c r="Y144" s="60">
        <v>0.0</v>
      </c>
    </row>
    <row r="145">
      <c r="A145" s="1"/>
      <c r="B145" s="41"/>
      <c r="C145" s="19"/>
      <c r="D145" s="77"/>
      <c r="E145" s="70" t="str">
        <f t="shared" si="49"/>
        <v/>
      </c>
      <c r="F145" s="1"/>
      <c r="G145" s="1"/>
      <c r="H145" s="1"/>
      <c r="I145" s="1"/>
      <c r="J145" s="1"/>
      <c r="K145" s="1"/>
      <c r="L145" s="53" t="str">
        <f t="shared" si="3"/>
        <v/>
      </c>
      <c r="M145" s="54" t="str">
        <f t="shared" si="4"/>
        <v/>
      </c>
      <c r="N145" s="67" t="str">
        <f t="shared" si="7"/>
        <v/>
      </c>
      <c r="O145" s="56">
        <f t="shared" si="8"/>
        <v>0</v>
      </c>
      <c r="P145" s="56" t="str">
        <f t="shared" si="9"/>
        <v>#REF!</v>
      </c>
      <c r="Q145" s="65" t="str">
        <f t="shared" si="5"/>
        <v>#REF!</v>
      </c>
      <c r="R145" s="1"/>
      <c r="S145" s="58">
        <v>138.0</v>
      </c>
      <c r="T145" s="59">
        <v>37433.0</v>
      </c>
      <c r="U145" s="59">
        <v>37480.0</v>
      </c>
      <c r="V145" s="60">
        <v>219.06</v>
      </c>
      <c r="W145" s="64">
        <v>6.71</v>
      </c>
      <c r="X145" s="64">
        <v>0.0</v>
      </c>
      <c r="Y145" s="60">
        <v>0.0</v>
      </c>
    </row>
    <row r="146">
      <c r="A146" s="1"/>
      <c r="B146" s="41"/>
      <c r="C146" s="19"/>
      <c r="D146" s="77"/>
      <c r="E146" s="70" t="str">
        <f t="shared" si="49"/>
        <v/>
      </c>
      <c r="F146" s="1"/>
      <c r="G146" s="1"/>
      <c r="H146" s="1"/>
      <c r="I146" s="1"/>
      <c r="J146" s="1"/>
      <c r="K146" s="1"/>
      <c r="L146" s="53" t="str">
        <f t="shared" si="3"/>
        <v/>
      </c>
      <c r="M146" s="54" t="str">
        <f t="shared" si="4"/>
        <v/>
      </c>
      <c r="N146" s="67" t="str">
        <f t="shared" si="7"/>
        <v/>
      </c>
      <c r="O146" s="56">
        <f t="shared" si="8"/>
        <v>0</v>
      </c>
      <c r="P146" s="56" t="str">
        <f t="shared" si="9"/>
        <v>#REF!</v>
      </c>
      <c r="Q146" s="65" t="str">
        <f t="shared" si="5"/>
        <v>#REF!</v>
      </c>
      <c r="R146" s="1"/>
      <c r="S146" s="58">
        <v>139.0</v>
      </c>
      <c r="T146" s="59">
        <v>37347.0</v>
      </c>
      <c r="U146" s="59">
        <v>37367.0</v>
      </c>
      <c r="V146" s="60">
        <v>252.82</v>
      </c>
      <c r="W146" s="64">
        <v>2.86</v>
      </c>
      <c r="X146" s="64">
        <v>0.0</v>
      </c>
      <c r="Y146" s="60">
        <v>0.0</v>
      </c>
    </row>
    <row r="147">
      <c r="A147" s="1"/>
      <c r="B147" s="41"/>
      <c r="C147" s="19"/>
      <c r="D147" s="77"/>
      <c r="E147" s="70" t="str">
        <f t="shared" si="49"/>
        <v/>
      </c>
      <c r="F147" s="1"/>
      <c r="G147" s="1"/>
      <c r="H147" s="1"/>
      <c r="I147" s="1"/>
      <c r="J147" s="1"/>
      <c r="K147" s="1"/>
      <c r="L147" s="53" t="str">
        <f t="shared" si="3"/>
        <v/>
      </c>
      <c r="M147" s="54" t="str">
        <f t="shared" si="4"/>
        <v/>
      </c>
      <c r="N147" s="67" t="str">
        <f t="shared" si="7"/>
        <v/>
      </c>
      <c r="O147" s="56">
        <f t="shared" si="8"/>
        <v>0</v>
      </c>
      <c r="P147" s="56" t="str">
        <f t="shared" si="9"/>
        <v>#REF!</v>
      </c>
      <c r="Q147" s="65" t="str">
        <f t="shared" si="5"/>
        <v>#REF!</v>
      </c>
      <c r="R147" s="1"/>
      <c r="S147" s="58">
        <v>140.0</v>
      </c>
      <c r="T147" s="59">
        <v>37287.0</v>
      </c>
      <c r="U147" s="59">
        <v>37347.0</v>
      </c>
      <c r="V147" s="60">
        <v>237.39</v>
      </c>
      <c r="W147" s="64">
        <v>8.57</v>
      </c>
      <c r="X147" s="64">
        <v>0.0</v>
      </c>
      <c r="Y147" s="60">
        <v>0.0</v>
      </c>
    </row>
    <row r="148">
      <c r="A148" s="1"/>
      <c r="B148" s="41"/>
      <c r="C148" s="19"/>
      <c r="D148" s="77"/>
      <c r="E148" s="70" t="str">
        <f t="shared" si="49"/>
        <v/>
      </c>
      <c r="F148" s="1"/>
      <c r="G148" s="1"/>
      <c r="H148" s="1"/>
      <c r="I148" s="1"/>
      <c r="J148" s="1"/>
      <c r="K148" s="1"/>
      <c r="L148" s="53" t="str">
        <f t="shared" si="3"/>
        <v/>
      </c>
      <c r="M148" s="54" t="str">
        <f t="shared" si="4"/>
        <v/>
      </c>
      <c r="N148" s="67" t="str">
        <f t="shared" si="7"/>
        <v/>
      </c>
      <c r="O148" s="56">
        <f t="shared" si="8"/>
        <v>0</v>
      </c>
      <c r="P148" s="56" t="str">
        <f t="shared" si="9"/>
        <v>#REF!</v>
      </c>
      <c r="Q148" s="65" t="str">
        <f t="shared" si="5"/>
        <v>#REF!</v>
      </c>
      <c r="R148" s="1"/>
      <c r="S148" s="58">
        <v>141.0</v>
      </c>
      <c r="T148" s="66">
        <v>37239.0</v>
      </c>
      <c r="U148" s="59">
        <v>37259.0</v>
      </c>
      <c r="V148" s="60">
        <v>182.18</v>
      </c>
      <c r="W148" s="64">
        <v>2.86</v>
      </c>
      <c r="X148" s="64">
        <v>0.0</v>
      </c>
      <c r="Y148" s="60">
        <v>0.0</v>
      </c>
    </row>
    <row r="149">
      <c r="A149" s="1"/>
      <c r="B149" s="41"/>
      <c r="C149" s="19"/>
      <c r="D149" s="77"/>
      <c r="E149" s="70" t="str">
        <f t="shared" si="49"/>
        <v/>
      </c>
      <c r="F149" s="1"/>
      <c r="G149" s="1"/>
      <c r="H149" s="1"/>
      <c r="I149" s="1"/>
      <c r="J149" s="1"/>
      <c r="K149" s="1"/>
      <c r="L149" s="53" t="str">
        <f t="shared" si="3"/>
        <v/>
      </c>
      <c r="M149" s="54" t="str">
        <f t="shared" si="4"/>
        <v/>
      </c>
      <c r="N149" s="67" t="str">
        <f t="shared" si="7"/>
        <v/>
      </c>
      <c r="O149" s="56">
        <f t="shared" si="8"/>
        <v>0</v>
      </c>
      <c r="P149" s="56" t="str">
        <f t="shared" si="9"/>
        <v>#REF!</v>
      </c>
      <c r="Q149" s="65" t="str">
        <f t="shared" si="5"/>
        <v>#REF!</v>
      </c>
      <c r="R149" s="1"/>
      <c r="S149" s="58">
        <v>142.0</v>
      </c>
      <c r="T149" s="66">
        <v>37212.0</v>
      </c>
      <c r="U149" s="66">
        <v>37237.0</v>
      </c>
      <c r="V149" s="60">
        <v>65.55</v>
      </c>
      <c r="W149" s="64">
        <v>3.57</v>
      </c>
      <c r="X149" s="64">
        <v>0.0</v>
      </c>
      <c r="Y149" s="60">
        <v>0.0</v>
      </c>
    </row>
    <row r="150">
      <c r="A150" s="1"/>
      <c r="B150" s="41"/>
      <c r="C150" s="19"/>
      <c r="D150" s="77"/>
      <c r="E150" s="70" t="str">
        <f t="shared" si="49"/>
        <v/>
      </c>
      <c r="F150" s="1"/>
      <c r="G150" s="1"/>
      <c r="H150" s="1"/>
      <c r="I150" s="1"/>
      <c r="J150" s="1"/>
      <c r="K150" s="1"/>
      <c r="L150" s="53" t="str">
        <f t="shared" si="3"/>
        <v/>
      </c>
      <c r="M150" s="54" t="str">
        <f t="shared" si="4"/>
        <v/>
      </c>
      <c r="N150" s="67" t="str">
        <f t="shared" si="7"/>
        <v/>
      </c>
      <c r="O150" s="56">
        <f t="shared" si="8"/>
        <v>0</v>
      </c>
      <c r="P150" s="56" t="str">
        <f t="shared" si="9"/>
        <v>#REF!</v>
      </c>
      <c r="Q150" s="65" t="str">
        <f t="shared" si="5"/>
        <v>#REF!</v>
      </c>
      <c r="R150" s="1"/>
      <c r="S150" s="58">
        <v>143.0</v>
      </c>
      <c r="T150" s="66">
        <v>37207.0</v>
      </c>
      <c r="U150" s="66">
        <v>37211.0</v>
      </c>
      <c r="V150" s="60">
        <v>218.04</v>
      </c>
      <c r="W150" s="64">
        <v>0.57</v>
      </c>
      <c r="X150" s="64">
        <v>0.0</v>
      </c>
      <c r="Y150" s="60">
        <v>0.0</v>
      </c>
    </row>
    <row r="151">
      <c r="A151" s="1"/>
      <c r="B151" s="41"/>
      <c r="C151" s="76"/>
      <c r="D151" s="77"/>
      <c r="E151" s="70" t="str">
        <f t="shared" si="49"/>
        <v/>
      </c>
      <c r="F151" s="1"/>
      <c r="G151" s="1"/>
      <c r="H151" s="1"/>
      <c r="I151" s="1"/>
      <c r="J151" s="1"/>
      <c r="K151" s="1"/>
      <c r="L151" s="53" t="str">
        <f t="shared" si="3"/>
        <v/>
      </c>
      <c r="M151" s="54" t="str">
        <f t="shared" si="4"/>
        <v/>
      </c>
      <c r="N151" s="67" t="str">
        <f t="shared" si="7"/>
        <v/>
      </c>
      <c r="O151" s="56">
        <f t="shared" si="8"/>
        <v>0</v>
      </c>
      <c r="P151" s="56" t="str">
        <f t="shared" si="9"/>
        <v>#REF!</v>
      </c>
      <c r="Q151" s="65" t="str">
        <f t="shared" si="5"/>
        <v>#REF!</v>
      </c>
      <c r="R151" s="1"/>
      <c r="S151" s="58">
        <v>144.0</v>
      </c>
      <c r="T151" s="66">
        <v>37175.0</v>
      </c>
      <c r="U151" s="66">
        <v>37206.0</v>
      </c>
      <c r="V151" s="60">
        <v>65.55</v>
      </c>
      <c r="W151" s="64">
        <v>4.43</v>
      </c>
      <c r="X151" s="64">
        <v>0.0</v>
      </c>
      <c r="Y151" s="60">
        <v>0.0</v>
      </c>
    </row>
    <row r="152">
      <c r="A152" s="1"/>
      <c r="B152" s="41"/>
      <c r="C152" s="19"/>
      <c r="D152" s="77"/>
      <c r="E152" s="70" t="str">
        <f t="shared" si="49"/>
        <v/>
      </c>
      <c r="F152" s="1"/>
      <c r="G152" s="1"/>
      <c r="H152" s="1"/>
      <c r="I152" s="1"/>
      <c r="J152" s="1"/>
      <c r="K152" s="1"/>
      <c r="L152" s="53" t="str">
        <f t="shared" si="3"/>
        <v/>
      </c>
      <c r="M152" s="54" t="str">
        <f t="shared" si="4"/>
        <v/>
      </c>
      <c r="N152" s="67" t="str">
        <f t="shared" si="7"/>
        <v/>
      </c>
      <c r="O152" s="56">
        <f t="shared" si="8"/>
        <v>0</v>
      </c>
      <c r="P152" s="56" t="str">
        <f t="shared" si="9"/>
        <v>#REF!</v>
      </c>
      <c r="Q152" s="65" t="str">
        <f t="shared" si="5"/>
        <v>#REF!</v>
      </c>
      <c r="R152" s="1"/>
      <c r="S152" s="58">
        <v>145.0</v>
      </c>
      <c r="T152" s="59">
        <v>37043.0</v>
      </c>
      <c r="U152" s="59">
        <v>37049.0</v>
      </c>
      <c r="V152" s="60">
        <v>184.71</v>
      </c>
      <c r="W152" s="64">
        <v>0.86</v>
      </c>
      <c r="X152" s="64">
        <v>0.0</v>
      </c>
      <c r="Y152" s="60">
        <v>0.0</v>
      </c>
    </row>
    <row r="153">
      <c r="A153" s="1"/>
      <c r="B153" s="41"/>
      <c r="C153" s="76"/>
      <c r="D153" s="77"/>
      <c r="E153" s="70" t="str">
        <f t="shared" si="49"/>
        <v/>
      </c>
      <c r="F153" s="1"/>
      <c r="G153" s="1"/>
      <c r="H153" s="1"/>
      <c r="I153" s="1"/>
      <c r="J153" s="1"/>
      <c r="K153" s="1"/>
      <c r="L153" s="53" t="str">
        <f t="shared" si="3"/>
        <v/>
      </c>
      <c r="M153" s="54" t="str">
        <f t="shared" si="4"/>
        <v/>
      </c>
      <c r="N153" s="67" t="str">
        <f t="shared" si="7"/>
        <v/>
      </c>
      <c r="O153" s="56">
        <f t="shared" si="8"/>
        <v>0</v>
      </c>
      <c r="P153" s="56" t="str">
        <f t="shared" si="9"/>
        <v>#REF!</v>
      </c>
      <c r="Q153" s="65" t="str">
        <f t="shared" si="5"/>
        <v>#REF!</v>
      </c>
      <c r="R153" s="1"/>
      <c r="S153" s="58">
        <v>146.0</v>
      </c>
      <c r="T153" s="59">
        <v>37012.0</v>
      </c>
      <c r="U153" s="59">
        <v>37043.0</v>
      </c>
      <c r="V153" s="60">
        <v>181.91</v>
      </c>
      <c r="W153" s="64">
        <v>4.43</v>
      </c>
      <c r="X153" s="64">
        <v>0.0</v>
      </c>
      <c r="Y153" s="60">
        <v>0.0</v>
      </c>
    </row>
    <row r="154">
      <c r="A154" s="1"/>
      <c r="B154" s="41"/>
      <c r="C154" s="19"/>
      <c r="D154" s="77"/>
      <c r="E154" s="70" t="str">
        <f t="shared" si="49"/>
        <v/>
      </c>
      <c r="F154" s="1"/>
      <c r="G154" s="1"/>
      <c r="H154" s="1"/>
      <c r="I154" s="1"/>
      <c r="J154" s="1"/>
      <c r="K154" s="1"/>
      <c r="L154" s="53" t="str">
        <f t="shared" si="3"/>
        <v/>
      </c>
      <c r="M154" s="54" t="str">
        <f t="shared" si="4"/>
        <v/>
      </c>
      <c r="N154" s="67" t="str">
        <f t="shared" si="7"/>
        <v/>
      </c>
      <c r="O154" s="56">
        <f t="shared" si="8"/>
        <v>0</v>
      </c>
      <c r="P154" s="56" t="str">
        <f t="shared" si="9"/>
        <v>#REF!</v>
      </c>
      <c r="Q154" s="65" t="str">
        <f t="shared" si="5"/>
        <v>#REF!</v>
      </c>
      <c r="R154" s="1"/>
      <c r="S154" s="58">
        <v>147.0</v>
      </c>
      <c r="T154" s="59">
        <v>36982.0</v>
      </c>
      <c r="U154" s="59">
        <v>37012.0</v>
      </c>
      <c r="V154" s="60">
        <v>210.51</v>
      </c>
      <c r="W154" s="64">
        <v>4.29</v>
      </c>
      <c r="X154" s="64">
        <v>0.0</v>
      </c>
      <c r="Y154" s="60">
        <v>0.0</v>
      </c>
    </row>
    <row r="155">
      <c r="A155" s="50"/>
      <c r="B155" s="18"/>
      <c r="C155" s="19"/>
      <c r="D155" s="77"/>
      <c r="E155" s="70" t="str">
        <f t="shared" si="49"/>
        <v/>
      </c>
      <c r="F155" s="1"/>
      <c r="G155" s="1"/>
      <c r="H155" s="1"/>
      <c r="I155" s="1"/>
      <c r="J155" s="1"/>
      <c r="K155" s="1"/>
      <c r="L155" s="53" t="str">
        <f t="shared" si="3"/>
        <v/>
      </c>
      <c r="M155" s="54" t="str">
        <f t="shared" si="4"/>
        <v/>
      </c>
      <c r="N155" s="67" t="str">
        <f t="shared" si="7"/>
        <v/>
      </c>
      <c r="O155" s="56">
        <f t="shared" si="8"/>
        <v>0</v>
      </c>
      <c r="P155" s="56" t="str">
        <f t="shared" si="9"/>
        <v>#REF!</v>
      </c>
      <c r="Q155" s="65" t="str">
        <f t="shared" si="5"/>
        <v>#REF!</v>
      </c>
      <c r="R155" s="1"/>
      <c r="S155" s="58">
        <v>148.0</v>
      </c>
      <c r="T155" s="59">
        <v>36969.0</v>
      </c>
      <c r="U155" s="59">
        <v>36982.0</v>
      </c>
      <c r="V155" s="60">
        <v>176.48</v>
      </c>
      <c r="W155" s="64">
        <v>1.86</v>
      </c>
      <c r="X155" s="64">
        <v>0.0</v>
      </c>
      <c r="Y155" s="60">
        <v>0.0</v>
      </c>
    </row>
    <row r="156">
      <c r="A156" s="50"/>
      <c r="B156" s="18"/>
      <c r="C156" s="19"/>
      <c r="D156" s="77"/>
      <c r="E156" s="70" t="str">
        <f t="shared" si="49"/>
        <v/>
      </c>
      <c r="F156" s="1"/>
      <c r="G156" s="1"/>
      <c r="H156" s="1"/>
      <c r="I156" s="1"/>
      <c r="J156" s="1"/>
      <c r="K156" s="1"/>
      <c r="L156" s="53" t="str">
        <f t="shared" si="3"/>
        <v/>
      </c>
      <c r="M156" s="54" t="str">
        <f t="shared" si="4"/>
        <v/>
      </c>
      <c r="N156" s="67" t="str">
        <f t="shared" si="7"/>
        <v/>
      </c>
      <c r="O156" s="56">
        <f t="shared" si="8"/>
        <v>0</v>
      </c>
      <c r="P156" s="56" t="str">
        <f t="shared" si="9"/>
        <v>#REF!</v>
      </c>
      <c r="Q156" s="65" t="str">
        <f t="shared" si="5"/>
        <v>#REF!</v>
      </c>
      <c r="R156" s="1"/>
      <c r="S156" s="58">
        <v>149.0</v>
      </c>
      <c r="T156" s="59">
        <v>36951.0</v>
      </c>
      <c r="U156" s="59">
        <v>36959.0</v>
      </c>
      <c r="V156" s="60">
        <v>219.42</v>
      </c>
      <c r="W156" s="64">
        <v>1.14</v>
      </c>
      <c r="X156" s="64">
        <v>0.0</v>
      </c>
      <c r="Y156" s="60">
        <v>0.0</v>
      </c>
    </row>
    <row r="157">
      <c r="A157" s="50"/>
      <c r="B157" s="18"/>
      <c r="C157" s="19"/>
      <c r="D157" s="77"/>
      <c r="E157" s="70" t="str">
        <f t="shared" si="49"/>
        <v/>
      </c>
      <c r="F157" s="1"/>
      <c r="G157" s="1"/>
      <c r="H157" s="1"/>
      <c r="I157" s="1"/>
      <c r="J157" s="1"/>
      <c r="K157" s="1"/>
      <c r="L157" s="53" t="str">
        <f t="shared" si="3"/>
        <v/>
      </c>
      <c r="M157" s="54" t="str">
        <f t="shared" si="4"/>
        <v/>
      </c>
      <c r="N157" s="67" t="str">
        <f t="shared" si="7"/>
        <v/>
      </c>
      <c r="O157" s="56">
        <f t="shared" si="8"/>
        <v>0</v>
      </c>
      <c r="P157" s="56" t="str">
        <f t="shared" si="9"/>
        <v>#REF!</v>
      </c>
      <c r="Q157" s="65" t="str">
        <f t="shared" si="5"/>
        <v>#REF!</v>
      </c>
      <c r="R157" s="1"/>
      <c r="S157" s="58">
        <v>150.0</v>
      </c>
      <c r="T157" s="59">
        <v>36941.0</v>
      </c>
      <c r="U157" s="59">
        <v>36951.0</v>
      </c>
      <c r="V157" s="60">
        <v>202.56</v>
      </c>
      <c r="W157" s="64">
        <v>1.43</v>
      </c>
      <c r="X157" s="64">
        <v>0.0</v>
      </c>
      <c r="Y157" s="60">
        <v>0.0</v>
      </c>
    </row>
    <row r="158">
      <c r="A158" s="50"/>
      <c r="B158" s="18"/>
      <c r="C158" s="19"/>
      <c r="D158" s="77"/>
      <c r="E158" s="70" t="str">
        <f t="shared" si="49"/>
        <v/>
      </c>
      <c r="F158" s="1"/>
      <c r="G158" s="1"/>
      <c r="H158" s="1"/>
      <c r="I158" s="1"/>
      <c r="J158" s="1"/>
      <c r="K158" s="1"/>
      <c r="L158" s="53" t="str">
        <f t="shared" si="3"/>
        <v/>
      </c>
      <c r="M158" s="54" t="str">
        <f t="shared" si="4"/>
        <v/>
      </c>
      <c r="N158" s="67" t="str">
        <f t="shared" si="7"/>
        <v/>
      </c>
      <c r="O158" s="56">
        <f t="shared" si="8"/>
        <v>0</v>
      </c>
      <c r="P158" s="56" t="str">
        <f t="shared" si="9"/>
        <v>#REF!</v>
      </c>
      <c r="Q158" s="65" t="str">
        <f t="shared" si="5"/>
        <v>#REF!</v>
      </c>
      <c r="R158" s="1"/>
      <c r="S158" s="58">
        <v>151.0</v>
      </c>
      <c r="T158" s="59">
        <v>36861.0</v>
      </c>
      <c r="U158" s="59">
        <v>36862.0</v>
      </c>
      <c r="V158" s="60">
        <v>250.5</v>
      </c>
      <c r="W158" s="64">
        <v>0.14</v>
      </c>
      <c r="X158" s="64">
        <v>0.0</v>
      </c>
      <c r="Y158" s="60">
        <v>0.0</v>
      </c>
    </row>
    <row r="159">
      <c r="A159" s="1"/>
      <c r="B159" s="41"/>
      <c r="C159" s="19"/>
      <c r="D159" s="77"/>
      <c r="E159" s="70" t="str">
        <f t="shared" si="49"/>
        <v/>
      </c>
      <c r="F159" s="1"/>
      <c r="G159" s="1"/>
      <c r="H159" s="1"/>
      <c r="I159" s="1"/>
      <c r="J159" s="1"/>
      <c r="K159" s="1"/>
      <c r="L159" s="53" t="str">
        <f t="shared" si="3"/>
        <v/>
      </c>
      <c r="M159" s="54" t="str">
        <f t="shared" si="4"/>
        <v/>
      </c>
      <c r="N159" s="67" t="str">
        <f t="shared" si="7"/>
        <v/>
      </c>
      <c r="O159" s="56">
        <f t="shared" si="8"/>
        <v>0</v>
      </c>
      <c r="P159" s="56" t="str">
        <f t="shared" si="9"/>
        <v>#REF!</v>
      </c>
      <c r="Q159" s="65" t="str">
        <f t="shared" si="5"/>
        <v>#REF!</v>
      </c>
      <c r="R159" s="1"/>
      <c r="S159" s="58">
        <v>152.0</v>
      </c>
      <c r="T159" s="59">
        <v>36800.0</v>
      </c>
      <c r="U159" s="59">
        <v>36861.0</v>
      </c>
      <c r="V159" s="60">
        <v>216.91</v>
      </c>
      <c r="W159" s="64">
        <v>8.71</v>
      </c>
      <c r="X159" s="64">
        <v>0.0</v>
      </c>
      <c r="Y159" s="60">
        <v>0.0</v>
      </c>
    </row>
    <row r="160">
      <c r="A160" s="1"/>
      <c r="B160" s="41"/>
      <c r="C160" s="19"/>
      <c r="D160" s="77"/>
      <c r="E160" s="70" t="str">
        <f t="shared" si="49"/>
        <v/>
      </c>
      <c r="F160" s="1"/>
      <c r="G160" s="1"/>
      <c r="H160" s="1"/>
      <c r="I160" s="1"/>
      <c r="J160" s="1"/>
      <c r="K160" s="1"/>
      <c r="L160" s="53" t="str">
        <f t="shared" si="3"/>
        <v/>
      </c>
      <c r="M160" s="54" t="str">
        <f t="shared" si="4"/>
        <v/>
      </c>
      <c r="N160" s="67" t="str">
        <f t="shared" si="7"/>
        <v/>
      </c>
      <c r="O160" s="56">
        <f t="shared" si="8"/>
        <v>0</v>
      </c>
      <c r="P160" s="56" t="str">
        <f t="shared" si="9"/>
        <v>#REF!</v>
      </c>
      <c r="Q160" s="65" t="str">
        <f t="shared" si="5"/>
        <v>#REF!</v>
      </c>
      <c r="R160" s="1"/>
      <c r="S160" s="58">
        <v>153.0</v>
      </c>
      <c r="T160" s="59">
        <v>36795.0</v>
      </c>
      <c r="U160" s="59">
        <v>36800.0</v>
      </c>
      <c r="V160" s="60">
        <v>215.67</v>
      </c>
      <c r="W160" s="64">
        <v>0.71</v>
      </c>
      <c r="X160" s="64">
        <v>0.0</v>
      </c>
      <c r="Y160" s="60">
        <v>0.0</v>
      </c>
    </row>
    <row r="161">
      <c r="A161" s="1"/>
      <c r="B161" s="41"/>
      <c r="C161" s="19"/>
      <c r="D161" s="77"/>
      <c r="E161" s="70" t="str">
        <f t="shared" si="49"/>
        <v/>
      </c>
      <c r="F161" s="1"/>
      <c r="G161" s="1"/>
      <c r="H161" s="1"/>
      <c r="I161" s="1"/>
      <c r="J161" s="1"/>
      <c r="K161" s="1"/>
      <c r="L161" s="53" t="str">
        <f t="shared" si="3"/>
        <v/>
      </c>
      <c r="M161" s="54" t="str">
        <f t="shared" si="4"/>
        <v/>
      </c>
      <c r="N161" s="67" t="str">
        <f t="shared" si="7"/>
        <v/>
      </c>
      <c r="O161" s="56">
        <f t="shared" si="8"/>
        <v>0</v>
      </c>
      <c r="P161" s="56" t="str">
        <f t="shared" si="9"/>
        <v>#REF!</v>
      </c>
      <c r="Q161" s="65" t="str">
        <f t="shared" si="5"/>
        <v>#REF!</v>
      </c>
      <c r="R161" s="1"/>
      <c r="S161" s="58">
        <v>154.0</v>
      </c>
      <c r="T161" s="59">
        <v>36771.0</v>
      </c>
      <c r="U161" s="59">
        <v>36773.0</v>
      </c>
      <c r="V161" s="60">
        <v>233.38</v>
      </c>
      <c r="W161" s="64">
        <v>0.29</v>
      </c>
      <c r="X161" s="64">
        <v>0.0</v>
      </c>
      <c r="Y161" s="60">
        <v>0.0</v>
      </c>
    </row>
    <row r="162">
      <c r="A162" s="1"/>
      <c r="B162" s="78"/>
      <c r="C162" s="79"/>
      <c r="D162" s="80"/>
      <c r="E162" s="70" t="str">
        <f t="shared" si="49"/>
        <v/>
      </c>
      <c r="F162" s="1"/>
      <c r="G162" s="1"/>
      <c r="H162" s="1"/>
      <c r="I162" s="1"/>
      <c r="J162" s="1"/>
      <c r="K162" s="1"/>
      <c r="L162" s="53" t="str">
        <f t="shared" si="3"/>
        <v/>
      </c>
      <c r="M162" s="54" t="str">
        <f t="shared" si="4"/>
        <v/>
      </c>
      <c r="N162" s="67" t="str">
        <f t="shared" si="7"/>
        <v/>
      </c>
      <c r="O162" s="56">
        <f t="shared" si="8"/>
        <v>0</v>
      </c>
      <c r="P162" s="56" t="str">
        <f t="shared" si="9"/>
        <v>#REF!</v>
      </c>
      <c r="Q162" s="65" t="str">
        <f t="shared" si="5"/>
        <v>#REF!</v>
      </c>
      <c r="R162" s="1"/>
      <c r="S162" s="58">
        <v>155.0</v>
      </c>
      <c r="T162" s="59">
        <v>36755.0</v>
      </c>
      <c r="U162" s="59">
        <v>36770.0</v>
      </c>
      <c r="V162" s="60">
        <v>460.13</v>
      </c>
      <c r="W162" s="64">
        <v>2.14</v>
      </c>
      <c r="X162" s="64">
        <v>0.0</v>
      </c>
      <c r="Y162" s="60">
        <v>0.0</v>
      </c>
    </row>
    <row r="163">
      <c r="A163" s="1"/>
      <c r="B163" s="78"/>
      <c r="C163" s="79"/>
      <c r="D163" s="80"/>
      <c r="E163" s="70" t="str">
        <f t="shared" si="49"/>
        <v/>
      </c>
      <c r="F163" s="1"/>
      <c r="G163" s="1"/>
      <c r="H163" s="1"/>
      <c r="I163" s="1"/>
      <c r="J163" s="1"/>
      <c r="K163" s="1"/>
      <c r="L163" s="53" t="str">
        <f t="shared" si="3"/>
        <v/>
      </c>
      <c r="M163" s="54" t="str">
        <f t="shared" si="4"/>
        <v/>
      </c>
      <c r="N163" s="67" t="str">
        <f t="shared" si="7"/>
        <v/>
      </c>
      <c r="O163" s="56">
        <f t="shared" si="8"/>
        <v>0</v>
      </c>
      <c r="P163" s="56" t="str">
        <f t="shared" si="9"/>
        <v>#REF!</v>
      </c>
      <c r="Q163" s="65" t="str">
        <f t="shared" si="5"/>
        <v>#REF!</v>
      </c>
      <c r="R163" s="1"/>
      <c r="S163" s="58">
        <v>156.0</v>
      </c>
      <c r="T163" s="59">
        <v>36749.0</v>
      </c>
      <c r="U163" s="59">
        <v>36754.0</v>
      </c>
      <c r="V163" s="60">
        <v>233.38</v>
      </c>
      <c r="W163" s="64">
        <v>0.71</v>
      </c>
      <c r="X163" s="64">
        <v>0.0</v>
      </c>
      <c r="Y163" s="60">
        <v>0.0</v>
      </c>
    </row>
    <row r="164">
      <c r="A164" s="1"/>
      <c r="B164" s="78"/>
      <c r="C164" s="79"/>
      <c r="D164" s="80"/>
      <c r="E164" s="70" t="str">
        <f t="shared" si="49"/>
        <v/>
      </c>
      <c r="F164" s="1"/>
      <c r="G164" s="1"/>
      <c r="H164" s="1"/>
      <c r="I164" s="1"/>
      <c r="J164" s="1"/>
      <c r="K164" s="1"/>
      <c r="L164" s="53" t="str">
        <f t="shared" si="3"/>
        <v/>
      </c>
      <c r="M164" s="54" t="str">
        <f t="shared" si="4"/>
        <v/>
      </c>
      <c r="N164" s="67" t="str">
        <f t="shared" si="7"/>
        <v/>
      </c>
      <c r="O164" s="56">
        <f t="shared" si="8"/>
        <v>0</v>
      </c>
      <c r="P164" s="56" t="str">
        <f t="shared" si="9"/>
        <v>#REF!</v>
      </c>
      <c r="Q164" s="65" t="str">
        <f t="shared" si="5"/>
        <v>#REF!</v>
      </c>
      <c r="R164" s="1"/>
      <c r="S164" s="58">
        <v>157.0</v>
      </c>
      <c r="T164" s="59">
        <v>36647.0</v>
      </c>
      <c r="U164" s="59">
        <v>36667.0</v>
      </c>
      <c r="V164" s="60">
        <v>374.9</v>
      </c>
      <c r="W164" s="64">
        <v>2.86</v>
      </c>
      <c r="X164" s="64">
        <v>0.0</v>
      </c>
      <c r="Y164" s="60">
        <v>0.0</v>
      </c>
    </row>
    <row r="165">
      <c r="A165" s="1"/>
      <c r="B165" s="78"/>
      <c r="C165" s="79"/>
      <c r="D165" s="80"/>
      <c r="E165" s="70" t="str">
        <f t="shared" si="49"/>
        <v/>
      </c>
      <c r="F165" s="1"/>
      <c r="G165" s="1"/>
      <c r="H165" s="1"/>
      <c r="I165" s="1"/>
      <c r="J165" s="1"/>
      <c r="K165" s="1"/>
      <c r="L165" s="53" t="str">
        <f t="shared" si="3"/>
        <v/>
      </c>
      <c r="M165" s="54" t="str">
        <f t="shared" si="4"/>
        <v/>
      </c>
      <c r="N165" s="67" t="str">
        <f t="shared" si="7"/>
        <v/>
      </c>
      <c r="O165" s="56">
        <f t="shared" si="8"/>
        <v>0</v>
      </c>
      <c r="P165" s="56" t="str">
        <f t="shared" si="9"/>
        <v>#REF!</v>
      </c>
      <c r="Q165" s="65" t="str">
        <f t="shared" si="5"/>
        <v>#REF!</v>
      </c>
      <c r="R165" s="1"/>
      <c r="S165" s="58">
        <v>158.0</v>
      </c>
      <c r="T165" s="59">
        <v>36619.0</v>
      </c>
      <c r="U165" s="59">
        <v>36647.0</v>
      </c>
      <c r="V165" s="60">
        <v>354.09</v>
      </c>
      <c r="W165" s="64">
        <v>4.0</v>
      </c>
      <c r="X165" s="64">
        <v>0.0</v>
      </c>
      <c r="Y165" s="60">
        <v>0.0</v>
      </c>
    </row>
    <row r="166">
      <c r="A166" s="1"/>
      <c r="B166" s="78"/>
      <c r="C166" s="79"/>
      <c r="D166" s="80"/>
      <c r="E166" s="70" t="str">
        <f t="shared" si="49"/>
        <v/>
      </c>
      <c r="F166" s="1"/>
      <c r="G166" s="1"/>
      <c r="H166" s="1"/>
      <c r="I166" s="1"/>
      <c r="J166" s="1"/>
      <c r="K166" s="1"/>
      <c r="L166" s="53" t="str">
        <f t="shared" si="3"/>
        <v/>
      </c>
      <c r="M166" s="54" t="str">
        <f t="shared" si="4"/>
        <v/>
      </c>
      <c r="N166" s="67" t="str">
        <f t="shared" si="7"/>
        <v/>
      </c>
      <c r="O166" s="56">
        <f t="shared" si="8"/>
        <v>0</v>
      </c>
      <c r="P166" s="56" t="str">
        <f t="shared" si="9"/>
        <v>#REF!</v>
      </c>
      <c r="Q166" s="65" t="str">
        <f t="shared" si="5"/>
        <v>#REF!</v>
      </c>
      <c r="R166" s="1"/>
      <c r="S166" s="58">
        <v>159.0</v>
      </c>
      <c r="T166" s="59">
        <v>36586.0</v>
      </c>
      <c r="U166" s="59">
        <v>36619.0</v>
      </c>
      <c r="V166" s="60">
        <v>327.56</v>
      </c>
      <c r="W166" s="64">
        <v>4.71</v>
      </c>
      <c r="X166" s="64">
        <v>0.0</v>
      </c>
      <c r="Y166" s="60">
        <v>0.0</v>
      </c>
    </row>
    <row r="167">
      <c r="A167" s="1"/>
      <c r="B167" s="78"/>
      <c r="C167" s="79"/>
      <c r="D167" s="80"/>
      <c r="E167" s="70" t="str">
        <f t="shared" si="49"/>
        <v/>
      </c>
      <c r="F167" s="1"/>
      <c r="G167" s="1"/>
      <c r="H167" s="1"/>
      <c r="I167" s="1"/>
      <c r="J167" s="1"/>
      <c r="K167" s="1"/>
      <c r="L167" s="53" t="str">
        <f t="shared" si="3"/>
        <v/>
      </c>
      <c r="M167" s="54" t="str">
        <f t="shared" si="4"/>
        <v/>
      </c>
      <c r="N167" s="81" t="str">
        <f t="shared" si="7"/>
        <v/>
      </c>
      <c r="O167" s="56">
        <f t="shared" si="8"/>
        <v>0</v>
      </c>
      <c r="P167" s="56" t="str">
        <f t="shared" si="9"/>
        <v>#REF!</v>
      </c>
      <c r="Q167" s="65" t="str">
        <f t="shared" si="5"/>
        <v>#REF!</v>
      </c>
      <c r="R167" s="1"/>
      <c r="S167" s="58">
        <v>160.0</v>
      </c>
      <c r="T167" s="59">
        <v>36557.0</v>
      </c>
      <c r="U167" s="59">
        <v>36586.0</v>
      </c>
      <c r="V167" s="60">
        <v>335.22</v>
      </c>
      <c r="W167" s="64">
        <v>4.14</v>
      </c>
      <c r="X167" s="64">
        <v>0.0</v>
      </c>
      <c r="Y167" s="60">
        <v>0.0</v>
      </c>
    </row>
    <row r="168">
      <c r="A168" s="1"/>
      <c r="B168" s="41"/>
      <c r="C168" s="19"/>
      <c r="D168" s="77"/>
      <c r="E168" s="70" t="str">
        <f t="shared" si="49"/>
        <v/>
      </c>
      <c r="F168" s="1"/>
      <c r="G168" s="1"/>
      <c r="H168" s="1"/>
      <c r="I168" s="1"/>
      <c r="J168" s="1"/>
      <c r="K168" s="1"/>
      <c r="L168" s="53" t="str">
        <f t="shared" si="3"/>
        <v/>
      </c>
      <c r="M168" s="54" t="str">
        <f t="shared" si="4"/>
        <v/>
      </c>
      <c r="N168" s="81" t="str">
        <f t="shared" si="7"/>
        <v/>
      </c>
      <c r="O168" s="56">
        <f t="shared" si="8"/>
        <v>0</v>
      </c>
      <c r="P168" s="56" t="str">
        <f t="shared" si="9"/>
        <v>#REF!</v>
      </c>
      <c r="Q168" s="65" t="str">
        <f t="shared" si="5"/>
        <v>#REF!</v>
      </c>
      <c r="R168" s="1"/>
      <c r="S168" s="58">
        <v>161.0</v>
      </c>
      <c r="T168" s="59">
        <v>36526.0</v>
      </c>
      <c r="U168" s="59">
        <v>36557.0</v>
      </c>
      <c r="V168" s="60">
        <v>325.08</v>
      </c>
      <c r="W168" s="64">
        <v>4.43</v>
      </c>
      <c r="X168" s="64">
        <v>0.0</v>
      </c>
      <c r="Y168" s="60">
        <v>0.0</v>
      </c>
    </row>
    <row r="169">
      <c r="A169" s="1"/>
      <c r="B169" s="41"/>
      <c r="C169" s="19"/>
      <c r="D169" s="77"/>
      <c r="E169" s="70" t="str">
        <f t="shared" si="49"/>
        <v/>
      </c>
      <c r="F169" s="1"/>
      <c r="G169" s="1"/>
      <c r="H169" s="1"/>
      <c r="I169" s="1"/>
      <c r="J169" s="1"/>
      <c r="K169" s="1"/>
      <c r="L169" s="53" t="str">
        <f t="shared" si="3"/>
        <v/>
      </c>
      <c r="M169" s="54" t="str">
        <f t="shared" si="4"/>
        <v/>
      </c>
      <c r="N169" s="81" t="str">
        <f t="shared" si="7"/>
        <v/>
      </c>
      <c r="O169" s="56">
        <f t="shared" si="8"/>
        <v>0</v>
      </c>
      <c r="P169" s="56" t="str">
        <f t="shared" si="9"/>
        <v>#REF!</v>
      </c>
      <c r="Q169" s="65" t="str">
        <f t="shared" si="5"/>
        <v>#REF!</v>
      </c>
      <c r="R169" s="1"/>
      <c r="S169" s="58">
        <v>162.0</v>
      </c>
      <c r="T169" s="59">
        <v>36465.0</v>
      </c>
      <c r="U169" s="59">
        <v>36526.0</v>
      </c>
      <c r="V169" s="60">
        <v>327.98</v>
      </c>
      <c r="W169" s="64">
        <v>8.71</v>
      </c>
      <c r="X169" s="64">
        <v>0.0</v>
      </c>
      <c r="Y169" s="60">
        <v>0.0</v>
      </c>
    </row>
    <row r="170">
      <c r="A170" s="1"/>
      <c r="B170" s="41"/>
      <c r="C170" s="19"/>
      <c r="D170" s="77"/>
      <c r="E170" s="70" t="str">
        <f t="shared" si="49"/>
        <v/>
      </c>
      <c r="F170" s="1"/>
      <c r="G170" s="1"/>
      <c r="H170" s="1"/>
      <c r="I170" s="1"/>
      <c r="J170" s="1"/>
      <c r="K170" s="1"/>
      <c r="L170" s="53" t="str">
        <f t="shared" si="3"/>
        <v/>
      </c>
      <c r="M170" s="54" t="str">
        <f t="shared" si="4"/>
        <v/>
      </c>
      <c r="N170" s="81" t="str">
        <f t="shared" si="7"/>
        <v/>
      </c>
      <c r="O170" s="56">
        <f t="shared" si="8"/>
        <v>0</v>
      </c>
      <c r="P170" s="56" t="str">
        <f t="shared" si="9"/>
        <v>#REF!</v>
      </c>
      <c r="Q170" s="65" t="str">
        <f t="shared" si="5"/>
        <v>#REF!</v>
      </c>
      <c r="R170" s="1"/>
      <c r="S170" s="58">
        <v>163.0</v>
      </c>
      <c r="T170" s="59">
        <v>36434.0</v>
      </c>
      <c r="U170" s="59">
        <v>36465.0</v>
      </c>
      <c r="V170" s="60">
        <v>352.46</v>
      </c>
      <c r="W170" s="64">
        <v>4.43</v>
      </c>
      <c r="X170" s="64">
        <v>0.0</v>
      </c>
      <c r="Y170" s="60">
        <v>0.0</v>
      </c>
    </row>
    <row r="171">
      <c r="A171" s="1"/>
      <c r="B171" s="41"/>
      <c r="C171" s="19"/>
      <c r="D171" s="77"/>
      <c r="E171" s="70" t="str">
        <f t="shared" si="49"/>
        <v/>
      </c>
      <c r="F171" s="1"/>
      <c r="G171" s="1"/>
      <c r="H171" s="1"/>
      <c r="I171" s="1"/>
      <c r="J171" s="1"/>
      <c r="K171" s="1"/>
      <c r="L171" s="53" t="str">
        <f t="shared" si="3"/>
        <v/>
      </c>
      <c r="M171" s="54" t="str">
        <f t="shared" si="4"/>
        <v/>
      </c>
      <c r="N171" s="81" t="str">
        <f t="shared" si="7"/>
        <v/>
      </c>
      <c r="O171" s="56">
        <f t="shared" si="8"/>
        <v>0</v>
      </c>
      <c r="P171" s="56" t="str">
        <f t="shared" si="9"/>
        <v>#REF!</v>
      </c>
      <c r="Q171" s="65" t="str">
        <f t="shared" si="5"/>
        <v>#REF!</v>
      </c>
      <c r="R171" s="1"/>
      <c r="S171" s="58">
        <v>164.0</v>
      </c>
      <c r="T171" s="59">
        <v>36404.0</v>
      </c>
      <c r="U171" s="59">
        <v>36434.0</v>
      </c>
      <c r="V171" s="60">
        <v>339.2</v>
      </c>
      <c r="W171" s="64">
        <v>4.29</v>
      </c>
      <c r="X171" s="64">
        <v>0.0</v>
      </c>
      <c r="Y171" s="60">
        <v>0.0</v>
      </c>
    </row>
    <row r="172">
      <c r="A172" s="1"/>
      <c r="B172" s="41"/>
      <c r="C172" s="19"/>
      <c r="D172" s="77"/>
      <c r="E172" s="70" t="str">
        <f t="shared" si="49"/>
        <v/>
      </c>
      <c r="F172" s="1"/>
      <c r="G172" s="1"/>
      <c r="H172" s="1"/>
      <c r="I172" s="1"/>
      <c r="J172" s="1"/>
      <c r="K172" s="1"/>
      <c r="L172" s="53" t="str">
        <f t="shared" si="3"/>
        <v/>
      </c>
      <c r="M172" s="54" t="str">
        <f t="shared" si="4"/>
        <v/>
      </c>
      <c r="N172" s="81" t="str">
        <f t="shared" si="7"/>
        <v/>
      </c>
      <c r="O172" s="56">
        <f t="shared" si="8"/>
        <v>0</v>
      </c>
      <c r="P172" s="56" t="str">
        <f t="shared" si="9"/>
        <v>#REF!</v>
      </c>
      <c r="Q172" s="65" t="str">
        <f t="shared" si="5"/>
        <v>#REF!</v>
      </c>
      <c r="R172" s="1"/>
      <c r="S172" s="58">
        <v>165.0</v>
      </c>
      <c r="T172" s="59">
        <v>36374.0</v>
      </c>
      <c r="U172" s="59">
        <v>36404.0</v>
      </c>
      <c r="V172" s="60">
        <v>587.92</v>
      </c>
      <c r="W172" s="64">
        <v>4.29</v>
      </c>
      <c r="X172" s="64">
        <v>0.0</v>
      </c>
      <c r="Y172" s="60">
        <v>0.0</v>
      </c>
    </row>
    <row r="173">
      <c r="A173" s="1"/>
      <c r="B173" s="41"/>
      <c r="C173" s="19"/>
      <c r="D173" s="77"/>
      <c r="E173" s="70" t="str">
        <f t="shared" si="49"/>
        <v/>
      </c>
      <c r="F173" s="1"/>
      <c r="G173" s="1"/>
      <c r="H173" s="1"/>
      <c r="I173" s="1"/>
      <c r="J173" s="1"/>
      <c r="K173" s="1"/>
      <c r="L173" s="53" t="str">
        <f t="shared" si="3"/>
        <v/>
      </c>
      <c r="M173" s="54" t="str">
        <f t="shared" si="4"/>
        <v/>
      </c>
      <c r="N173" s="81" t="str">
        <f t="shared" si="7"/>
        <v/>
      </c>
      <c r="O173" s="56">
        <f t="shared" si="8"/>
        <v>0</v>
      </c>
      <c r="P173" s="56" t="str">
        <f t="shared" si="9"/>
        <v>#REF!</v>
      </c>
      <c r="Q173" s="65" t="str">
        <f t="shared" si="5"/>
        <v>#REF!</v>
      </c>
      <c r="R173" s="1"/>
      <c r="S173" s="58">
        <v>166.0</v>
      </c>
      <c r="T173" s="59">
        <v>36342.0</v>
      </c>
      <c r="U173" s="59">
        <v>36374.0</v>
      </c>
      <c r="V173" s="60">
        <v>538.42</v>
      </c>
      <c r="W173" s="64">
        <v>4.57</v>
      </c>
      <c r="X173" s="64">
        <v>0.0</v>
      </c>
      <c r="Y173" s="60">
        <v>0.0</v>
      </c>
    </row>
    <row r="174">
      <c r="A174" s="1"/>
      <c r="B174" s="41"/>
      <c r="C174" s="19"/>
      <c r="D174" s="77"/>
      <c r="E174" s="70" t="str">
        <f t="shared" si="49"/>
        <v/>
      </c>
      <c r="F174" s="1"/>
      <c r="G174" s="1"/>
      <c r="H174" s="1"/>
      <c r="I174" s="1"/>
      <c r="J174" s="1"/>
      <c r="K174" s="1"/>
      <c r="L174" s="53" t="str">
        <f t="shared" si="3"/>
        <v/>
      </c>
      <c r="M174" s="54" t="str">
        <f t="shared" si="4"/>
        <v/>
      </c>
      <c r="N174" s="81" t="str">
        <f t="shared" si="7"/>
        <v/>
      </c>
      <c r="O174" s="56">
        <f t="shared" si="8"/>
        <v>0</v>
      </c>
      <c r="P174" s="56" t="str">
        <f t="shared" si="9"/>
        <v>#REF!</v>
      </c>
      <c r="Q174" s="65" t="str">
        <f t="shared" si="5"/>
        <v>#REF!</v>
      </c>
      <c r="R174" s="1"/>
      <c r="S174" s="58">
        <v>167.0</v>
      </c>
      <c r="T174" s="59">
        <v>36312.0</v>
      </c>
      <c r="U174" s="59">
        <v>36342.0</v>
      </c>
      <c r="V174" s="60">
        <v>262.47</v>
      </c>
      <c r="W174" s="64">
        <v>4.29</v>
      </c>
      <c r="X174" s="64">
        <v>0.0</v>
      </c>
      <c r="Y174" s="60">
        <v>0.0</v>
      </c>
    </row>
    <row r="175">
      <c r="A175" s="1"/>
      <c r="B175" s="41"/>
      <c r="C175" s="19"/>
      <c r="D175" s="77"/>
      <c r="E175" s="70" t="str">
        <f t="shared" si="49"/>
        <v/>
      </c>
      <c r="F175" s="1"/>
      <c r="G175" s="1"/>
      <c r="H175" s="1"/>
      <c r="I175" s="1"/>
      <c r="J175" s="1"/>
      <c r="K175" s="1"/>
      <c r="L175" s="53" t="str">
        <f t="shared" si="3"/>
        <v/>
      </c>
      <c r="M175" s="54" t="str">
        <f t="shared" si="4"/>
        <v/>
      </c>
      <c r="N175" s="81" t="str">
        <f t="shared" si="7"/>
        <v/>
      </c>
      <c r="O175" s="56">
        <f t="shared" si="8"/>
        <v>0</v>
      </c>
      <c r="P175" s="56" t="str">
        <f t="shared" si="9"/>
        <v>#REF!</v>
      </c>
      <c r="Q175" s="65" t="str">
        <f t="shared" si="5"/>
        <v>#REF!</v>
      </c>
      <c r="R175" s="1"/>
      <c r="S175" s="58">
        <v>168.0</v>
      </c>
      <c r="T175" s="59">
        <v>36281.0</v>
      </c>
      <c r="U175" s="59">
        <v>36312.0</v>
      </c>
      <c r="V175" s="60">
        <v>265.48</v>
      </c>
      <c r="W175" s="64">
        <v>4.43</v>
      </c>
      <c r="X175" s="64">
        <v>0.0</v>
      </c>
      <c r="Y175" s="60">
        <v>0.0</v>
      </c>
    </row>
    <row r="176">
      <c r="A176" s="1"/>
      <c r="B176" s="41"/>
      <c r="C176" s="19"/>
      <c r="D176" s="77"/>
      <c r="E176" s="70" t="str">
        <f t="shared" si="49"/>
        <v/>
      </c>
      <c r="F176" s="1"/>
      <c r="G176" s="1"/>
      <c r="H176" s="1"/>
      <c r="I176" s="1"/>
      <c r="J176" s="1"/>
      <c r="K176" s="1"/>
      <c r="L176" s="53" t="str">
        <f t="shared" si="3"/>
        <v/>
      </c>
      <c r="M176" s="54" t="str">
        <f t="shared" si="4"/>
        <v/>
      </c>
      <c r="N176" s="81" t="str">
        <f t="shared" si="7"/>
        <v/>
      </c>
      <c r="O176" s="56">
        <f t="shared" si="8"/>
        <v>0</v>
      </c>
      <c r="P176" s="56" t="str">
        <f t="shared" si="9"/>
        <v>#REF!</v>
      </c>
      <c r="Q176" s="65" t="str">
        <f t="shared" si="5"/>
        <v>#REF!</v>
      </c>
      <c r="R176" s="1"/>
      <c r="S176" s="58">
        <v>169.0</v>
      </c>
      <c r="T176" s="59">
        <v>36251.0</v>
      </c>
      <c r="U176" s="59">
        <v>36281.0</v>
      </c>
      <c r="V176" s="60">
        <v>290.52</v>
      </c>
      <c r="W176" s="64">
        <v>4.29</v>
      </c>
      <c r="X176" s="64">
        <v>0.0</v>
      </c>
      <c r="Y176" s="60">
        <v>0.0</v>
      </c>
    </row>
    <row r="177">
      <c r="A177" s="1"/>
      <c r="B177" s="41"/>
      <c r="C177" s="19"/>
      <c r="D177" s="77"/>
      <c r="E177" s="70" t="str">
        <f t="shared" si="49"/>
        <v/>
      </c>
      <c r="F177" s="1"/>
      <c r="G177" s="1"/>
      <c r="H177" s="1"/>
      <c r="I177" s="1"/>
      <c r="J177" s="1"/>
      <c r="K177" s="1"/>
      <c r="L177" s="53" t="str">
        <f t="shared" si="3"/>
        <v/>
      </c>
      <c r="M177" s="54" t="str">
        <f t="shared" si="4"/>
        <v/>
      </c>
      <c r="N177" s="81" t="str">
        <f t="shared" si="7"/>
        <v/>
      </c>
      <c r="O177" s="56">
        <f t="shared" si="8"/>
        <v>0</v>
      </c>
      <c r="P177" s="56" t="str">
        <f t="shared" si="9"/>
        <v>#REF!</v>
      </c>
      <c r="Q177" s="65" t="str">
        <f t="shared" si="5"/>
        <v>#REF!</v>
      </c>
      <c r="R177" s="1"/>
      <c r="S177" s="58">
        <v>170.0</v>
      </c>
      <c r="T177" s="59">
        <v>36220.0</v>
      </c>
      <c r="U177" s="59">
        <v>36251.0</v>
      </c>
      <c r="V177" s="60">
        <v>322.26</v>
      </c>
      <c r="W177" s="64">
        <v>4.43</v>
      </c>
      <c r="X177" s="64">
        <v>0.0</v>
      </c>
      <c r="Y177" s="60">
        <v>0.0</v>
      </c>
    </row>
    <row r="178">
      <c r="A178" s="1"/>
      <c r="B178" s="41"/>
      <c r="C178" s="19"/>
      <c r="D178" s="77"/>
      <c r="E178" s="70" t="str">
        <f t="shared" si="49"/>
        <v/>
      </c>
      <c r="F178" s="1"/>
      <c r="G178" s="1"/>
      <c r="H178" s="1"/>
      <c r="I178" s="1"/>
      <c r="J178" s="1"/>
      <c r="K178" s="1"/>
      <c r="L178" s="53" t="str">
        <f t="shared" si="3"/>
        <v/>
      </c>
      <c r="M178" s="54" t="str">
        <f t="shared" si="4"/>
        <v/>
      </c>
      <c r="N178" s="81" t="str">
        <f t="shared" si="7"/>
        <v/>
      </c>
      <c r="O178" s="56">
        <f t="shared" si="8"/>
        <v>0</v>
      </c>
      <c r="P178" s="56" t="str">
        <f t="shared" si="9"/>
        <v>#REF!</v>
      </c>
      <c r="Q178" s="65" t="str">
        <f t="shared" si="5"/>
        <v>#REF!</v>
      </c>
      <c r="R178" s="1"/>
      <c r="S178" s="58">
        <v>171.0</v>
      </c>
      <c r="T178" s="59">
        <v>36206.0</v>
      </c>
      <c r="U178" s="59">
        <v>36220.0</v>
      </c>
      <c r="V178" s="60">
        <v>248.3</v>
      </c>
      <c r="W178" s="64">
        <v>2.0</v>
      </c>
      <c r="X178" s="64">
        <v>0.0</v>
      </c>
      <c r="Y178" s="60">
        <v>0.0</v>
      </c>
    </row>
    <row r="179">
      <c r="A179" s="1"/>
      <c r="B179" s="41"/>
      <c r="C179" s="19"/>
      <c r="D179" s="77"/>
      <c r="E179" s="70" t="str">
        <f t="shared" si="49"/>
        <v/>
      </c>
      <c r="F179" s="1"/>
      <c r="G179" s="1"/>
      <c r="H179" s="1"/>
      <c r="I179" s="1"/>
      <c r="J179" s="1"/>
      <c r="K179" s="1"/>
      <c r="L179" s="53" t="str">
        <f t="shared" si="3"/>
        <v/>
      </c>
      <c r="M179" s="54" t="str">
        <f t="shared" si="4"/>
        <v/>
      </c>
      <c r="N179" s="81" t="str">
        <f t="shared" si="7"/>
        <v/>
      </c>
      <c r="O179" s="56">
        <f t="shared" si="8"/>
        <v>0</v>
      </c>
      <c r="P179" s="56" t="str">
        <f t="shared" si="9"/>
        <v>#REF!</v>
      </c>
      <c r="Q179" s="65" t="str">
        <f t="shared" si="5"/>
        <v>#REF!</v>
      </c>
      <c r="R179" s="1"/>
      <c r="S179" s="58">
        <v>172.0</v>
      </c>
      <c r="T179" s="59">
        <v>36192.0</v>
      </c>
      <c r="U179" s="59">
        <v>36206.0</v>
      </c>
      <c r="V179" s="60">
        <v>201.29</v>
      </c>
      <c r="W179" s="64">
        <v>2.0</v>
      </c>
      <c r="X179" s="64">
        <v>0.0</v>
      </c>
      <c r="Y179" s="60">
        <v>0.0</v>
      </c>
    </row>
    <row r="180">
      <c r="A180" s="1"/>
      <c r="B180" s="78"/>
      <c r="C180" s="79"/>
      <c r="D180" s="80"/>
      <c r="E180" s="70" t="str">
        <f t="shared" si="49"/>
        <v/>
      </c>
      <c r="F180" s="1"/>
      <c r="G180" s="1"/>
      <c r="H180" s="1"/>
      <c r="I180" s="1"/>
      <c r="J180" s="1"/>
      <c r="K180" s="1"/>
      <c r="L180" s="53" t="str">
        <f t="shared" si="3"/>
        <v/>
      </c>
      <c r="M180" s="54" t="str">
        <f t="shared" si="4"/>
        <v/>
      </c>
      <c r="N180" s="81" t="str">
        <f t="shared" si="7"/>
        <v/>
      </c>
      <c r="O180" s="56">
        <f t="shared" si="8"/>
        <v>0</v>
      </c>
      <c r="P180" s="56" t="str">
        <f t="shared" si="9"/>
        <v>#REF!</v>
      </c>
      <c r="Q180" s="65" t="str">
        <f t="shared" si="5"/>
        <v>#REF!</v>
      </c>
      <c r="R180" s="1"/>
      <c r="S180" s="58">
        <v>173.0</v>
      </c>
      <c r="T180" s="59">
        <v>36161.0</v>
      </c>
      <c r="U180" s="59">
        <v>36192.0</v>
      </c>
      <c r="V180" s="60">
        <v>231.24</v>
      </c>
      <c r="W180" s="64">
        <v>4.43</v>
      </c>
      <c r="X180" s="64">
        <v>0.0</v>
      </c>
      <c r="Y180" s="60">
        <v>0.0</v>
      </c>
    </row>
    <row r="181">
      <c r="A181" s="1"/>
      <c r="B181" s="78"/>
      <c r="C181" s="79"/>
      <c r="D181" s="80"/>
      <c r="E181" s="70" t="str">
        <f t="shared" si="49"/>
        <v/>
      </c>
      <c r="F181" s="1"/>
      <c r="G181" s="1"/>
      <c r="H181" s="1"/>
      <c r="I181" s="1"/>
      <c r="J181" s="1"/>
      <c r="K181" s="1"/>
      <c r="L181" s="53" t="str">
        <f t="shared" si="3"/>
        <v/>
      </c>
      <c r="M181" s="54" t="str">
        <f t="shared" si="4"/>
        <v/>
      </c>
      <c r="N181" s="81" t="str">
        <f t="shared" si="7"/>
        <v/>
      </c>
      <c r="O181" s="56">
        <f t="shared" si="8"/>
        <v>0</v>
      </c>
      <c r="P181" s="56" t="str">
        <f t="shared" si="9"/>
        <v>#REF!</v>
      </c>
      <c r="Q181" s="65" t="str">
        <f t="shared" si="5"/>
        <v>#REF!</v>
      </c>
      <c r="R181" s="1"/>
      <c r="S181" s="58">
        <v>174.0</v>
      </c>
      <c r="T181" s="59">
        <v>36130.0</v>
      </c>
      <c r="U181" s="59">
        <v>36161.0</v>
      </c>
      <c r="V181" s="60">
        <v>236.39</v>
      </c>
      <c r="W181" s="64">
        <v>4.43</v>
      </c>
      <c r="X181" s="64">
        <v>0.0</v>
      </c>
      <c r="Y181" s="60">
        <v>0.0</v>
      </c>
    </row>
    <row r="182">
      <c r="A182" s="1"/>
      <c r="B182" s="78"/>
      <c r="C182" s="79"/>
      <c r="D182" s="80"/>
      <c r="E182" s="70" t="str">
        <f t="shared" si="49"/>
        <v/>
      </c>
      <c r="F182" s="1"/>
      <c r="G182" s="1"/>
      <c r="H182" s="1"/>
      <c r="I182" s="1"/>
      <c r="J182" s="1"/>
      <c r="K182" s="1"/>
      <c r="L182" s="53" t="str">
        <f t="shared" si="3"/>
        <v/>
      </c>
      <c r="M182" s="54" t="str">
        <f t="shared" si="4"/>
        <v/>
      </c>
      <c r="N182" s="81" t="str">
        <f t="shared" si="7"/>
        <v/>
      </c>
      <c r="O182" s="56">
        <f t="shared" si="8"/>
        <v>0</v>
      </c>
      <c r="P182" s="56" t="str">
        <f t="shared" si="9"/>
        <v>#REF!</v>
      </c>
      <c r="Q182" s="65" t="str">
        <f t="shared" si="5"/>
        <v>#REF!</v>
      </c>
      <c r="R182" s="1"/>
      <c r="S182" s="58">
        <v>175.0</v>
      </c>
      <c r="T182" s="66">
        <v>36117.0</v>
      </c>
      <c r="U182" s="59">
        <v>36130.0</v>
      </c>
      <c r="V182" s="60">
        <v>187.37</v>
      </c>
      <c r="W182" s="64">
        <v>1.86</v>
      </c>
      <c r="X182" s="64">
        <v>0.0</v>
      </c>
      <c r="Y182" s="60">
        <v>0.0</v>
      </c>
    </row>
    <row r="183">
      <c r="A183" s="1"/>
      <c r="B183" s="78"/>
      <c r="C183" s="79"/>
      <c r="D183" s="80"/>
      <c r="E183" s="70" t="str">
        <f t="shared" si="49"/>
        <v/>
      </c>
      <c r="F183" s="1"/>
      <c r="G183" s="1"/>
      <c r="H183" s="1"/>
      <c r="I183" s="1"/>
      <c r="J183" s="1"/>
      <c r="K183" s="1"/>
      <c r="L183" s="53" t="str">
        <f t="shared" si="3"/>
        <v/>
      </c>
      <c r="M183" s="54" t="str">
        <f t="shared" si="4"/>
        <v/>
      </c>
      <c r="N183" s="81" t="str">
        <f t="shared" si="7"/>
        <v/>
      </c>
      <c r="O183" s="56">
        <f t="shared" si="8"/>
        <v>0</v>
      </c>
      <c r="P183" s="56" t="str">
        <f t="shared" si="9"/>
        <v>#REF!</v>
      </c>
      <c r="Q183" s="65" t="str">
        <f t="shared" si="5"/>
        <v>#REF!</v>
      </c>
      <c r="R183" s="1"/>
      <c r="S183" s="58">
        <v>176.0</v>
      </c>
      <c r="T183" s="59">
        <v>36069.0</v>
      </c>
      <c r="U183" s="66">
        <v>36117.0</v>
      </c>
      <c r="V183" s="60">
        <v>226.33</v>
      </c>
      <c r="W183" s="64">
        <v>6.86</v>
      </c>
      <c r="X183" s="64">
        <v>0.0</v>
      </c>
      <c r="Y183" s="60">
        <v>0.0</v>
      </c>
    </row>
    <row r="184">
      <c r="A184" s="1"/>
      <c r="B184" s="78"/>
      <c r="C184" s="79"/>
      <c r="D184" s="80"/>
      <c r="E184" s="70" t="str">
        <f t="shared" si="49"/>
        <v/>
      </c>
      <c r="F184" s="1"/>
      <c r="G184" s="1"/>
      <c r="H184" s="1"/>
      <c r="I184" s="1"/>
      <c r="J184" s="1"/>
      <c r="K184" s="1"/>
      <c r="L184" s="53" t="str">
        <f t="shared" si="3"/>
        <v/>
      </c>
      <c r="M184" s="54" t="str">
        <f t="shared" si="4"/>
        <v/>
      </c>
      <c r="N184" s="81" t="str">
        <f t="shared" si="7"/>
        <v/>
      </c>
      <c r="O184" s="56">
        <f t="shared" si="8"/>
        <v>0</v>
      </c>
      <c r="P184" s="56" t="str">
        <f t="shared" si="9"/>
        <v>#REF!</v>
      </c>
      <c r="Q184" s="65" t="str">
        <f t="shared" si="5"/>
        <v>#REF!</v>
      </c>
      <c r="R184" s="1"/>
      <c r="S184" s="58">
        <v>177.0</v>
      </c>
      <c r="T184" s="59">
        <v>36049.0</v>
      </c>
      <c r="U184" s="59">
        <v>36069.0</v>
      </c>
      <c r="V184" s="60">
        <v>182.22</v>
      </c>
      <c r="W184" s="64">
        <v>2.86</v>
      </c>
      <c r="X184" s="64">
        <v>0.0</v>
      </c>
      <c r="Y184" s="60">
        <v>0.0</v>
      </c>
    </row>
    <row r="185">
      <c r="A185" s="1"/>
      <c r="B185" s="78"/>
      <c r="C185" s="79"/>
      <c r="D185" s="80"/>
      <c r="E185" s="70" t="str">
        <f t="shared" si="49"/>
        <v/>
      </c>
      <c r="F185" s="1"/>
      <c r="G185" s="1"/>
      <c r="H185" s="1"/>
      <c r="I185" s="1"/>
      <c r="J185" s="1"/>
      <c r="K185" s="1"/>
      <c r="L185" s="53" t="str">
        <f t="shared" si="3"/>
        <v/>
      </c>
      <c r="M185" s="54" t="str">
        <f t="shared" si="4"/>
        <v/>
      </c>
      <c r="N185" s="81" t="str">
        <f t="shared" si="7"/>
        <v/>
      </c>
      <c r="O185" s="56">
        <f t="shared" si="8"/>
        <v>0</v>
      </c>
      <c r="P185" s="56" t="str">
        <f t="shared" si="9"/>
        <v>#REF!</v>
      </c>
      <c r="Q185" s="65" t="str">
        <f t="shared" si="5"/>
        <v>#REF!</v>
      </c>
      <c r="R185" s="1"/>
      <c r="S185" s="58">
        <v>178.0</v>
      </c>
      <c r="T185" s="59">
        <v>36008.0</v>
      </c>
      <c r="U185" s="59">
        <v>36038.0</v>
      </c>
      <c r="V185" s="60">
        <v>212.62</v>
      </c>
      <c r="W185" s="64">
        <v>4.29</v>
      </c>
      <c r="X185" s="64">
        <v>0.0</v>
      </c>
      <c r="Y185" s="60">
        <v>0.0</v>
      </c>
    </row>
    <row r="186">
      <c r="A186" s="1"/>
      <c r="B186" s="41"/>
      <c r="C186" s="19"/>
      <c r="D186" s="77"/>
      <c r="E186" s="70" t="str">
        <f t="shared" si="49"/>
        <v/>
      </c>
      <c r="F186" s="1"/>
      <c r="G186" s="1"/>
      <c r="H186" s="1"/>
      <c r="I186" s="1"/>
      <c r="J186" s="1"/>
      <c r="K186" s="1"/>
      <c r="L186" s="53" t="str">
        <f t="shared" si="3"/>
        <v/>
      </c>
      <c r="M186" s="54" t="str">
        <f t="shared" si="4"/>
        <v/>
      </c>
      <c r="N186" s="81" t="str">
        <f t="shared" si="7"/>
        <v/>
      </c>
      <c r="O186" s="56">
        <f t="shared" si="8"/>
        <v>0</v>
      </c>
      <c r="P186" s="56" t="str">
        <f t="shared" si="9"/>
        <v>#REF!</v>
      </c>
      <c r="Q186" s="65" t="str">
        <f t="shared" si="5"/>
        <v>#REF!</v>
      </c>
      <c r="R186" s="1"/>
      <c r="S186" s="58">
        <v>179.0</v>
      </c>
      <c r="T186" s="59">
        <v>35977.0</v>
      </c>
      <c r="U186" s="59">
        <v>36008.0</v>
      </c>
      <c r="V186" s="60">
        <v>309.35</v>
      </c>
      <c r="W186" s="64">
        <v>4.43</v>
      </c>
      <c r="X186" s="64">
        <v>0.0</v>
      </c>
      <c r="Y186" s="60">
        <v>0.0</v>
      </c>
    </row>
    <row r="187">
      <c r="A187" s="1"/>
      <c r="B187" s="41"/>
      <c r="C187" s="19"/>
      <c r="D187" s="77"/>
      <c r="E187" s="70" t="str">
        <f t="shared" si="49"/>
        <v/>
      </c>
      <c r="F187" s="1"/>
      <c r="G187" s="1"/>
      <c r="H187" s="1"/>
      <c r="I187" s="1"/>
      <c r="J187" s="1"/>
      <c r="K187" s="1"/>
      <c r="L187" s="53" t="str">
        <f t="shared" si="3"/>
        <v/>
      </c>
      <c r="M187" s="54" t="str">
        <f t="shared" si="4"/>
        <v/>
      </c>
      <c r="N187" s="81" t="str">
        <f t="shared" si="7"/>
        <v/>
      </c>
      <c r="O187" s="56">
        <f t="shared" si="8"/>
        <v>0</v>
      </c>
      <c r="P187" s="56" t="str">
        <f t="shared" si="9"/>
        <v>#REF!</v>
      </c>
      <c r="Q187" s="65" t="str">
        <f t="shared" si="5"/>
        <v>#REF!</v>
      </c>
      <c r="R187" s="1"/>
      <c r="S187" s="58">
        <v>180.0</v>
      </c>
      <c r="T187" s="59">
        <v>35964.0</v>
      </c>
      <c r="U187" s="59">
        <v>35977.0</v>
      </c>
      <c r="V187" s="60">
        <v>212.15</v>
      </c>
      <c r="W187" s="64">
        <v>1.86</v>
      </c>
      <c r="X187" s="64">
        <v>0.0</v>
      </c>
      <c r="Y187" s="60">
        <v>0.0</v>
      </c>
    </row>
    <row r="188">
      <c r="A188" s="1"/>
      <c r="B188" s="41"/>
      <c r="C188" s="19"/>
      <c r="D188" s="77"/>
      <c r="E188" s="70" t="str">
        <f t="shared" si="49"/>
        <v/>
      </c>
      <c r="F188" s="1"/>
      <c r="G188" s="1"/>
      <c r="H188" s="1"/>
      <c r="I188" s="1"/>
      <c r="J188" s="1"/>
      <c r="K188" s="1"/>
      <c r="L188" s="53" t="str">
        <f t="shared" si="3"/>
        <v/>
      </c>
      <c r="M188" s="54" t="str">
        <f t="shared" si="4"/>
        <v/>
      </c>
      <c r="N188" s="81" t="str">
        <f t="shared" si="7"/>
        <v/>
      </c>
      <c r="O188" s="56">
        <f t="shared" si="8"/>
        <v>0</v>
      </c>
      <c r="P188" s="56" t="str">
        <f t="shared" si="9"/>
        <v>#REF!</v>
      </c>
      <c r="Q188" s="65" t="str">
        <f t="shared" si="5"/>
        <v>#REF!</v>
      </c>
      <c r="R188" s="1"/>
      <c r="S188" s="58">
        <v>181.0</v>
      </c>
      <c r="T188" s="59">
        <v>35947.0</v>
      </c>
      <c r="U188" s="59">
        <v>35964.0</v>
      </c>
      <c r="V188" s="60">
        <v>177.78</v>
      </c>
      <c r="W188" s="64">
        <v>2.43</v>
      </c>
      <c r="X188" s="64">
        <v>0.0</v>
      </c>
      <c r="Y188" s="60">
        <v>0.0</v>
      </c>
    </row>
    <row r="189">
      <c r="A189" s="1"/>
      <c r="B189" s="41"/>
      <c r="C189" s="19"/>
      <c r="D189" s="77"/>
      <c r="E189" s="70" t="str">
        <f t="shared" si="49"/>
        <v/>
      </c>
      <c r="F189" s="1"/>
      <c r="G189" s="1"/>
      <c r="H189" s="1"/>
      <c r="I189" s="1"/>
      <c r="J189" s="1"/>
      <c r="K189" s="1"/>
      <c r="L189" s="53" t="str">
        <f t="shared" si="3"/>
        <v/>
      </c>
      <c r="M189" s="54" t="str">
        <f t="shared" si="4"/>
        <v/>
      </c>
      <c r="N189" s="81" t="str">
        <f t="shared" si="7"/>
        <v/>
      </c>
      <c r="O189" s="56">
        <f t="shared" si="8"/>
        <v>0</v>
      </c>
      <c r="P189" s="56" t="str">
        <f t="shared" si="9"/>
        <v>#REF!</v>
      </c>
      <c r="Q189" s="65" t="str">
        <f t="shared" si="5"/>
        <v>#REF!</v>
      </c>
      <c r="R189" s="1"/>
      <c r="S189" s="58">
        <v>182.0</v>
      </c>
      <c r="T189" s="59">
        <v>35916.0</v>
      </c>
      <c r="U189" s="59">
        <v>35947.0</v>
      </c>
      <c r="V189" s="60">
        <v>157.18</v>
      </c>
      <c r="W189" s="64">
        <v>4.43</v>
      </c>
      <c r="X189" s="64">
        <v>0.0</v>
      </c>
      <c r="Y189" s="60">
        <v>0.0</v>
      </c>
    </row>
    <row r="190">
      <c r="A190" s="1"/>
      <c r="B190" s="41"/>
      <c r="C190" s="19"/>
      <c r="D190" s="77"/>
      <c r="E190" s="70" t="str">
        <f t="shared" si="49"/>
        <v/>
      </c>
      <c r="F190" s="1"/>
      <c r="G190" s="1"/>
      <c r="H190" s="1"/>
      <c r="I190" s="1"/>
      <c r="J190" s="1"/>
      <c r="K190" s="1"/>
      <c r="L190" s="53" t="str">
        <f t="shared" si="3"/>
        <v/>
      </c>
      <c r="M190" s="54" t="str">
        <f t="shared" si="4"/>
        <v/>
      </c>
      <c r="N190" s="81" t="str">
        <f t="shared" si="7"/>
        <v/>
      </c>
      <c r="O190" s="56">
        <f t="shared" si="8"/>
        <v>0</v>
      </c>
      <c r="P190" s="56" t="str">
        <f t="shared" si="9"/>
        <v>#REF!</v>
      </c>
      <c r="Q190" s="65" t="str">
        <f t="shared" si="5"/>
        <v>#REF!</v>
      </c>
      <c r="R190" s="1"/>
      <c r="S190" s="58">
        <v>183.0</v>
      </c>
      <c r="T190" s="59">
        <v>35886.0</v>
      </c>
      <c r="U190" s="59">
        <v>35916.0</v>
      </c>
      <c r="V190" s="60">
        <v>174.02</v>
      </c>
      <c r="W190" s="64">
        <v>4.29</v>
      </c>
      <c r="X190" s="64">
        <v>0.0</v>
      </c>
      <c r="Y190" s="60">
        <v>0.0</v>
      </c>
    </row>
    <row r="191">
      <c r="A191" s="1"/>
      <c r="B191" s="41"/>
      <c r="C191" s="19"/>
      <c r="D191" s="77"/>
      <c r="E191" s="70" t="str">
        <f t="shared" si="49"/>
        <v/>
      </c>
      <c r="F191" s="1"/>
      <c r="G191" s="1"/>
      <c r="H191" s="1"/>
      <c r="I191" s="1"/>
      <c r="J191" s="1"/>
      <c r="K191" s="1"/>
      <c r="L191" s="53" t="str">
        <f t="shared" si="3"/>
        <v/>
      </c>
      <c r="M191" s="54" t="str">
        <f t="shared" si="4"/>
        <v/>
      </c>
      <c r="N191" s="81" t="str">
        <f t="shared" si="7"/>
        <v/>
      </c>
      <c r="O191" s="56">
        <f t="shared" si="8"/>
        <v>0</v>
      </c>
      <c r="P191" s="56" t="str">
        <f t="shared" si="9"/>
        <v>#REF!</v>
      </c>
      <c r="Q191" s="65" t="str">
        <f t="shared" si="5"/>
        <v>#REF!</v>
      </c>
      <c r="R191" s="1"/>
      <c r="S191" s="58">
        <v>184.0</v>
      </c>
      <c r="T191" s="59">
        <v>35864.0</v>
      </c>
      <c r="U191" s="59">
        <v>35886.0</v>
      </c>
      <c r="V191" s="60">
        <v>137.52</v>
      </c>
      <c r="W191" s="64">
        <v>3.14</v>
      </c>
      <c r="X191" s="64">
        <v>0.0</v>
      </c>
      <c r="Y191" s="60">
        <v>0.0</v>
      </c>
    </row>
    <row r="192">
      <c r="A192" s="1"/>
      <c r="B192" s="41"/>
      <c r="C192" s="19"/>
      <c r="D192" s="77"/>
      <c r="E192" s="70" t="str">
        <f t="shared" si="49"/>
        <v/>
      </c>
      <c r="F192" s="1"/>
      <c r="G192" s="1"/>
      <c r="H192" s="1"/>
      <c r="I192" s="1"/>
      <c r="J192" s="1"/>
      <c r="K192" s="1"/>
      <c r="L192" s="53" t="str">
        <f t="shared" si="3"/>
        <v/>
      </c>
      <c r="M192" s="54" t="str">
        <f t="shared" si="4"/>
        <v/>
      </c>
      <c r="N192" s="81" t="str">
        <f t="shared" si="7"/>
        <v/>
      </c>
      <c r="O192" s="56">
        <f t="shared" si="8"/>
        <v>0</v>
      </c>
      <c r="P192" s="56" t="str">
        <f t="shared" si="9"/>
        <v>#REF!</v>
      </c>
      <c r="Q192" s="65" t="str">
        <f t="shared" si="5"/>
        <v>#REF!</v>
      </c>
      <c r="R192" s="1"/>
      <c r="S192" s="58">
        <v>185.0</v>
      </c>
      <c r="T192" s="59">
        <v>35845.0</v>
      </c>
      <c r="U192" s="59">
        <v>35863.0</v>
      </c>
      <c r="V192" s="60">
        <v>100.78</v>
      </c>
      <c r="W192" s="64">
        <v>2.57</v>
      </c>
      <c r="X192" s="64">
        <v>0.0</v>
      </c>
      <c r="Y192" s="60">
        <v>0.0</v>
      </c>
    </row>
    <row r="193">
      <c r="A193" s="1"/>
      <c r="B193" s="41"/>
      <c r="C193" s="76"/>
      <c r="D193" s="77"/>
      <c r="E193" s="70" t="str">
        <f t="shared" si="49"/>
        <v/>
      </c>
      <c r="F193" s="1"/>
      <c r="G193" s="1"/>
      <c r="H193" s="1"/>
      <c r="I193" s="1"/>
      <c r="J193" s="1"/>
      <c r="K193" s="1"/>
      <c r="L193" s="53" t="str">
        <f t="shared" si="3"/>
        <v/>
      </c>
      <c r="M193" s="54" t="str">
        <f t="shared" si="4"/>
        <v/>
      </c>
      <c r="N193" s="81" t="str">
        <f t="shared" si="7"/>
        <v/>
      </c>
      <c r="O193" s="56">
        <f t="shared" si="8"/>
        <v>0</v>
      </c>
      <c r="P193" s="56" t="str">
        <f t="shared" si="9"/>
        <v>#REF!</v>
      </c>
      <c r="Q193" s="65" t="str">
        <f t="shared" si="5"/>
        <v>#REF!</v>
      </c>
      <c r="R193" s="1"/>
      <c r="S193" s="58">
        <v>186.0</v>
      </c>
      <c r="T193" s="59">
        <v>35835.0</v>
      </c>
      <c r="U193" s="59">
        <v>35836.0</v>
      </c>
      <c r="V193" s="60">
        <v>88.49</v>
      </c>
      <c r="W193" s="64">
        <v>0.14</v>
      </c>
      <c r="X193" s="64">
        <v>0.0</v>
      </c>
      <c r="Y193" s="60">
        <v>0.0</v>
      </c>
    </row>
    <row r="194">
      <c r="A194" s="1"/>
      <c r="B194" s="41"/>
      <c r="C194" s="19"/>
      <c r="D194" s="77"/>
      <c r="E194" s="70" t="str">
        <f t="shared" si="49"/>
        <v/>
      </c>
      <c r="F194" s="1"/>
      <c r="G194" s="1"/>
      <c r="H194" s="1"/>
      <c r="I194" s="1"/>
      <c r="J194" s="1"/>
      <c r="K194" s="1"/>
      <c r="L194" s="53" t="str">
        <f t="shared" si="3"/>
        <v/>
      </c>
      <c r="M194" s="54" t="str">
        <f t="shared" si="4"/>
        <v/>
      </c>
      <c r="N194" s="81" t="str">
        <f t="shared" si="7"/>
        <v/>
      </c>
      <c r="O194" s="56">
        <f t="shared" si="8"/>
        <v>0</v>
      </c>
      <c r="P194" s="56" t="str">
        <f t="shared" si="9"/>
        <v>#REF!</v>
      </c>
      <c r="Q194" s="65" t="str">
        <f t="shared" si="5"/>
        <v>#REF!</v>
      </c>
      <c r="R194" s="1"/>
      <c r="S194" s="58">
        <v>187.0</v>
      </c>
      <c r="T194" s="59">
        <v>35821.0</v>
      </c>
      <c r="U194" s="59">
        <v>35832.0</v>
      </c>
      <c r="V194" s="60">
        <v>82.51</v>
      </c>
      <c r="W194" s="64">
        <v>1.57</v>
      </c>
      <c r="X194" s="64">
        <v>0.0</v>
      </c>
      <c r="Y194" s="60">
        <v>0.0</v>
      </c>
    </row>
    <row r="195">
      <c r="A195" s="1"/>
      <c r="B195" s="41"/>
      <c r="C195" s="19"/>
      <c r="D195" s="77"/>
      <c r="E195" s="70" t="str">
        <f t="shared" si="49"/>
        <v/>
      </c>
      <c r="F195" s="1"/>
      <c r="G195" s="1"/>
      <c r="H195" s="1"/>
      <c r="I195" s="1"/>
      <c r="J195" s="1"/>
      <c r="K195" s="1"/>
      <c r="L195" s="53" t="str">
        <f t="shared" si="3"/>
        <v/>
      </c>
      <c r="M195" s="54" t="str">
        <f t="shared" si="4"/>
        <v/>
      </c>
      <c r="N195" s="81" t="str">
        <f t="shared" si="7"/>
        <v/>
      </c>
      <c r="O195" s="56">
        <f t="shared" si="8"/>
        <v>0</v>
      </c>
      <c r="P195" s="56" t="str">
        <f t="shared" si="9"/>
        <v>#REF!</v>
      </c>
      <c r="Q195" s="65" t="str">
        <f t="shared" si="5"/>
        <v>#REF!</v>
      </c>
      <c r="R195" s="1"/>
      <c r="S195" s="58">
        <v>188.0</v>
      </c>
      <c r="T195" s="59">
        <v>35674.0</v>
      </c>
      <c r="U195" s="59">
        <v>35766.0</v>
      </c>
      <c r="V195" s="60">
        <v>78.94</v>
      </c>
      <c r="W195" s="64">
        <v>13.14</v>
      </c>
      <c r="X195" s="64">
        <v>0.0</v>
      </c>
      <c r="Y195" s="60">
        <v>0.0</v>
      </c>
    </row>
    <row r="196">
      <c r="A196" s="1"/>
      <c r="B196" s="41"/>
      <c r="C196" s="19"/>
      <c r="D196" s="77"/>
      <c r="E196" s="70" t="str">
        <f t="shared" si="49"/>
        <v/>
      </c>
      <c r="F196" s="1"/>
      <c r="G196" s="1"/>
      <c r="H196" s="1"/>
      <c r="I196" s="1"/>
      <c r="J196" s="1"/>
      <c r="K196" s="1"/>
      <c r="L196" s="53" t="str">
        <f t="shared" si="3"/>
        <v/>
      </c>
      <c r="M196" s="54" t="str">
        <f t="shared" si="4"/>
        <v/>
      </c>
      <c r="N196" s="81" t="str">
        <f t="shared" si="7"/>
        <v/>
      </c>
      <c r="O196" s="56">
        <f t="shared" si="8"/>
        <v>0</v>
      </c>
      <c r="P196" s="56" t="str">
        <f t="shared" si="9"/>
        <v>#REF!</v>
      </c>
      <c r="Q196" s="65" t="str">
        <f t="shared" si="5"/>
        <v>#REF!</v>
      </c>
      <c r="R196" s="1"/>
      <c r="S196" s="58">
        <v>189.0</v>
      </c>
      <c r="T196" s="59">
        <v>35587.0</v>
      </c>
      <c r="U196" s="59">
        <v>35611.0</v>
      </c>
      <c r="V196" s="60">
        <v>83.62</v>
      </c>
      <c r="W196" s="64">
        <v>3.43</v>
      </c>
      <c r="X196" s="64">
        <v>0.0</v>
      </c>
      <c r="Y196" s="60">
        <v>0.0</v>
      </c>
    </row>
    <row r="197">
      <c r="A197" s="1"/>
      <c r="B197" s="41"/>
      <c r="C197" s="19"/>
      <c r="D197" s="77"/>
      <c r="E197" s="70" t="str">
        <f t="shared" si="49"/>
        <v/>
      </c>
      <c r="F197" s="1"/>
      <c r="G197" s="1"/>
      <c r="H197" s="1"/>
      <c r="I197" s="1"/>
      <c r="J197" s="1"/>
      <c r="K197" s="1"/>
      <c r="L197" s="53" t="str">
        <f t="shared" si="3"/>
        <v/>
      </c>
      <c r="M197" s="54" t="str">
        <f t="shared" si="4"/>
        <v/>
      </c>
      <c r="N197" s="81" t="str">
        <f t="shared" si="7"/>
        <v/>
      </c>
      <c r="O197" s="56">
        <f t="shared" si="8"/>
        <v>0</v>
      </c>
      <c r="P197" s="56" t="str">
        <f t="shared" si="9"/>
        <v>#REF!</v>
      </c>
      <c r="Q197" s="65" t="str">
        <f t="shared" si="5"/>
        <v>#REF!</v>
      </c>
      <c r="R197" s="1"/>
      <c r="S197" s="58">
        <v>190.0</v>
      </c>
      <c r="T197" s="59">
        <v>35551.0</v>
      </c>
      <c r="U197" s="59">
        <v>35586.0</v>
      </c>
      <c r="V197" s="60">
        <v>86.36</v>
      </c>
      <c r="W197" s="64">
        <v>5.0</v>
      </c>
      <c r="X197" s="64">
        <v>0.0</v>
      </c>
      <c r="Y197" s="60">
        <v>0.0</v>
      </c>
    </row>
    <row r="198">
      <c r="A198" s="1"/>
      <c r="B198" s="41"/>
      <c r="C198" s="76"/>
      <c r="D198" s="77"/>
      <c r="E198" s="70" t="str">
        <f t="shared" si="49"/>
        <v/>
      </c>
      <c r="F198" s="1"/>
      <c r="G198" s="1"/>
      <c r="H198" s="1"/>
      <c r="I198" s="1"/>
      <c r="J198" s="1"/>
      <c r="K198" s="1"/>
      <c r="L198" s="53" t="str">
        <f t="shared" si="3"/>
        <v/>
      </c>
      <c r="M198" s="54" t="str">
        <f t="shared" si="4"/>
        <v/>
      </c>
      <c r="N198" s="81" t="str">
        <f t="shared" si="7"/>
        <v/>
      </c>
      <c r="O198" s="56">
        <f t="shared" si="8"/>
        <v>0</v>
      </c>
      <c r="P198" s="56" t="str">
        <f t="shared" si="9"/>
        <v>#REF!</v>
      </c>
      <c r="Q198" s="65" t="str">
        <f t="shared" si="5"/>
        <v>#REF!</v>
      </c>
      <c r="R198" s="1"/>
      <c r="S198" s="58">
        <v>191.0</v>
      </c>
      <c r="T198" s="59">
        <v>35490.0</v>
      </c>
      <c r="U198" s="59">
        <v>35551.0</v>
      </c>
      <c r="V198" s="60">
        <v>99.67</v>
      </c>
      <c r="W198" s="64">
        <v>8.71</v>
      </c>
      <c r="X198" s="64">
        <v>0.0</v>
      </c>
      <c r="Y198" s="60">
        <v>0.0</v>
      </c>
    </row>
    <row r="199">
      <c r="A199" s="1"/>
      <c r="B199" s="41"/>
      <c r="C199" s="19"/>
      <c r="D199" s="77"/>
      <c r="E199" s="70" t="str">
        <f t="shared" si="49"/>
        <v/>
      </c>
      <c r="F199" s="1"/>
      <c r="G199" s="1"/>
      <c r="H199" s="1"/>
      <c r="I199" s="1"/>
      <c r="J199" s="1"/>
      <c r="K199" s="1"/>
      <c r="L199" s="53" t="str">
        <f t="shared" si="3"/>
        <v/>
      </c>
      <c r="M199" s="54" t="str">
        <f t="shared" si="4"/>
        <v/>
      </c>
      <c r="N199" s="81" t="str">
        <f t="shared" si="7"/>
        <v/>
      </c>
      <c r="O199" s="56">
        <f t="shared" si="8"/>
        <v>0</v>
      </c>
      <c r="P199" s="56" t="str">
        <f t="shared" si="9"/>
        <v>#REF!</v>
      </c>
      <c r="Q199" s="65" t="str">
        <f t="shared" si="5"/>
        <v>#REF!</v>
      </c>
      <c r="R199" s="1"/>
      <c r="S199" s="58">
        <v>192.0</v>
      </c>
      <c r="T199" s="59">
        <v>35074.0</v>
      </c>
      <c r="U199" s="59">
        <v>35490.0</v>
      </c>
      <c r="V199" s="60">
        <v>63.47</v>
      </c>
      <c r="W199" s="64">
        <v>59.43</v>
      </c>
      <c r="X199" s="64">
        <v>0.0</v>
      </c>
      <c r="Y199" s="60">
        <v>0.0</v>
      </c>
    </row>
    <row r="200">
      <c r="A200" s="1"/>
      <c r="B200" s="41"/>
      <c r="C200" s="19"/>
      <c r="D200" s="77"/>
      <c r="E200" s="70" t="str">
        <f t="shared" si="49"/>
        <v/>
      </c>
      <c r="F200" s="1"/>
      <c r="G200" s="1"/>
      <c r="H200" s="1"/>
      <c r="I200" s="1"/>
      <c r="J200" s="1"/>
      <c r="K200" s="1"/>
      <c r="L200" s="53" t="str">
        <f t="shared" si="3"/>
        <v/>
      </c>
      <c r="M200" s="54" t="str">
        <f t="shared" si="4"/>
        <v/>
      </c>
      <c r="N200" s="81" t="str">
        <f t="shared" si="7"/>
        <v/>
      </c>
      <c r="O200" s="56">
        <f t="shared" si="8"/>
        <v>0</v>
      </c>
      <c r="P200" s="56" t="str">
        <f t="shared" si="9"/>
        <v>#REF!</v>
      </c>
      <c r="Q200" s="65" t="str">
        <f t="shared" si="5"/>
        <v>#REF!</v>
      </c>
      <c r="R200" s="1"/>
      <c r="S200" s="58">
        <v>193.0</v>
      </c>
      <c r="T200" s="59">
        <v>34976.0</v>
      </c>
      <c r="U200" s="59">
        <v>35074.0</v>
      </c>
      <c r="V200" s="60">
        <v>58.29</v>
      </c>
      <c r="W200" s="64">
        <v>14.0</v>
      </c>
      <c r="X200" s="64">
        <v>0.0</v>
      </c>
      <c r="Y200" s="60">
        <v>0.0</v>
      </c>
    </row>
    <row r="201">
      <c r="A201" s="1"/>
      <c r="B201" s="41"/>
      <c r="C201" s="19"/>
      <c r="D201" s="77"/>
      <c r="E201" s="70" t="str">
        <f t="shared" si="49"/>
        <v/>
      </c>
      <c r="F201" s="1"/>
      <c r="G201" s="1"/>
      <c r="H201" s="1"/>
      <c r="I201" s="1"/>
      <c r="J201" s="1"/>
      <c r="K201" s="1"/>
      <c r="L201" s="53" t="str">
        <f t="shared" si="3"/>
        <v/>
      </c>
      <c r="M201" s="54" t="str">
        <f t="shared" si="4"/>
        <v/>
      </c>
      <c r="N201" s="81" t="str">
        <f t="shared" si="7"/>
        <v/>
      </c>
      <c r="O201" s="56">
        <f t="shared" si="8"/>
        <v>0</v>
      </c>
      <c r="P201" s="56" t="str">
        <f t="shared" si="9"/>
        <v>#REF!</v>
      </c>
      <c r="Q201" s="65" t="str">
        <f t="shared" si="5"/>
        <v>#REF!</v>
      </c>
      <c r="R201" s="1"/>
      <c r="S201" s="58">
        <v>194.0</v>
      </c>
      <c r="T201" s="59">
        <v>34700.0</v>
      </c>
      <c r="U201" s="59">
        <v>34976.0</v>
      </c>
      <c r="V201" s="60">
        <v>50.76</v>
      </c>
      <c r="W201" s="64">
        <v>39.43</v>
      </c>
      <c r="X201" s="64">
        <v>0.0</v>
      </c>
      <c r="Y201" s="60">
        <v>0.0</v>
      </c>
    </row>
    <row r="202">
      <c r="A202" s="1"/>
      <c r="B202" s="41"/>
      <c r="C202" s="19"/>
      <c r="D202" s="77"/>
      <c r="E202" s="70" t="str">
        <f t="shared" si="49"/>
        <v/>
      </c>
      <c r="F202" s="1"/>
      <c r="G202" s="1"/>
      <c r="H202" s="1"/>
      <c r="I202" s="1"/>
      <c r="J202" s="1"/>
      <c r="K202" s="1"/>
      <c r="L202" s="53" t="str">
        <f t="shared" si="3"/>
        <v/>
      </c>
      <c r="M202" s="54" t="str">
        <f t="shared" si="4"/>
        <v/>
      </c>
      <c r="N202" s="81" t="str">
        <f t="shared" si="7"/>
        <v/>
      </c>
      <c r="O202" s="56">
        <f t="shared" si="8"/>
        <v>0</v>
      </c>
      <c r="P202" s="56" t="str">
        <f t="shared" si="9"/>
        <v>#REF!</v>
      </c>
      <c r="Q202" s="65" t="str">
        <f t="shared" si="5"/>
        <v>#REF!</v>
      </c>
      <c r="R202" s="1"/>
      <c r="S202" s="58">
        <v>195.0</v>
      </c>
      <c r="T202" s="59">
        <v>34555.0</v>
      </c>
      <c r="U202" s="59">
        <v>34700.0</v>
      </c>
      <c r="V202" s="60">
        <v>46.15</v>
      </c>
      <c r="W202" s="64">
        <v>20.71</v>
      </c>
      <c r="X202" s="64">
        <v>0.0</v>
      </c>
      <c r="Y202" s="60">
        <v>0.0</v>
      </c>
    </row>
    <row r="203">
      <c r="A203" s="1"/>
      <c r="B203" s="41"/>
      <c r="C203" s="19"/>
      <c r="D203" s="77"/>
      <c r="E203" s="70" t="str">
        <f t="shared" si="49"/>
        <v/>
      </c>
      <c r="F203" s="1"/>
      <c r="G203" s="1"/>
      <c r="H203" s="1"/>
      <c r="I203" s="1"/>
      <c r="J203" s="1"/>
      <c r="K203" s="1"/>
      <c r="L203" s="53" t="str">
        <f t="shared" si="3"/>
        <v/>
      </c>
      <c r="M203" s="54" t="str">
        <f t="shared" si="4"/>
        <v/>
      </c>
      <c r="N203" s="81" t="str">
        <f t="shared" si="7"/>
        <v/>
      </c>
      <c r="O203" s="56">
        <f t="shared" si="8"/>
        <v>0</v>
      </c>
      <c r="P203" s="56" t="str">
        <f t="shared" si="9"/>
        <v>#REF!</v>
      </c>
      <c r="Q203" s="65" t="str">
        <f t="shared" si="5"/>
        <v>#REF!</v>
      </c>
      <c r="R203" s="1"/>
      <c r="S203" s="58">
        <v>196.0</v>
      </c>
      <c r="T203" s="59">
        <v>34508.0</v>
      </c>
      <c r="U203" s="59">
        <v>34516.0</v>
      </c>
      <c r="V203" s="60">
        <v>36.7</v>
      </c>
      <c r="W203" s="64">
        <v>1.14</v>
      </c>
      <c r="X203" s="64">
        <v>0.0</v>
      </c>
      <c r="Y203" s="60">
        <v>0.0</v>
      </c>
    </row>
    <row r="204">
      <c r="A204" s="1"/>
      <c r="B204" s="41"/>
      <c r="C204" s="19"/>
      <c r="D204" s="77"/>
      <c r="E204" s="70" t="str">
        <f t="shared" si="49"/>
        <v/>
      </c>
      <c r="F204" s="1"/>
      <c r="G204" s="1"/>
      <c r="H204" s="1"/>
      <c r="I204" s="1"/>
      <c r="J204" s="1"/>
      <c r="K204" s="1"/>
      <c r="L204" s="53" t="str">
        <f t="shared" si="3"/>
        <v/>
      </c>
      <c r="M204" s="54" t="str">
        <f t="shared" si="4"/>
        <v/>
      </c>
      <c r="N204" s="81" t="str">
        <f t="shared" si="7"/>
        <v/>
      </c>
      <c r="O204" s="56">
        <f t="shared" si="8"/>
        <v>0</v>
      </c>
      <c r="P204" s="56" t="str">
        <f t="shared" si="9"/>
        <v>#REF!</v>
      </c>
      <c r="Q204" s="65" t="str">
        <f t="shared" si="5"/>
        <v>#REF!</v>
      </c>
      <c r="R204" s="1"/>
      <c r="S204" s="58">
        <v>197.0</v>
      </c>
      <c r="T204" s="59">
        <v>34274.0</v>
      </c>
      <c r="U204" s="59">
        <v>34307.0</v>
      </c>
      <c r="V204" s="60">
        <v>76.91</v>
      </c>
      <c r="W204" s="64">
        <v>4.71</v>
      </c>
      <c r="X204" s="64">
        <v>0.0</v>
      </c>
      <c r="Y204" s="60">
        <v>0.0</v>
      </c>
    </row>
    <row r="205">
      <c r="A205" s="1"/>
      <c r="B205" s="41"/>
      <c r="C205" s="19"/>
      <c r="D205" s="77"/>
      <c r="E205" s="70" t="str">
        <f t="shared" si="49"/>
        <v/>
      </c>
      <c r="F205" s="1"/>
      <c r="G205" s="1"/>
      <c r="H205" s="1"/>
      <c r="I205" s="1"/>
      <c r="J205" s="1"/>
      <c r="K205" s="1"/>
      <c r="L205" s="53" t="str">
        <f t="shared" si="3"/>
        <v/>
      </c>
      <c r="M205" s="54" t="str">
        <f t="shared" si="4"/>
        <v/>
      </c>
      <c r="N205" s="81" t="str">
        <f t="shared" si="7"/>
        <v/>
      </c>
      <c r="O205" s="56">
        <f t="shared" si="8"/>
        <v>0</v>
      </c>
      <c r="P205" s="56" t="str">
        <f t="shared" si="9"/>
        <v>#REF!</v>
      </c>
      <c r="Q205" s="65" t="str">
        <f t="shared" si="5"/>
        <v>#REF!</v>
      </c>
      <c r="R205" s="1"/>
      <c r="S205" s="58">
        <v>198.0</v>
      </c>
      <c r="T205" s="59">
        <v>34213.0</v>
      </c>
      <c r="U205" s="59">
        <v>34274.0</v>
      </c>
      <c r="V205" s="60">
        <v>59.97</v>
      </c>
      <c r="W205" s="64">
        <v>8.71</v>
      </c>
      <c r="X205" s="64">
        <v>0.0</v>
      </c>
      <c r="Y205" s="60">
        <v>0.0</v>
      </c>
    </row>
    <row r="206">
      <c r="A206" s="1"/>
      <c r="B206" s="41"/>
      <c r="C206" s="19"/>
      <c r="D206" s="77"/>
      <c r="E206" s="70" t="str">
        <f t="shared" si="49"/>
        <v/>
      </c>
      <c r="F206" s="1"/>
      <c r="G206" s="1"/>
      <c r="H206" s="1"/>
      <c r="I206" s="1"/>
      <c r="J206" s="1"/>
      <c r="K206" s="1"/>
      <c r="L206" s="53" t="str">
        <f t="shared" si="3"/>
        <v/>
      </c>
      <c r="M206" s="54" t="str">
        <f t="shared" si="4"/>
        <v/>
      </c>
      <c r="N206" s="81" t="str">
        <f t="shared" si="7"/>
        <v/>
      </c>
      <c r="O206" s="56">
        <f t="shared" si="8"/>
        <v>0</v>
      </c>
      <c r="P206" s="56" t="str">
        <f t="shared" si="9"/>
        <v>#REF!</v>
      </c>
      <c r="Q206" s="65" t="str">
        <f t="shared" si="5"/>
        <v>#REF!</v>
      </c>
      <c r="R206" s="1"/>
      <c r="S206" s="58">
        <v>199.0</v>
      </c>
      <c r="T206" s="59">
        <v>34008.0</v>
      </c>
      <c r="U206" s="59">
        <v>34213.0</v>
      </c>
      <c r="V206" s="60">
        <v>58.58</v>
      </c>
      <c r="W206" s="64">
        <v>29.29</v>
      </c>
      <c r="X206" s="64">
        <v>0.0</v>
      </c>
      <c r="Y206" s="60">
        <v>0.0</v>
      </c>
    </row>
    <row r="207">
      <c r="A207" s="1"/>
      <c r="B207" s="41"/>
      <c r="C207" s="19"/>
      <c r="D207" s="77"/>
      <c r="E207" s="70" t="str">
        <f t="shared" si="49"/>
        <v/>
      </c>
      <c r="F207" s="1"/>
      <c r="G207" s="1"/>
      <c r="H207" s="1"/>
      <c r="I207" s="1"/>
      <c r="J207" s="1"/>
      <c r="K207" s="1"/>
      <c r="L207" s="53" t="str">
        <f t="shared" si="3"/>
        <v/>
      </c>
      <c r="M207" s="54" t="str">
        <f t="shared" si="4"/>
        <v/>
      </c>
      <c r="N207" s="81" t="str">
        <f t="shared" si="7"/>
        <v/>
      </c>
      <c r="O207" s="56">
        <f t="shared" si="8"/>
        <v>0</v>
      </c>
      <c r="P207" s="56" t="str">
        <f t="shared" si="9"/>
        <v>#REF!</v>
      </c>
      <c r="Q207" s="65" t="str">
        <f t="shared" si="5"/>
        <v>#REF!</v>
      </c>
      <c r="R207" s="1"/>
      <c r="S207" s="58">
        <v>200.0</v>
      </c>
      <c r="T207" s="59">
        <v>33970.0</v>
      </c>
      <c r="U207" s="59">
        <v>34008.0</v>
      </c>
      <c r="V207" s="60">
        <v>56.15</v>
      </c>
      <c r="W207" s="64">
        <v>5.43</v>
      </c>
      <c r="X207" s="64">
        <v>0.0</v>
      </c>
      <c r="Y207" s="60">
        <v>0.0</v>
      </c>
    </row>
    <row r="208">
      <c r="A208" s="1"/>
      <c r="B208" s="41"/>
      <c r="C208" s="19"/>
      <c r="D208" s="77"/>
      <c r="E208" s="70" t="str">
        <f t="shared" si="49"/>
        <v/>
      </c>
      <c r="F208" s="1"/>
      <c r="G208" s="1"/>
      <c r="H208" s="1"/>
      <c r="I208" s="1"/>
      <c r="J208" s="1"/>
      <c r="K208" s="1"/>
      <c r="L208" s="53" t="str">
        <f t="shared" si="3"/>
        <v/>
      </c>
      <c r="M208" s="54" t="str">
        <f t="shared" si="4"/>
        <v/>
      </c>
      <c r="N208" s="81" t="str">
        <f t="shared" si="7"/>
        <v/>
      </c>
      <c r="O208" s="56">
        <f t="shared" si="8"/>
        <v>0</v>
      </c>
      <c r="P208" s="56" t="str">
        <f t="shared" si="9"/>
        <v>#REF!</v>
      </c>
      <c r="Q208" s="65" t="str">
        <f t="shared" si="5"/>
        <v>#REF!</v>
      </c>
      <c r="R208" s="1"/>
      <c r="S208" s="58">
        <v>201.0</v>
      </c>
      <c r="T208" s="66">
        <v>33959.0</v>
      </c>
      <c r="U208" s="59">
        <v>33970.0</v>
      </c>
      <c r="V208" s="60">
        <v>53.47</v>
      </c>
      <c r="W208" s="64">
        <v>1.57</v>
      </c>
      <c r="X208" s="64">
        <v>0.0</v>
      </c>
      <c r="Y208" s="60">
        <v>0.0</v>
      </c>
    </row>
    <row r="209">
      <c r="A209" s="1"/>
      <c r="B209" s="41"/>
      <c r="C209" s="19"/>
      <c r="D209" s="77"/>
      <c r="E209" s="70" t="str">
        <f t="shared" si="49"/>
        <v/>
      </c>
      <c r="F209" s="1"/>
      <c r="G209" s="1"/>
      <c r="H209" s="1"/>
      <c r="I209" s="1"/>
      <c r="J209" s="1"/>
      <c r="K209" s="1"/>
      <c r="L209" s="53" t="str">
        <f t="shared" si="3"/>
        <v/>
      </c>
      <c r="M209" s="54" t="str">
        <f t="shared" si="4"/>
        <v/>
      </c>
      <c r="N209" s="81" t="str">
        <f t="shared" si="7"/>
        <v/>
      </c>
      <c r="O209" s="56">
        <f t="shared" si="8"/>
        <v>0</v>
      </c>
      <c r="P209" s="56" t="str">
        <f t="shared" si="9"/>
        <v>#REF!</v>
      </c>
      <c r="Q209" s="65" t="str">
        <f t="shared" si="5"/>
        <v>#REF!</v>
      </c>
      <c r="R209" s="1"/>
      <c r="S209" s="58">
        <v>202.0</v>
      </c>
      <c r="T209" s="59">
        <v>33842.0</v>
      </c>
      <c r="U209" s="66">
        <v>33959.0</v>
      </c>
      <c r="V209" s="60">
        <v>49.82</v>
      </c>
      <c r="W209" s="64">
        <v>16.71</v>
      </c>
      <c r="X209" s="64">
        <v>0.0</v>
      </c>
      <c r="Y209" s="60">
        <v>0.0</v>
      </c>
    </row>
    <row r="210">
      <c r="A210" s="1"/>
      <c r="B210" s="41"/>
      <c r="C210" s="19"/>
      <c r="D210" s="77"/>
      <c r="E210" s="70" t="str">
        <f t="shared" si="49"/>
        <v/>
      </c>
      <c r="F210" s="1"/>
      <c r="G210" s="1"/>
      <c r="H210" s="1"/>
      <c r="I210" s="1"/>
      <c r="J210" s="1"/>
      <c r="K210" s="1"/>
      <c r="L210" s="53" t="str">
        <f t="shared" si="3"/>
        <v/>
      </c>
      <c r="M210" s="54" t="str">
        <f t="shared" si="4"/>
        <v/>
      </c>
      <c r="N210" s="81" t="str">
        <f t="shared" si="7"/>
        <v/>
      </c>
      <c r="O210" s="56">
        <f t="shared" si="8"/>
        <v>0</v>
      </c>
      <c r="P210" s="56" t="str">
        <f t="shared" si="9"/>
        <v>#REF!</v>
      </c>
      <c r="Q210" s="65" t="str">
        <f t="shared" si="5"/>
        <v>#REF!</v>
      </c>
      <c r="R210" s="1"/>
      <c r="S210" s="58">
        <v>203.0</v>
      </c>
      <c r="T210" s="59">
        <v>33750.0</v>
      </c>
      <c r="U210" s="59">
        <v>33842.0</v>
      </c>
      <c r="V210" s="60">
        <v>44.52</v>
      </c>
      <c r="W210" s="64">
        <v>13.14</v>
      </c>
      <c r="X210" s="64">
        <v>0.0</v>
      </c>
      <c r="Y210" s="60">
        <v>0.0</v>
      </c>
    </row>
    <row r="211">
      <c r="A211" s="1"/>
      <c r="B211" s="41"/>
      <c r="C211" s="19"/>
      <c r="D211" s="77"/>
      <c r="E211" s="70" t="str">
        <f t="shared" si="49"/>
        <v/>
      </c>
      <c r="F211" s="1"/>
      <c r="G211" s="1"/>
      <c r="H211" s="1"/>
      <c r="I211" s="1"/>
      <c r="J211" s="1"/>
      <c r="K211" s="1"/>
      <c r="L211" s="53" t="str">
        <f t="shared" si="3"/>
        <v/>
      </c>
      <c r="M211" s="54" t="str">
        <f t="shared" si="4"/>
        <v/>
      </c>
      <c r="N211" s="81" t="str">
        <f t="shared" si="7"/>
        <v/>
      </c>
      <c r="O211" s="56">
        <f t="shared" si="8"/>
        <v>0</v>
      </c>
      <c r="P211" s="56" t="str">
        <f t="shared" si="9"/>
        <v>#REF!</v>
      </c>
      <c r="Q211" s="65" t="str">
        <f t="shared" si="5"/>
        <v>#REF!</v>
      </c>
      <c r="R211" s="1"/>
      <c r="S211" s="58">
        <v>204.0</v>
      </c>
      <c r="T211" s="59">
        <v>33547.0</v>
      </c>
      <c r="U211" s="66">
        <v>33557.0</v>
      </c>
      <c r="V211" s="60">
        <v>41.69</v>
      </c>
      <c r="W211" s="64">
        <v>1.43</v>
      </c>
      <c r="X211" s="64">
        <v>0.0</v>
      </c>
      <c r="Y211" s="60">
        <v>0.0</v>
      </c>
    </row>
    <row r="212">
      <c r="A212" s="1"/>
      <c r="B212" s="41"/>
      <c r="C212" s="19"/>
      <c r="D212" s="77"/>
      <c r="E212" s="70" t="str">
        <f t="shared" si="49"/>
        <v/>
      </c>
      <c r="F212" s="1"/>
      <c r="G212" s="1"/>
      <c r="H212" s="1"/>
      <c r="I212" s="1"/>
      <c r="J212" s="1"/>
      <c r="K212" s="1"/>
      <c r="L212" s="53" t="str">
        <f t="shared" si="3"/>
        <v/>
      </c>
      <c r="M212" s="54" t="str">
        <f t="shared" si="4"/>
        <v/>
      </c>
      <c r="N212" s="81" t="str">
        <f t="shared" si="7"/>
        <v/>
      </c>
      <c r="O212" s="56">
        <f t="shared" si="8"/>
        <v>0</v>
      </c>
      <c r="P212" s="56" t="str">
        <f t="shared" si="9"/>
        <v>#REF!</v>
      </c>
      <c r="Q212" s="65" t="str">
        <f t="shared" si="5"/>
        <v>#REF!</v>
      </c>
      <c r="R212" s="1"/>
      <c r="S212" s="58">
        <v>205.0</v>
      </c>
      <c r="T212" s="59">
        <v>33298.0</v>
      </c>
      <c r="U212" s="59">
        <v>33337.0</v>
      </c>
      <c r="V212" s="60">
        <v>33.51</v>
      </c>
      <c r="W212" s="64">
        <v>5.57</v>
      </c>
      <c r="X212" s="64">
        <v>0.0</v>
      </c>
      <c r="Y212" s="60">
        <v>0.0</v>
      </c>
    </row>
    <row r="213">
      <c r="A213" s="1"/>
      <c r="B213" s="41"/>
      <c r="C213" s="19"/>
      <c r="D213" s="77"/>
      <c r="E213" s="70" t="str">
        <f t="shared" si="49"/>
        <v/>
      </c>
      <c r="F213" s="1"/>
      <c r="G213" s="1"/>
      <c r="H213" s="1"/>
      <c r="I213" s="1"/>
      <c r="J213" s="1"/>
      <c r="K213" s="1"/>
      <c r="L213" s="53" t="str">
        <f t="shared" si="3"/>
        <v/>
      </c>
      <c r="M213" s="54" t="str">
        <f t="shared" si="4"/>
        <v/>
      </c>
      <c r="N213" s="81" t="str">
        <f t="shared" si="7"/>
        <v/>
      </c>
      <c r="O213" s="56">
        <f t="shared" si="8"/>
        <v>0</v>
      </c>
      <c r="P213" s="56" t="str">
        <f t="shared" si="9"/>
        <v>#REF!</v>
      </c>
      <c r="Q213" s="65" t="str">
        <f t="shared" si="5"/>
        <v>#REF!</v>
      </c>
      <c r="R213" s="1"/>
      <c r="S213" s="58">
        <v>206.0</v>
      </c>
      <c r="T213" s="59">
        <v>33239.0</v>
      </c>
      <c r="U213" s="59">
        <v>33270.0</v>
      </c>
      <c r="V213" s="60">
        <v>29.51</v>
      </c>
      <c r="W213" s="64">
        <v>4.43</v>
      </c>
      <c r="X213" s="64">
        <v>0.0</v>
      </c>
      <c r="Y213" s="60">
        <v>0.0</v>
      </c>
    </row>
    <row r="214">
      <c r="A214" s="1"/>
      <c r="B214" s="41"/>
      <c r="C214" s="19"/>
      <c r="D214" s="77"/>
      <c r="E214" s="70" t="str">
        <f t="shared" si="49"/>
        <v/>
      </c>
      <c r="F214" s="1"/>
      <c r="G214" s="1"/>
      <c r="H214" s="1"/>
      <c r="I214" s="1"/>
      <c r="J214" s="1"/>
      <c r="K214" s="1"/>
      <c r="L214" s="53" t="str">
        <f t="shared" si="3"/>
        <v/>
      </c>
      <c r="M214" s="54" t="str">
        <f t="shared" si="4"/>
        <v/>
      </c>
      <c r="N214" s="81" t="str">
        <f t="shared" si="7"/>
        <v/>
      </c>
      <c r="O214" s="56">
        <f t="shared" si="8"/>
        <v>0</v>
      </c>
      <c r="P214" s="56" t="str">
        <f t="shared" si="9"/>
        <v>#REF!</v>
      </c>
      <c r="Q214" s="65" t="str">
        <f t="shared" si="5"/>
        <v>#REF!</v>
      </c>
      <c r="R214" s="1"/>
      <c r="S214" s="58">
        <v>207.0</v>
      </c>
      <c r="T214" s="66">
        <v>33156.0</v>
      </c>
      <c r="U214" s="66">
        <v>33219.0</v>
      </c>
      <c r="V214" s="60">
        <v>36.27</v>
      </c>
      <c r="W214" s="64">
        <v>9.0</v>
      </c>
      <c r="X214" s="64">
        <v>0.0</v>
      </c>
      <c r="Y214" s="60">
        <v>0.0</v>
      </c>
    </row>
    <row r="215">
      <c r="A215" s="1"/>
      <c r="B215" s="41"/>
      <c r="C215" s="19"/>
      <c r="D215" s="77"/>
      <c r="E215" s="70" t="str">
        <f t="shared" si="49"/>
        <v/>
      </c>
      <c r="F215" s="1"/>
      <c r="G215" s="1"/>
      <c r="H215" s="1"/>
      <c r="I215" s="1"/>
      <c r="J215" s="1"/>
      <c r="K215" s="1"/>
      <c r="L215" s="53" t="str">
        <f t="shared" si="3"/>
        <v/>
      </c>
      <c r="M215" s="54" t="str">
        <f t="shared" si="4"/>
        <v/>
      </c>
      <c r="N215" s="81" t="str">
        <f t="shared" si="7"/>
        <v/>
      </c>
      <c r="O215" s="56">
        <f t="shared" si="8"/>
        <v>0</v>
      </c>
      <c r="P215" s="56" t="str">
        <f t="shared" si="9"/>
        <v>#REF!</v>
      </c>
      <c r="Q215" s="65" t="str">
        <f t="shared" si="5"/>
        <v>#REF!</v>
      </c>
      <c r="R215" s="1"/>
      <c r="S215" s="58">
        <v>208.0</v>
      </c>
      <c r="T215" s="59">
        <v>33055.0</v>
      </c>
      <c r="U215" s="59">
        <v>33114.0</v>
      </c>
      <c r="V215" s="60">
        <v>29.85</v>
      </c>
      <c r="W215" s="64">
        <v>8.43</v>
      </c>
      <c r="X215" s="64">
        <v>0.0</v>
      </c>
      <c r="Y215" s="60">
        <v>0.0</v>
      </c>
    </row>
    <row r="216">
      <c r="A216" s="1"/>
      <c r="B216" s="41"/>
      <c r="C216" s="19"/>
      <c r="D216" s="77"/>
      <c r="E216" s="70" t="str">
        <f t="shared" si="49"/>
        <v/>
      </c>
      <c r="F216" s="1"/>
      <c r="G216" s="1"/>
      <c r="H216" s="1"/>
      <c r="I216" s="1"/>
      <c r="J216" s="1"/>
      <c r="K216" s="1"/>
      <c r="L216" s="53" t="str">
        <f t="shared" si="3"/>
        <v/>
      </c>
      <c r="M216" s="54" t="str">
        <f t="shared" si="4"/>
        <v/>
      </c>
      <c r="N216" s="81" t="str">
        <f t="shared" si="7"/>
        <v/>
      </c>
      <c r="O216" s="56">
        <f t="shared" si="8"/>
        <v>0</v>
      </c>
      <c r="P216" s="56" t="str">
        <f t="shared" si="9"/>
        <v>#REF!</v>
      </c>
      <c r="Q216" s="65" t="str">
        <f t="shared" si="5"/>
        <v>#REF!</v>
      </c>
      <c r="R216" s="1"/>
      <c r="S216" s="58">
        <v>209.0</v>
      </c>
      <c r="T216" s="59">
        <v>32994.0</v>
      </c>
      <c r="U216" s="59">
        <v>33027.0</v>
      </c>
      <c r="V216" s="60">
        <v>21.45</v>
      </c>
      <c r="W216" s="64">
        <v>4.71</v>
      </c>
      <c r="X216" s="64">
        <v>0.0</v>
      </c>
      <c r="Y216" s="60">
        <v>0.0</v>
      </c>
    </row>
    <row r="217">
      <c r="A217" s="1"/>
      <c r="B217" s="41"/>
      <c r="C217" s="19"/>
      <c r="D217" s="77"/>
      <c r="E217" s="70" t="str">
        <f t="shared" si="49"/>
        <v/>
      </c>
      <c r="F217" s="1"/>
      <c r="G217" s="1"/>
      <c r="H217" s="1"/>
      <c r="I217" s="1"/>
      <c r="J217" s="1"/>
      <c r="K217" s="1"/>
      <c r="L217" s="53" t="str">
        <f t="shared" si="3"/>
        <v/>
      </c>
      <c r="M217" s="54" t="str">
        <f t="shared" si="4"/>
        <v/>
      </c>
      <c r="N217" s="81" t="str">
        <f t="shared" si="7"/>
        <v/>
      </c>
      <c r="O217" s="56">
        <f t="shared" si="8"/>
        <v>0</v>
      </c>
      <c r="P217" s="56" t="str">
        <f t="shared" si="9"/>
        <v>#REF!</v>
      </c>
      <c r="Q217" s="65" t="str">
        <f t="shared" si="5"/>
        <v>#REF!</v>
      </c>
      <c r="R217" s="1"/>
      <c r="S217" s="58">
        <v>210.0</v>
      </c>
      <c r="T217" s="59">
        <v>32945.0</v>
      </c>
      <c r="U217" s="59">
        <v>32969.0</v>
      </c>
      <c r="V217" s="60">
        <v>19.61</v>
      </c>
      <c r="W217" s="64">
        <v>3.43</v>
      </c>
      <c r="X217" s="64">
        <v>0.0</v>
      </c>
      <c r="Y217" s="60">
        <v>0.0</v>
      </c>
    </row>
    <row r="218">
      <c r="A218" s="1"/>
      <c r="B218" s="41"/>
      <c r="C218" s="19"/>
      <c r="D218" s="77"/>
      <c r="E218" s="70" t="str">
        <f t="shared" si="49"/>
        <v/>
      </c>
      <c r="F218" s="1"/>
      <c r="G218" s="1"/>
      <c r="H218" s="1"/>
      <c r="I218" s="1"/>
      <c r="J218" s="1"/>
      <c r="K218" s="1"/>
      <c r="L218" s="53" t="str">
        <f t="shared" si="3"/>
        <v/>
      </c>
      <c r="M218" s="54" t="str">
        <f t="shared" si="4"/>
        <v/>
      </c>
      <c r="N218" s="81" t="str">
        <f t="shared" si="7"/>
        <v/>
      </c>
      <c r="O218" s="56">
        <f t="shared" si="8"/>
        <v>0</v>
      </c>
      <c r="P218" s="56" t="str">
        <f t="shared" si="9"/>
        <v>#REF!</v>
      </c>
      <c r="Q218" s="65" t="str">
        <f t="shared" si="5"/>
        <v>#REF!</v>
      </c>
      <c r="R218" s="1"/>
      <c r="S218" s="58">
        <v>211.0</v>
      </c>
      <c r="T218" s="59">
        <v>32933.0</v>
      </c>
      <c r="U218" s="59">
        <v>32934.0</v>
      </c>
      <c r="V218" s="60">
        <v>12.44</v>
      </c>
      <c r="W218" s="64">
        <v>0.14</v>
      </c>
      <c r="X218" s="64">
        <v>0.0</v>
      </c>
      <c r="Y218" s="60">
        <v>0.0</v>
      </c>
    </row>
    <row r="219">
      <c r="A219" s="1"/>
      <c r="B219" s="41"/>
      <c r="C219" s="19"/>
      <c r="D219" s="77"/>
      <c r="E219" s="70" t="str">
        <f t="shared" si="49"/>
        <v/>
      </c>
      <c r="F219" s="1"/>
      <c r="G219" s="1"/>
      <c r="H219" s="1"/>
      <c r="I219" s="1"/>
      <c r="J219" s="1"/>
      <c r="K219" s="1"/>
      <c r="L219" s="53" t="str">
        <f t="shared" si="3"/>
        <v/>
      </c>
      <c r="M219" s="54" t="str">
        <f t="shared" si="4"/>
        <v/>
      </c>
      <c r="N219" s="81" t="str">
        <f t="shared" si="7"/>
        <v/>
      </c>
      <c r="O219" s="56">
        <f t="shared" si="8"/>
        <v>0</v>
      </c>
      <c r="P219" s="56" t="str">
        <f t="shared" si="9"/>
        <v>#REF!</v>
      </c>
      <c r="Q219" s="65" t="str">
        <f t="shared" si="5"/>
        <v>#REF!</v>
      </c>
      <c r="R219" s="1"/>
      <c r="S219" s="58">
        <v>212.0</v>
      </c>
      <c r="T219" s="59">
        <v>32927.0</v>
      </c>
      <c r="U219" s="59">
        <v>32927.0</v>
      </c>
      <c r="V219" s="60">
        <v>0.0</v>
      </c>
      <c r="W219" s="64">
        <v>0.0</v>
      </c>
      <c r="X219" s="64">
        <v>0.0</v>
      </c>
      <c r="Y219" s="60">
        <v>0.0</v>
      </c>
    </row>
    <row r="220">
      <c r="A220" s="1"/>
      <c r="B220" s="41"/>
      <c r="C220" s="19"/>
      <c r="D220" s="77"/>
      <c r="E220" s="70" t="str">
        <f t="shared" si="49"/>
        <v/>
      </c>
      <c r="F220" s="1"/>
      <c r="G220" s="1"/>
      <c r="H220" s="1"/>
      <c r="I220" s="1"/>
      <c r="J220" s="1"/>
      <c r="K220" s="1"/>
      <c r="L220" s="53" t="str">
        <f t="shared" si="3"/>
        <v/>
      </c>
      <c r="M220" s="54" t="str">
        <f t="shared" si="4"/>
        <v/>
      </c>
      <c r="N220" s="81" t="str">
        <f t="shared" si="7"/>
        <v/>
      </c>
      <c r="O220" s="56">
        <f t="shared" si="8"/>
        <v>0</v>
      </c>
      <c r="P220" s="56" t="str">
        <f t="shared" si="9"/>
        <v>#REF!</v>
      </c>
      <c r="Q220" s="65" t="str">
        <f t="shared" si="5"/>
        <v>#REF!</v>
      </c>
      <c r="R220" s="1"/>
      <c r="S220" s="72">
        <v>213.0</v>
      </c>
      <c r="T220" s="73">
        <v>32874.0</v>
      </c>
      <c r="U220" s="73">
        <v>32888.0</v>
      </c>
      <c r="V220" s="74">
        <v>22.93</v>
      </c>
      <c r="W220" s="75">
        <v>2.0</v>
      </c>
      <c r="X220" s="75">
        <v>0.0</v>
      </c>
      <c r="Y220" s="74">
        <v>0.0</v>
      </c>
    </row>
    <row r="221">
      <c r="A221" s="1"/>
      <c r="B221" s="41"/>
      <c r="C221" s="19"/>
      <c r="D221" s="77"/>
      <c r="E221" s="70" t="str">
        <f t="shared" si="49"/>
        <v/>
      </c>
      <c r="F221" s="1"/>
      <c r="G221" s="1"/>
      <c r="H221" s="1"/>
      <c r="I221" s="1"/>
      <c r="J221" s="1"/>
      <c r="K221" s="1"/>
      <c r="L221" s="53" t="str">
        <f t="shared" si="3"/>
        <v/>
      </c>
      <c r="M221" s="54" t="str">
        <f t="shared" si="4"/>
        <v/>
      </c>
      <c r="N221" s="81" t="str">
        <f t="shared" si="7"/>
        <v/>
      </c>
      <c r="O221" s="56">
        <f t="shared" si="8"/>
        <v>0</v>
      </c>
      <c r="P221" s="56" t="str">
        <f t="shared" si="9"/>
        <v>#REF!</v>
      </c>
      <c r="Q221" s="65" t="str">
        <f t="shared" si="5"/>
        <v>#REF!</v>
      </c>
      <c r="R221" s="1"/>
    </row>
    <row r="222">
      <c r="A222" s="1"/>
      <c r="B222" s="41"/>
      <c r="C222" s="19"/>
      <c r="D222" s="77"/>
      <c r="E222" s="70" t="str">
        <f t="shared" si="49"/>
        <v/>
      </c>
      <c r="F222" s="1"/>
      <c r="G222" s="1"/>
      <c r="H222" s="1"/>
      <c r="I222" s="1"/>
      <c r="J222" s="1"/>
      <c r="K222" s="1"/>
      <c r="L222" s="53" t="str">
        <f t="shared" si="3"/>
        <v/>
      </c>
      <c r="M222" s="54" t="str">
        <f t="shared" si="4"/>
        <v/>
      </c>
      <c r="N222" s="81" t="str">
        <f t="shared" si="7"/>
        <v/>
      </c>
      <c r="O222" s="56">
        <f t="shared" si="8"/>
        <v>0</v>
      </c>
      <c r="P222" s="56" t="str">
        <f t="shared" si="9"/>
        <v>#REF!</v>
      </c>
      <c r="Q222" s="65" t="str">
        <f t="shared" si="5"/>
        <v>#REF!</v>
      </c>
      <c r="R222" s="1"/>
    </row>
    <row r="223">
      <c r="A223" s="1"/>
      <c r="B223" s="41"/>
      <c r="C223" s="19"/>
      <c r="D223" s="77"/>
      <c r="E223" s="70" t="str">
        <f t="shared" si="49"/>
        <v/>
      </c>
      <c r="F223" s="1"/>
      <c r="G223" s="1"/>
      <c r="H223" s="1"/>
      <c r="I223" s="1"/>
      <c r="J223" s="1"/>
      <c r="K223" s="1"/>
      <c r="L223" s="53" t="str">
        <f t="shared" si="3"/>
        <v/>
      </c>
      <c r="M223" s="54" t="str">
        <f t="shared" si="4"/>
        <v/>
      </c>
      <c r="N223" s="81" t="str">
        <f t="shared" si="7"/>
        <v/>
      </c>
      <c r="O223" s="56">
        <f t="shared" si="8"/>
        <v>0</v>
      </c>
      <c r="P223" s="56" t="str">
        <f t="shared" si="9"/>
        <v>#REF!</v>
      </c>
      <c r="Q223" s="65" t="str">
        <f t="shared" si="5"/>
        <v>#REF!</v>
      </c>
      <c r="R223" s="1"/>
    </row>
    <row r="224">
      <c r="A224" s="1"/>
      <c r="B224" s="41"/>
      <c r="C224" s="19"/>
      <c r="D224" s="77"/>
      <c r="E224" s="70" t="str">
        <f t="shared" si="49"/>
        <v/>
      </c>
      <c r="F224" s="1"/>
      <c r="G224" s="1"/>
      <c r="H224" s="1"/>
      <c r="I224" s="1"/>
      <c r="J224" s="1"/>
      <c r="K224" s="1"/>
      <c r="L224" s="53" t="str">
        <f t="shared" si="3"/>
        <v/>
      </c>
      <c r="M224" s="54" t="str">
        <f t="shared" si="4"/>
        <v/>
      </c>
      <c r="N224" s="81" t="str">
        <f t="shared" si="7"/>
        <v/>
      </c>
      <c r="O224" s="56">
        <f t="shared" si="8"/>
        <v>0</v>
      </c>
      <c r="P224" s="56" t="str">
        <f t="shared" si="9"/>
        <v>#REF!</v>
      </c>
      <c r="Q224" s="65" t="str">
        <f t="shared" si="5"/>
        <v>#REF!</v>
      </c>
      <c r="R224" s="1"/>
    </row>
    <row r="225">
      <c r="A225" s="1"/>
      <c r="B225" s="41"/>
      <c r="C225" s="19"/>
      <c r="D225" s="77"/>
      <c r="E225" s="70" t="str">
        <f t="shared" si="49"/>
        <v/>
      </c>
      <c r="F225" s="1"/>
      <c r="G225" s="1"/>
      <c r="H225" s="1"/>
      <c r="I225" s="1"/>
      <c r="J225" s="1"/>
      <c r="K225" s="1"/>
      <c r="L225" s="53" t="str">
        <f t="shared" si="3"/>
        <v/>
      </c>
      <c r="M225" s="54" t="str">
        <f t="shared" si="4"/>
        <v/>
      </c>
      <c r="N225" s="81" t="str">
        <f t="shared" si="7"/>
        <v/>
      </c>
      <c r="O225" s="56">
        <f t="shared" si="8"/>
        <v>0</v>
      </c>
      <c r="P225" s="56" t="str">
        <f t="shared" si="9"/>
        <v>#REF!</v>
      </c>
      <c r="Q225" s="65" t="str">
        <f t="shared" si="5"/>
        <v>#REF!</v>
      </c>
      <c r="R225" s="1"/>
    </row>
    <row r="226">
      <c r="A226" s="1"/>
      <c r="B226" s="41"/>
      <c r="C226" s="19"/>
      <c r="D226" s="77"/>
      <c r="E226" s="70" t="str">
        <f t="shared" si="49"/>
        <v/>
      </c>
      <c r="F226" s="1"/>
      <c r="G226" s="1"/>
      <c r="H226" s="1"/>
      <c r="I226" s="1"/>
      <c r="J226" s="1"/>
      <c r="K226" s="1"/>
      <c r="L226" s="53" t="str">
        <f t="shared" si="3"/>
        <v/>
      </c>
      <c r="M226" s="54" t="str">
        <f t="shared" si="4"/>
        <v/>
      </c>
      <c r="N226" s="81" t="str">
        <f t="shared" si="7"/>
        <v/>
      </c>
      <c r="O226" s="56">
        <f t="shared" si="8"/>
        <v>0</v>
      </c>
      <c r="P226" s="56" t="str">
        <f t="shared" si="9"/>
        <v>#REF!</v>
      </c>
      <c r="Q226" s="65" t="str">
        <f t="shared" si="5"/>
        <v>#REF!</v>
      </c>
      <c r="R226" s="1"/>
    </row>
    <row r="227">
      <c r="A227" s="1"/>
      <c r="B227" s="41"/>
      <c r="C227" s="19"/>
      <c r="D227" s="77"/>
      <c r="E227" s="70" t="str">
        <f t="shared" si="49"/>
        <v/>
      </c>
      <c r="F227" s="1"/>
      <c r="G227" s="1"/>
      <c r="H227" s="1"/>
      <c r="I227" s="1"/>
      <c r="J227" s="1"/>
      <c r="K227" s="1"/>
      <c r="L227" s="53" t="str">
        <f t="shared" si="3"/>
        <v/>
      </c>
      <c r="M227" s="54" t="str">
        <f t="shared" si="4"/>
        <v/>
      </c>
      <c r="N227" s="81" t="str">
        <f t="shared" si="7"/>
        <v/>
      </c>
      <c r="O227" s="56">
        <f t="shared" si="8"/>
        <v>0</v>
      </c>
      <c r="P227" s="56" t="str">
        <f t="shared" si="9"/>
        <v>#REF!</v>
      </c>
      <c r="Q227" s="65" t="str">
        <f t="shared" si="5"/>
        <v>#REF!</v>
      </c>
      <c r="R227" s="1"/>
    </row>
    <row r="228">
      <c r="A228" s="1"/>
      <c r="B228" s="41"/>
      <c r="C228" s="19"/>
      <c r="D228" s="77"/>
      <c r="E228" s="70" t="str">
        <f t="shared" si="49"/>
        <v/>
      </c>
      <c r="F228" s="1"/>
      <c r="G228" s="1"/>
      <c r="H228" s="1"/>
      <c r="I228" s="1"/>
      <c r="J228" s="1"/>
      <c r="K228" s="1"/>
      <c r="L228" s="53" t="str">
        <f t="shared" si="3"/>
        <v/>
      </c>
      <c r="M228" s="54" t="str">
        <f t="shared" si="4"/>
        <v/>
      </c>
      <c r="N228" s="81" t="str">
        <f t="shared" si="7"/>
        <v/>
      </c>
      <c r="O228" s="56">
        <f t="shared" si="8"/>
        <v>0</v>
      </c>
      <c r="P228" s="56" t="str">
        <f t="shared" si="9"/>
        <v>#REF!</v>
      </c>
      <c r="Q228" s="65" t="str">
        <f t="shared" si="5"/>
        <v>#REF!</v>
      </c>
      <c r="R228" s="1"/>
    </row>
    <row r="229">
      <c r="A229" s="1"/>
      <c r="B229" s="41"/>
      <c r="C229" s="19"/>
      <c r="D229" s="77"/>
      <c r="E229" s="70" t="str">
        <f t="shared" si="49"/>
        <v/>
      </c>
      <c r="F229" s="1"/>
      <c r="G229" s="1"/>
      <c r="H229" s="1"/>
      <c r="I229" s="1"/>
      <c r="J229" s="1"/>
      <c r="K229" s="1"/>
      <c r="L229" s="53" t="str">
        <f t="shared" si="3"/>
        <v/>
      </c>
      <c r="M229" s="54" t="str">
        <f t="shared" si="4"/>
        <v/>
      </c>
      <c r="N229" s="81" t="str">
        <f t="shared" si="7"/>
        <v/>
      </c>
      <c r="O229" s="56">
        <f t="shared" si="8"/>
        <v>0</v>
      </c>
      <c r="P229" s="56" t="str">
        <f t="shared" si="9"/>
        <v>#REF!</v>
      </c>
      <c r="Q229" s="65" t="str">
        <f t="shared" si="5"/>
        <v>#REF!</v>
      </c>
      <c r="R229" s="1"/>
    </row>
    <row r="230">
      <c r="A230" s="1"/>
      <c r="B230" s="41"/>
      <c r="C230" s="19"/>
      <c r="D230" s="77"/>
      <c r="E230" s="70" t="str">
        <f t="shared" si="49"/>
        <v/>
      </c>
      <c r="F230" s="1"/>
      <c r="G230" s="1"/>
      <c r="H230" s="1"/>
      <c r="I230" s="1"/>
      <c r="J230" s="1"/>
      <c r="K230" s="1"/>
      <c r="L230" s="53" t="str">
        <f t="shared" si="3"/>
        <v/>
      </c>
      <c r="M230" s="54" t="str">
        <f t="shared" si="4"/>
        <v/>
      </c>
      <c r="N230" s="81" t="str">
        <f t="shared" si="7"/>
        <v/>
      </c>
      <c r="O230" s="56">
        <f t="shared" si="8"/>
        <v>0</v>
      </c>
      <c r="P230" s="56" t="str">
        <f t="shared" si="9"/>
        <v>#REF!</v>
      </c>
      <c r="Q230" s="65" t="str">
        <f t="shared" si="5"/>
        <v>#REF!</v>
      </c>
      <c r="R230" s="1"/>
    </row>
    <row r="231">
      <c r="A231" s="1"/>
      <c r="B231" s="41"/>
      <c r="C231" s="19"/>
      <c r="D231" s="77"/>
      <c r="E231" s="70" t="str">
        <f t="shared" si="49"/>
        <v/>
      </c>
      <c r="F231" s="1"/>
      <c r="G231" s="1"/>
      <c r="H231" s="1"/>
      <c r="I231" s="1"/>
      <c r="J231" s="1"/>
      <c r="K231" s="1"/>
      <c r="L231" s="53" t="str">
        <f t="shared" si="3"/>
        <v/>
      </c>
      <c r="M231" s="54" t="str">
        <f t="shared" si="4"/>
        <v/>
      </c>
      <c r="N231" s="81" t="str">
        <f t="shared" si="7"/>
        <v/>
      </c>
      <c r="O231" s="56">
        <f t="shared" si="8"/>
        <v>0</v>
      </c>
      <c r="P231" s="56" t="str">
        <f t="shared" si="9"/>
        <v>#REF!</v>
      </c>
      <c r="Q231" s="65" t="str">
        <f t="shared" si="5"/>
        <v>#REF!</v>
      </c>
      <c r="R231" s="1"/>
    </row>
    <row r="232">
      <c r="A232" s="1"/>
      <c r="B232" s="41"/>
      <c r="C232" s="19"/>
      <c r="D232" s="77"/>
      <c r="E232" s="70" t="str">
        <f t="shared" si="49"/>
        <v/>
      </c>
      <c r="F232" s="1"/>
      <c r="G232" s="1"/>
      <c r="H232" s="1"/>
      <c r="I232" s="1"/>
      <c r="J232" s="1"/>
      <c r="K232" s="1"/>
      <c r="L232" s="53" t="str">
        <f t="shared" si="3"/>
        <v/>
      </c>
      <c r="M232" s="54" t="str">
        <f t="shared" si="4"/>
        <v/>
      </c>
      <c r="N232" s="81" t="str">
        <f t="shared" si="7"/>
        <v/>
      </c>
      <c r="O232" s="56">
        <f t="shared" si="8"/>
        <v>0</v>
      </c>
      <c r="P232" s="56" t="str">
        <f t="shared" si="9"/>
        <v>#REF!</v>
      </c>
      <c r="Q232" s="65" t="str">
        <f t="shared" si="5"/>
        <v>#REF!</v>
      </c>
      <c r="R232" s="1"/>
    </row>
    <row r="233">
      <c r="A233" s="1"/>
      <c r="B233" s="41"/>
      <c r="C233" s="19"/>
      <c r="D233" s="77"/>
      <c r="E233" s="70" t="str">
        <f t="shared" si="49"/>
        <v/>
      </c>
      <c r="F233" s="1"/>
      <c r="G233" s="1"/>
      <c r="H233" s="1"/>
      <c r="I233" s="1"/>
      <c r="J233" s="1"/>
      <c r="K233" s="1"/>
      <c r="L233" s="53" t="str">
        <f t="shared" si="3"/>
        <v/>
      </c>
      <c r="M233" s="54" t="str">
        <f t="shared" si="4"/>
        <v/>
      </c>
      <c r="N233" s="81" t="str">
        <f t="shared" si="7"/>
        <v/>
      </c>
      <c r="O233" s="56">
        <f t="shared" si="8"/>
        <v>0</v>
      </c>
      <c r="P233" s="56" t="str">
        <f t="shared" si="9"/>
        <v>#REF!</v>
      </c>
      <c r="Q233" s="65" t="str">
        <f t="shared" si="5"/>
        <v>#REF!</v>
      </c>
      <c r="R233" s="1"/>
    </row>
    <row r="234">
      <c r="A234" s="1"/>
      <c r="B234" s="41"/>
      <c r="C234" s="19"/>
      <c r="D234" s="77"/>
      <c r="E234" s="70" t="str">
        <f t="shared" si="49"/>
        <v/>
      </c>
      <c r="F234" s="1"/>
      <c r="G234" s="1"/>
      <c r="H234" s="1"/>
      <c r="I234" s="1"/>
      <c r="J234" s="1"/>
      <c r="K234" s="1"/>
      <c r="L234" s="53" t="str">
        <f t="shared" si="3"/>
        <v/>
      </c>
      <c r="M234" s="54" t="str">
        <f t="shared" si="4"/>
        <v/>
      </c>
      <c r="N234" s="81" t="str">
        <f t="shared" si="7"/>
        <v/>
      </c>
      <c r="O234" s="56">
        <f t="shared" si="8"/>
        <v>0</v>
      </c>
      <c r="P234" s="56" t="str">
        <f t="shared" si="9"/>
        <v>#REF!</v>
      </c>
      <c r="Q234" s="65" t="str">
        <f t="shared" si="5"/>
        <v>#REF!</v>
      </c>
      <c r="R234" s="1"/>
    </row>
    <row r="235">
      <c r="A235" s="1"/>
      <c r="B235" s="41"/>
      <c r="C235" s="19"/>
      <c r="D235" s="77"/>
      <c r="E235" s="70" t="str">
        <f t="shared" si="49"/>
        <v/>
      </c>
      <c r="F235" s="1"/>
      <c r="G235" s="1"/>
      <c r="H235" s="1"/>
      <c r="I235" s="1"/>
      <c r="J235" s="1"/>
      <c r="K235" s="1"/>
      <c r="L235" s="53" t="str">
        <f t="shared" si="3"/>
        <v/>
      </c>
      <c r="M235" s="54" t="str">
        <f t="shared" si="4"/>
        <v/>
      </c>
      <c r="N235" s="81" t="str">
        <f t="shared" si="7"/>
        <v/>
      </c>
      <c r="O235" s="56">
        <f t="shared" si="8"/>
        <v>0</v>
      </c>
      <c r="P235" s="56" t="str">
        <f t="shared" si="9"/>
        <v>#REF!</v>
      </c>
      <c r="Q235" s="65" t="str">
        <f t="shared" si="5"/>
        <v>#REF!</v>
      </c>
      <c r="R235" s="1"/>
    </row>
    <row r="236">
      <c r="A236" s="1"/>
      <c r="B236" s="41"/>
      <c r="C236" s="19"/>
      <c r="D236" s="77"/>
      <c r="E236" s="70" t="str">
        <f t="shared" si="49"/>
        <v/>
      </c>
      <c r="F236" s="1"/>
      <c r="G236" s="1"/>
      <c r="H236" s="1"/>
      <c r="I236" s="1"/>
      <c r="J236" s="1"/>
      <c r="K236" s="1"/>
      <c r="L236" s="53" t="str">
        <f t="shared" si="3"/>
        <v/>
      </c>
      <c r="M236" s="54" t="str">
        <f t="shared" si="4"/>
        <v/>
      </c>
      <c r="N236" s="81" t="str">
        <f t="shared" si="7"/>
        <v/>
      </c>
      <c r="O236" s="56">
        <f t="shared" si="8"/>
        <v>0</v>
      </c>
      <c r="P236" s="56" t="str">
        <f t="shared" si="9"/>
        <v>#REF!</v>
      </c>
      <c r="Q236" s="65" t="str">
        <f t="shared" si="5"/>
        <v>#REF!</v>
      </c>
      <c r="R236" s="1"/>
    </row>
    <row r="237">
      <c r="A237" s="1"/>
      <c r="B237" s="41"/>
      <c r="C237" s="19"/>
      <c r="D237" s="77"/>
      <c r="E237" s="70" t="str">
        <f t="shared" si="49"/>
        <v/>
      </c>
      <c r="F237" s="1"/>
      <c r="G237" s="1"/>
      <c r="H237" s="1"/>
      <c r="I237" s="1"/>
      <c r="J237" s="1"/>
      <c r="K237" s="1"/>
      <c r="L237" s="53" t="str">
        <f t="shared" si="3"/>
        <v/>
      </c>
      <c r="M237" s="54" t="str">
        <f t="shared" si="4"/>
        <v/>
      </c>
      <c r="N237" s="81" t="str">
        <f t="shared" si="7"/>
        <v/>
      </c>
      <c r="O237" s="56">
        <f t="shared" si="8"/>
        <v>0</v>
      </c>
      <c r="P237" s="56" t="str">
        <f t="shared" si="9"/>
        <v>#REF!</v>
      </c>
      <c r="Q237" s="65" t="str">
        <f t="shared" si="5"/>
        <v>#REF!</v>
      </c>
      <c r="R237" s="1"/>
    </row>
    <row r="238">
      <c r="A238" s="1"/>
      <c r="B238" s="41"/>
      <c r="C238" s="19"/>
      <c r="D238" s="77"/>
      <c r="E238" s="70" t="str">
        <f t="shared" si="49"/>
        <v/>
      </c>
      <c r="F238" s="1"/>
      <c r="G238" s="1"/>
      <c r="H238" s="1"/>
      <c r="I238" s="1"/>
      <c r="J238" s="1"/>
      <c r="K238" s="1"/>
      <c r="L238" s="53" t="str">
        <f t="shared" si="3"/>
        <v/>
      </c>
      <c r="M238" s="54" t="str">
        <f t="shared" si="4"/>
        <v/>
      </c>
      <c r="N238" s="81" t="str">
        <f t="shared" si="7"/>
        <v/>
      </c>
      <c r="O238" s="56">
        <f t="shared" si="8"/>
        <v>0</v>
      </c>
      <c r="P238" s="56" t="str">
        <f t="shared" si="9"/>
        <v>#REF!</v>
      </c>
      <c r="Q238" s="65" t="str">
        <f t="shared" si="5"/>
        <v>#REF!</v>
      </c>
      <c r="R238" s="1"/>
    </row>
    <row r="239">
      <c r="A239" s="1"/>
      <c r="B239" s="41"/>
      <c r="C239" s="19"/>
      <c r="D239" s="77"/>
      <c r="E239" s="70" t="str">
        <f t="shared" si="49"/>
        <v/>
      </c>
      <c r="F239" s="1"/>
      <c r="G239" s="1"/>
      <c r="H239" s="1"/>
      <c r="I239" s="1"/>
      <c r="J239" s="1"/>
      <c r="K239" s="1"/>
      <c r="L239" s="53" t="str">
        <f t="shared" si="3"/>
        <v/>
      </c>
      <c r="M239" s="54" t="str">
        <f t="shared" si="4"/>
        <v/>
      </c>
      <c r="N239" s="81" t="str">
        <f t="shared" si="7"/>
        <v/>
      </c>
      <c r="O239" s="56">
        <f t="shared" si="8"/>
        <v>0</v>
      </c>
      <c r="P239" s="56" t="str">
        <f t="shared" si="9"/>
        <v>#REF!</v>
      </c>
      <c r="Q239" s="65" t="str">
        <f t="shared" si="5"/>
        <v>#REF!</v>
      </c>
      <c r="R239" s="1"/>
    </row>
    <row r="240">
      <c r="A240" s="1"/>
      <c r="B240" s="41"/>
      <c r="C240" s="19"/>
      <c r="D240" s="77"/>
      <c r="E240" s="70" t="str">
        <f t="shared" si="49"/>
        <v/>
      </c>
      <c r="F240" s="1"/>
      <c r="G240" s="1"/>
      <c r="H240" s="1"/>
      <c r="I240" s="1"/>
      <c r="J240" s="1"/>
      <c r="K240" s="1"/>
      <c r="L240" s="53" t="str">
        <f t="shared" si="3"/>
        <v/>
      </c>
      <c r="M240" s="54" t="str">
        <f t="shared" si="4"/>
        <v/>
      </c>
      <c r="N240" s="81" t="str">
        <f t="shared" si="7"/>
        <v/>
      </c>
      <c r="O240" s="56">
        <f t="shared" si="8"/>
        <v>0</v>
      </c>
      <c r="P240" s="56" t="str">
        <f t="shared" si="9"/>
        <v>#REF!</v>
      </c>
      <c r="Q240" s="65" t="str">
        <f t="shared" si="5"/>
        <v>#REF!</v>
      </c>
      <c r="R240" s="1"/>
    </row>
    <row r="241">
      <c r="A241" s="1"/>
      <c r="B241" s="41"/>
      <c r="C241" s="19"/>
      <c r="D241" s="77"/>
      <c r="E241" s="70" t="str">
        <f t="shared" si="49"/>
        <v/>
      </c>
      <c r="F241" s="1"/>
      <c r="G241" s="1"/>
      <c r="H241" s="1"/>
      <c r="I241" s="1"/>
      <c r="J241" s="1"/>
      <c r="K241" s="1"/>
      <c r="L241" s="53" t="str">
        <f t="shared" si="3"/>
        <v/>
      </c>
      <c r="M241" s="54" t="str">
        <f t="shared" si="4"/>
        <v/>
      </c>
      <c r="N241" s="81" t="str">
        <f t="shared" si="7"/>
        <v/>
      </c>
      <c r="O241" s="56">
        <f t="shared" si="8"/>
        <v>0</v>
      </c>
      <c r="P241" s="56" t="str">
        <f t="shared" si="9"/>
        <v>#REF!</v>
      </c>
      <c r="Q241" s="65" t="str">
        <f t="shared" si="5"/>
        <v>#REF!</v>
      </c>
      <c r="R241" s="1"/>
    </row>
    <row r="242">
      <c r="A242" s="1"/>
      <c r="B242" s="41"/>
      <c r="C242" s="19"/>
      <c r="D242" s="77"/>
      <c r="E242" s="70" t="str">
        <f t="shared" si="49"/>
        <v/>
      </c>
      <c r="F242" s="1"/>
      <c r="G242" s="1"/>
      <c r="H242" s="1"/>
      <c r="I242" s="1"/>
      <c r="J242" s="1"/>
      <c r="K242" s="1"/>
      <c r="L242" s="53" t="str">
        <f t="shared" si="3"/>
        <v/>
      </c>
      <c r="M242" s="54" t="str">
        <f t="shared" si="4"/>
        <v/>
      </c>
      <c r="N242" s="81" t="str">
        <f t="shared" si="7"/>
        <v/>
      </c>
      <c r="O242" s="56">
        <f t="shared" si="8"/>
        <v>0</v>
      </c>
      <c r="P242" s="56" t="str">
        <f t="shared" si="9"/>
        <v>#REF!</v>
      </c>
      <c r="Q242" s="65" t="str">
        <f t="shared" si="5"/>
        <v>#REF!</v>
      </c>
      <c r="R242" s="1"/>
    </row>
    <row r="243">
      <c r="A243" s="1"/>
      <c r="B243" s="41"/>
      <c r="C243" s="19"/>
      <c r="D243" s="77"/>
      <c r="E243" s="70" t="str">
        <f t="shared" si="49"/>
        <v/>
      </c>
      <c r="F243" s="1"/>
      <c r="G243" s="1"/>
      <c r="H243" s="1"/>
      <c r="I243" s="1"/>
      <c r="J243" s="1"/>
      <c r="K243" s="1"/>
      <c r="L243" s="53" t="str">
        <f t="shared" si="3"/>
        <v/>
      </c>
      <c r="M243" s="54" t="str">
        <f t="shared" si="4"/>
        <v/>
      </c>
      <c r="N243" s="81" t="str">
        <f t="shared" si="7"/>
        <v/>
      </c>
      <c r="O243" s="56">
        <f t="shared" si="8"/>
        <v>0</v>
      </c>
      <c r="P243" s="56" t="str">
        <f t="shared" si="9"/>
        <v>#REF!</v>
      </c>
      <c r="Q243" s="65" t="str">
        <f t="shared" si="5"/>
        <v>#REF!</v>
      </c>
      <c r="R243" s="1"/>
    </row>
    <row r="244">
      <c r="A244" s="1"/>
      <c r="B244" s="41"/>
      <c r="C244" s="19"/>
      <c r="D244" s="77"/>
      <c r="E244" s="70" t="str">
        <f t="shared" si="49"/>
        <v/>
      </c>
      <c r="F244" s="1"/>
      <c r="G244" s="1"/>
      <c r="H244" s="1"/>
      <c r="I244" s="1"/>
      <c r="J244" s="1"/>
      <c r="K244" s="1"/>
      <c r="L244" s="53" t="str">
        <f t="shared" si="3"/>
        <v/>
      </c>
      <c r="M244" s="54" t="str">
        <f t="shared" si="4"/>
        <v/>
      </c>
      <c r="N244" s="81" t="str">
        <f t="shared" si="7"/>
        <v/>
      </c>
      <c r="O244" s="56">
        <f t="shared" si="8"/>
        <v>0</v>
      </c>
      <c r="P244" s="56" t="str">
        <f t="shared" si="9"/>
        <v>#REF!</v>
      </c>
      <c r="Q244" s="65" t="str">
        <f t="shared" si="5"/>
        <v>#REF!</v>
      </c>
      <c r="R244" s="1"/>
    </row>
    <row r="245">
      <c r="A245" s="1"/>
      <c r="B245" s="41"/>
      <c r="C245" s="19"/>
      <c r="D245" s="77"/>
      <c r="E245" s="70" t="str">
        <f t="shared" si="49"/>
        <v/>
      </c>
      <c r="F245" s="1"/>
      <c r="G245" s="1"/>
      <c r="H245" s="1"/>
      <c r="I245" s="1"/>
      <c r="J245" s="1"/>
      <c r="K245" s="1"/>
      <c r="L245" s="53" t="str">
        <f t="shared" si="3"/>
        <v/>
      </c>
      <c r="M245" s="54" t="str">
        <f t="shared" si="4"/>
        <v/>
      </c>
      <c r="N245" s="81" t="str">
        <f t="shared" si="7"/>
        <v/>
      </c>
      <c r="O245" s="56">
        <f t="shared" si="8"/>
        <v>0</v>
      </c>
      <c r="P245" s="56" t="str">
        <f t="shared" si="9"/>
        <v>#REF!</v>
      </c>
      <c r="Q245" s="65" t="str">
        <f t="shared" si="5"/>
        <v>#REF!</v>
      </c>
      <c r="R245" s="1"/>
    </row>
    <row r="246">
      <c r="A246" s="1"/>
      <c r="B246" s="41"/>
      <c r="C246" s="19"/>
      <c r="D246" s="77"/>
      <c r="E246" s="70" t="str">
        <f t="shared" si="49"/>
        <v/>
      </c>
      <c r="F246" s="1"/>
      <c r="G246" s="1"/>
      <c r="H246" s="1"/>
      <c r="I246" s="1"/>
      <c r="J246" s="1"/>
      <c r="K246" s="1"/>
      <c r="L246" s="53" t="str">
        <f t="shared" si="3"/>
        <v/>
      </c>
      <c r="M246" s="54" t="str">
        <f t="shared" si="4"/>
        <v/>
      </c>
      <c r="N246" s="81" t="str">
        <f t="shared" si="7"/>
        <v/>
      </c>
      <c r="O246" s="56">
        <f t="shared" si="8"/>
        <v>0</v>
      </c>
      <c r="P246" s="56" t="str">
        <f t="shared" si="9"/>
        <v>#REF!</v>
      </c>
      <c r="Q246" s="65" t="str">
        <f t="shared" si="5"/>
        <v>#REF!</v>
      </c>
      <c r="R246" s="1"/>
    </row>
    <row r="247">
      <c r="A247" s="1"/>
      <c r="B247" s="41"/>
      <c r="C247" s="19"/>
      <c r="D247" s="77"/>
      <c r="E247" s="70" t="str">
        <f t="shared" si="49"/>
        <v/>
      </c>
      <c r="F247" s="1"/>
      <c r="G247" s="1"/>
      <c r="H247" s="1"/>
      <c r="I247" s="1"/>
      <c r="J247" s="1"/>
      <c r="K247" s="1"/>
      <c r="L247" s="53" t="str">
        <f t="shared" si="3"/>
        <v/>
      </c>
      <c r="M247" s="54" t="str">
        <f t="shared" si="4"/>
        <v/>
      </c>
      <c r="N247" s="81" t="str">
        <f t="shared" si="7"/>
        <v/>
      </c>
      <c r="O247" s="56">
        <f t="shared" si="8"/>
        <v>0</v>
      </c>
      <c r="P247" s="56" t="str">
        <f t="shared" si="9"/>
        <v>#REF!</v>
      </c>
      <c r="Q247" s="65" t="str">
        <f t="shared" si="5"/>
        <v>#REF!</v>
      </c>
      <c r="R247" s="1"/>
    </row>
    <row r="248">
      <c r="A248" s="1"/>
      <c r="B248" s="41"/>
      <c r="C248" s="19"/>
      <c r="D248" s="77"/>
      <c r="E248" s="70" t="str">
        <f t="shared" si="49"/>
        <v/>
      </c>
      <c r="F248" s="1"/>
      <c r="G248" s="1"/>
      <c r="H248" s="1"/>
      <c r="I248" s="1"/>
      <c r="J248" s="1"/>
      <c r="K248" s="1"/>
      <c r="L248" s="53" t="str">
        <f t="shared" si="3"/>
        <v/>
      </c>
      <c r="M248" s="54" t="str">
        <f t="shared" si="4"/>
        <v/>
      </c>
      <c r="N248" s="81" t="str">
        <f t="shared" si="7"/>
        <v/>
      </c>
      <c r="O248" s="56">
        <f t="shared" si="8"/>
        <v>0</v>
      </c>
      <c r="P248" s="56" t="str">
        <f t="shared" si="9"/>
        <v>#REF!</v>
      </c>
      <c r="Q248" s="65" t="str">
        <f t="shared" si="5"/>
        <v>#REF!</v>
      </c>
      <c r="R248" s="1"/>
    </row>
    <row r="249">
      <c r="A249" s="1"/>
      <c r="B249" s="41"/>
      <c r="C249" s="19"/>
      <c r="D249" s="77"/>
      <c r="E249" s="70" t="str">
        <f t="shared" si="49"/>
        <v/>
      </c>
      <c r="F249" s="1"/>
      <c r="G249" s="1"/>
      <c r="H249" s="1"/>
      <c r="I249" s="1"/>
      <c r="J249" s="1"/>
      <c r="K249" s="1"/>
      <c r="L249" s="53" t="str">
        <f t="shared" si="3"/>
        <v/>
      </c>
      <c r="M249" s="54" t="str">
        <f t="shared" si="4"/>
        <v/>
      </c>
      <c r="N249" s="81" t="str">
        <f t="shared" si="7"/>
        <v/>
      </c>
      <c r="O249" s="56">
        <f t="shared" si="8"/>
        <v>0</v>
      </c>
      <c r="P249" s="56" t="str">
        <f t="shared" si="9"/>
        <v>#REF!</v>
      </c>
      <c r="Q249" s="65" t="str">
        <f t="shared" si="5"/>
        <v>#REF!</v>
      </c>
      <c r="R249" s="1"/>
    </row>
    <row r="250">
      <c r="A250" s="1"/>
      <c r="B250" s="41"/>
      <c r="C250" s="19"/>
      <c r="D250" s="77"/>
      <c r="E250" s="70" t="str">
        <f t="shared" si="49"/>
        <v/>
      </c>
      <c r="F250" s="1"/>
      <c r="G250" s="1"/>
      <c r="H250" s="1"/>
      <c r="I250" s="1"/>
      <c r="J250" s="1"/>
      <c r="K250" s="1"/>
      <c r="L250" s="53" t="str">
        <f t="shared" si="3"/>
        <v/>
      </c>
      <c r="M250" s="54" t="str">
        <f t="shared" si="4"/>
        <v/>
      </c>
      <c r="N250" s="81" t="str">
        <f t="shared" si="7"/>
        <v/>
      </c>
      <c r="O250" s="56">
        <f t="shared" si="8"/>
        <v>0</v>
      </c>
      <c r="P250" s="56" t="str">
        <f t="shared" si="9"/>
        <v>#REF!</v>
      </c>
      <c r="Q250" s="65" t="str">
        <f t="shared" si="5"/>
        <v>#REF!</v>
      </c>
      <c r="R250" s="1"/>
    </row>
    <row r="251">
      <c r="A251" s="1"/>
      <c r="B251" s="41"/>
      <c r="C251" s="19"/>
      <c r="D251" s="77"/>
      <c r="E251" s="70" t="str">
        <f t="shared" si="49"/>
        <v/>
      </c>
      <c r="F251" s="1"/>
      <c r="G251" s="1"/>
      <c r="H251" s="1"/>
      <c r="I251" s="1"/>
      <c r="J251" s="1"/>
      <c r="K251" s="1"/>
      <c r="L251" s="53" t="str">
        <f t="shared" si="3"/>
        <v/>
      </c>
      <c r="M251" s="54" t="str">
        <f t="shared" si="4"/>
        <v/>
      </c>
      <c r="N251" s="81" t="str">
        <f t="shared" si="7"/>
        <v/>
      </c>
      <c r="O251" s="56">
        <f t="shared" si="8"/>
        <v>0</v>
      </c>
      <c r="P251" s="56" t="str">
        <f t="shared" si="9"/>
        <v>#REF!</v>
      </c>
      <c r="Q251" s="65" t="str">
        <f t="shared" si="5"/>
        <v>#REF!</v>
      </c>
      <c r="R251" s="1"/>
    </row>
    <row r="252">
      <c r="A252" s="1"/>
      <c r="B252" s="41"/>
      <c r="C252" s="19"/>
      <c r="D252" s="77"/>
      <c r="E252" s="70" t="str">
        <f t="shared" si="49"/>
        <v/>
      </c>
      <c r="F252" s="1"/>
      <c r="G252" s="1"/>
      <c r="H252" s="1"/>
      <c r="I252" s="1"/>
      <c r="J252" s="1"/>
      <c r="K252" s="1"/>
      <c r="L252" s="53" t="str">
        <f t="shared" si="3"/>
        <v/>
      </c>
      <c r="M252" s="54" t="str">
        <f t="shared" si="4"/>
        <v/>
      </c>
      <c r="N252" s="81" t="str">
        <f t="shared" si="7"/>
        <v/>
      </c>
      <c r="O252" s="56">
        <f t="shared" si="8"/>
        <v>0</v>
      </c>
      <c r="P252" s="56" t="str">
        <f t="shared" si="9"/>
        <v>#REF!</v>
      </c>
      <c r="Q252" s="65" t="str">
        <f t="shared" si="5"/>
        <v>#REF!</v>
      </c>
      <c r="R252" s="1"/>
    </row>
    <row r="253">
      <c r="A253" s="1"/>
      <c r="B253" s="41"/>
      <c r="C253" s="19"/>
      <c r="D253" s="77"/>
      <c r="E253" s="70" t="str">
        <f t="shared" si="49"/>
        <v/>
      </c>
      <c r="F253" s="1"/>
      <c r="G253" s="1"/>
      <c r="H253" s="1"/>
      <c r="I253" s="1"/>
      <c r="J253" s="1"/>
      <c r="K253" s="1"/>
      <c r="L253" s="53" t="str">
        <f t="shared" si="3"/>
        <v/>
      </c>
      <c r="M253" s="54" t="str">
        <f t="shared" si="4"/>
        <v/>
      </c>
      <c r="N253" s="81" t="str">
        <f t="shared" si="7"/>
        <v/>
      </c>
      <c r="O253" s="56">
        <f t="shared" si="8"/>
        <v>0</v>
      </c>
      <c r="P253" s="56" t="str">
        <f t="shared" si="9"/>
        <v>#REF!</v>
      </c>
      <c r="Q253" s="65" t="str">
        <f t="shared" si="5"/>
        <v>#REF!</v>
      </c>
      <c r="R253" s="1"/>
    </row>
    <row r="254">
      <c r="A254" s="1"/>
      <c r="B254" s="41"/>
      <c r="C254" s="19"/>
      <c r="D254" s="77"/>
      <c r="E254" s="70" t="str">
        <f t="shared" si="49"/>
        <v/>
      </c>
      <c r="F254" s="1"/>
      <c r="G254" s="1"/>
      <c r="H254" s="1"/>
      <c r="I254" s="1"/>
      <c r="J254" s="1"/>
      <c r="K254" s="1"/>
      <c r="L254" s="53" t="str">
        <f t="shared" si="3"/>
        <v/>
      </c>
      <c r="M254" s="54" t="str">
        <f t="shared" si="4"/>
        <v/>
      </c>
      <c r="N254" s="81" t="str">
        <f t="shared" si="7"/>
        <v/>
      </c>
      <c r="O254" s="56">
        <f t="shared" si="8"/>
        <v>0</v>
      </c>
      <c r="P254" s="56" t="str">
        <f t="shared" si="9"/>
        <v>#REF!</v>
      </c>
      <c r="Q254" s="65" t="str">
        <f t="shared" si="5"/>
        <v>#REF!</v>
      </c>
      <c r="R254" s="1"/>
    </row>
    <row r="255">
      <c r="A255" s="1"/>
      <c r="B255" s="41"/>
      <c r="C255" s="19"/>
      <c r="D255" s="77"/>
      <c r="E255" s="70" t="str">
        <f t="shared" si="49"/>
        <v/>
      </c>
      <c r="F255" s="1"/>
      <c r="G255" s="1"/>
      <c r="H255" s="1"/>
      <c r="I255" s="1"/>
      <c r="J255" s="1"/>
      <c r="K255" s="1"/>
      <c r="L255" s="53" t="str">
        <f t="shared" si="3"/>
        <v/>
      </c>
      <c r="M255" s="54" t="str">
        <f t="shared" si="4"/>
        <v/>
      </c>
      <c r="N255" s="81" t="str">
        <f t="shared" si="7"/>
        <v/>
      </c>
      <c r="O255" s="56">
        <f t="shared" si="8"/>
        <v>0</v>
      </c>
      <c r="P255" s="56" t="str">
        <f t="shared" si="9"/>
        <v>#REF!</v>
      </c>
      <c r="Q255" s="65" t="str">
        <f t="shared" si="5"/>
        <v>#REF!</v>
      </c>
      <c r="R255" s="1"/>
    </row>
    <row r="256">
      <c r="A256" s="1"/>
      <c r="B256" s="41"/>
      <c r="C256" s="19"/>
      <c r="D256" s="77"/>
      <c r="E256" s="70" t="str">
        <f t="shared" si="49"/>
        <v/>
      </c>
      <c r="F256" s="1"/>
      <c r="G256" s="1"/>
      <c r="H256" s="1"/>
      <c r="I256" s="1"/>
      <c r="J256" s="1"/>
      <c r="K256" s="1"/>
      <c r="L256" s="53" t="str">
        <f t="shared" si="3"/>
        <v/>
      </c>
      <c r="M256" s="54" t="str">
        <f t="shared" si="4"/>
        <v/>
      </c>
      <c r="N256" s="81" t="str">
        <f t="shared" si="7"/>
        <v/>
      </c>
      <c r="O256" s="56">
        <f t="shared" si="8"/>
        <v>0</v>
      </c>
      <c r="P256" s="56" t="str">
        <f t="shared" si="9"/>
        <v>#REF!</v>
      </c>
      <c r="Q256" s="65" t="str">
        <f t="shared" si="5"/>
        <v>#REF!</v>
      </c>
      <c r="R256" s="1"/>
    </row>
    <row r="257">
      <c r="A257" s="1"/>
      <c r="B257" s="41"/>
      <c r="C257" s="19"/>
      <c r="D257" s="77"/>
      <c r="E257" s="70" t="str">
        <f t="shared" si="49"/>
        <v/>
      </c>
      <c r="F257" s="1"/>
      <c r="G257" s="1"/>
      <c r="H257" s="1"/>
      <c r="I257" s="1"/>
      <c r="J257" s="1"/>
      <c r="K257" s="1"/>
      <c r="L257" s="53" t="str">
        <f t="shared" si="3"/>
        <v/>
      </c>
      <c r="M257" s="54" t="str">
        <f t="shared" si="4"/>
        <v/>
      </c>
      <c r="N257" s="81" t="str">
        <f t="shared" si="7"/>
        <v/>
      </c>
      <c r="O257" s="56">
        <f t="shared" si="8"/>
        <v>0</v>
      </c>
      <c r="P257" s="56" t="str">
        <f t="shared" si="9"/>
        <v>#REF!</v>
      </c>
      <c r="Q257" s="65" t="str">
        <f t="shared" si="5"/>
        <v>#REF!</v>
      </c>
      <c r="R257" s="1"/>
    </row>
    <row r="258">
      <c r="A258" s="1"/>
      <c r="B258" s="41"/>
      <c r="C258" s="19"/>
      <c r="D258" s="77"/>
      <c r="E258" s="70" t="str">
        <f t="shared" si="49"/>
        <v/>
      </c>
      <c r="F258" s="1"/>
      <c r="G258" s="1"/>
      <c r="H258" s="1"/>
      <c r="I258" s="1"/>
      <c r="J258" s="1"/>
      <c r="K258" s="1"/>
      <c r="L258" s="53" t="str">
        <f t="shared" si="3"/>
        <v/>
      </c>
      <c r="M258" s="54" t="str">
        <f t="shared" si="4"/>
        <v/>
      </c>
      <c r="N258" s="81" t="str">
        <f t="shared" si="7"/>
        <v/>
      </c>
      <c r="O258" s="56">
        <f t="shared" si="8"/>
        <v>0</v>
      </c>
      <c r="P258" s="56" t="str">
        <f t="shared" si="9"/>
        <v>#REF!</v>
      </c>
      <c r="Q258" s="65" t="str">
        <f t="shared" si="5"/>
        <v>#REF!</v>
      </c>
      <c r="R258" s="1"/>
    </row>
    <row r="259">
      <c r="A259" s="1"/>
      <c r="B259" s="41"/>
      <c r="C259" s="19"/>
      <c r="D259" s="77"/>
      <c r="E259" s="70" t="str">
        <f t="shared" si="49"/>
        <v/>
      </c>
      <c r="F259" s="1"/>
      <c r="G259" s="1"/>
      <c r="H259" s="1"/>
      <c r="I259" s="1"/>
      <c r="J259" s="1"/>
      <c r="K259" s="1"/>
      <c r="L259" s="53" t="str">
        <f t="shared" si="3"/>
        <v/>
      </c>
      <c r="M259" s="54" t="str">
        <f t="shared" si="4"/>
        <v/>
      </c>
      <c r="N259" s="81" t="str">
        <f t="shared" si="7"/>
        <v/>
      </c>
      <c r="O259" s="56">
        <f t="shared" si="8"/>
        <v>0</v>
      </c>
      <c r="P259" s="56" t="str">
        <f t="shared" si="9"/>
        <v>#REF!</v>
      </c>
      <c r="Q259" s="65" t="str">
        <f t="shared" si="5"/>
        <v>#REF!</v>
      </c>
      <c r="R259" s="1"/>
    </row>
    <row r="260">
      <c r="A260" s="1"/>
      <c r="B260" s="41"/>
      <c r="C260" s="19"/>
      <c r="D260" s="77"/>
      <c r="E260" s="70" t="str">
        <f t="shared" si="49"/>
        <v/>
      </c>
      <c r="F260" s="1"/>
      <c r="G260" s="1"/>
      <c r="H260" s="1"/>
      <c r="I260" s="1"/>
      <c r="J260" s="1"/>
      <c r="K260" s="1"/>
      <c r="L260" s="53" t="str">
        <f t="shared" si="3"/>
        <v/>
      </c>
      <c r="M260" s="54" t="str">
        <f t="shared" si="4"/>
        <v/>
      </c>
      <c r="N260" s="81" t="str">
        <f t="shared" si="7"/>
        <v/>
      </c>
      <c r="O260" s="56">
        <f t="shared" si="8"/>
        <v>0</v>
      </c>
      <c r="P260" s="56" t="str">
        <f t="shared" si="9"/>
        <v>#REF!</v>
      </c>
      <c r="Q260" s="65" t="str">
        <f t="shared" si="5"/>
        <v>#REF!</v>
      </c>
      <c r="R260" s="1"/>
    </row>
    <row r="261">
      <c r="A261" s="1"/>
      <c r="B261" s="41"/>
      <c r="C261" s="19"/>
      <c r="D261" s="77"/>
      <c r="E261" s="70" t="str">
        <f t="shared" si="49"/>
        <v/>
      </c>
      <c r="F261" s="1"/>
      <c r="G261" s="1"/>
      <c r="H261" s="1"/>
      <c r="I261" s="1"/>
      <c r="J261" s="1"/>
      <c r="K261" s="1"/>
      <c r="L261" s="53" t="str">
        <f t="shared" si="3"/>
        <v/>
      </c>
      <c r="M261" s="54" t="str">
        <f t="shared" si="4"/>
        <v/>
      </c>
      <c r="N261" s="81" t="str">
        <f t="shared" si="7"/>
        <v/>
      </c>
      <c r="O261" s="56">
        <f t="shared" si="8"/>
        <v>0</v>
      </c>
      <c r="P261" s="56" t="str">
        <f t="shared" si="9"/>
        <v>#REF!</v>
      </c>
      <c r="Q261" s="65" t="str">
        <f t="shared" si="5"/>
        <v>#REF!</v>
      </c>
      <c r="R261" s="1"/>
    </row>
    <row r="262">
      <c r="A262" s="1"/>
      <c r="B262" s="41"/>
      <c r="C262" s="19"/>
      <c r="D262" s="77"/>
      <c r="E262" s="70" t="str">
        <f t="shared" si="49"/>
        <v/>
      </c>
      <c r="F262" s="1"/>
      <c r="G262" s="1"/>
      <c r="H262" s="1"/>
      <c r="I262" s="1"/>
      <c r="J262" s="1"/>
      <c r="K262" s="1"/>
      <c r="L262" s="53" t="str">
        <f t="shared" si="3"/>
        <v/>
      </c>
      <c r="M262" s="54" t="str">
        <f t="shared" si="4"/>
        <v/>
      </c>
      <c r="N262" s="81" t="str">
        <f t="shared" si="7"/>
        <v/>
      </c>
      <c r="O262" s="56">
        <f t="shared" si="8"/>
        <v>0</v>
      </c>
      <c r="P262" s="56" t="str">
        <f t="shared" si="9"/>
        <v>#REF!</v>
      </c>
      <c r="Q262" s="65" t="str">
        <f t="shared" si="5"/>
        <v>#REF!</v>
      </c>
      <c r="R262" s="1"/>
    </row>
    <row r="263">
      <c r="A263" s="1"/>
      <c r="B263" s="1"/>
      <c r="C263" s="51"/>
      <c r="D263" s="50"/>
      <c r="E263" s="70" t="str">
        <f t="shared" si="49"/>
        <v/>
      </c>
      <c r="F263" s="1"/>
      <c r="G263" s="1"/>
      <c r="H263" s="1"/>
      <c r="I263" s="1"/>
      <c r="J263" s="1"/>
      <c r="K263" s="1"/>
      <c r="L263" s="53" t="str">
        <f t="shared" si="3"/>
        <v/>
      </c>
      <c r="M263" s="54" t="str">
        <f t="shared" si="4"/>
        <v/>
      </c>
      <c r="N263" s="81" t="str">
        <f t="shared" si="7"/>
        <v/>
      </c>
      <c r="O263" s="56">
        <f t="shared" si="8"/>
        <v>0</v>
      </c>
      <c r="P263" s="56" t="str">
        <f t="shared" si="9"/>
        <v>#REF!</v>
      </c>
      <c r="Q263" s="65" t="str">
        <f t="shared" si="5"/>
        <v>#REF!</v>
      </c>
      <c r="R263" s="1"/>
    </row>
    <row r="264">
      <c r="A264" s="1"/>
      <c r="B264" s="1"/>
      <c r="C264" s="51"/>
      <c r="D264" s="50"/>
      <c r="E264" s="70" t="str">
        <f t="shared" si="49"/>
        <v/>
      </c>
      <c r="F264" s="1"/>
      <c r="G264" s="1"/>
      <c r="H264" s="1"/>
      <c r="I264" s="1"/>
      <c r="J264" s="1"/>
      <c r="K264" s="1"/>
      <c r="L264" s="53" t="str">
        <f t="shared" si="3"/>
        <v/>
      </c>
      <c r="M264" s="54" t="str">
        <f t="shared" si="4"/>
        <v/>
      </c>
      <c r="N264" s="81" t="str">
        <f t="shared" si="7"/>
        <v/>
      </c>
      <c r="O264" s="56">
        <f t="shared" si="8"/>
        <v>0</v>
      </c>
      <c r="P264" s="56" t="str">
        <f t="shared" si="9"/>
        <v>#REF!</v>
      </c>
      <c r="Q264" s="65" t="str">
        <f t="shared" si="5"/>
        <v>#REF!</v>
      </c>
      <c r="R264" s="1"/>
    </row>
    <row r="265">
      <c r="A265" s="1"/>
      <c r="B265" s="1"/>
      <c r="C265" s="51"/>
      <c r="D265" s="50"/>
      <c r="E265" s="70" t="str">
        <f t="shared" si="49"/>
        <v/>
      </c>
      <c r="F265" s="1"/>
      <c r="G265" s="1"/>
      <c r="H265" s="1"/>
      <c r="I265" s="1"/>
      <c r="J265" s="1"/>
      <c r="K265" s="1"/>
      <c r="L265" s="53" t="str">
        <f t="shared" si="3"/>
        <v/>
      </c>
      <c r="M265" s="54" t="str">
        <f t="shared" si="4"/>
        <v/>
      </c>
      <c r="N265" s="81" t="str">
        <f t="shared" si="7"/>
        <v/>
      </c>
      <c r="O265" s="56">
        <f t="shared" si="8"/>
        <v>0</v>
      </c>
      <c r="P265" s="56" t="str">
        <f t="shared" si="9"/>
        <v>#REF!</v>
      </c>
      <c r="Q265" s="65" t="str">
        <f t="shared" si="5"/>
        <v>#REF!</v>
      </c>
      <c r="R265" s="1"/>
    </row>
    <row r="266">
      <c r="A266" s="1"/>
      <c r="B266" s="1"/>
      <c r="C266" s="51"/>
      <c r="D266" s="50"/>
      <c r="E266" s="70" t="str">
        <f t="shared" si="49"/>
        <v/>
      </c>
      <c r="F266" s="1"/>
      <c r="G266" s="1"/>
      <c r="H266" s="1"/>
      <c r="I266" s="1"/>
      <c r="J266" s="1"/>
      <c r="K266" s="1"/>
      <c r="L266" s="53" t="str">
        <f t="shared" si="3"/>
        <v/>
      </c>
      <c r="M266" s="54" t="str">
        <f t="shared" si="4"/>
        <v/>
      </c>
      <c r="N266" s="81" t="str">
        <f t="shared" si="7"/>
        <v/>
      </c>
      <c r="O266" s="56">
        <f t="shared" si="8"/>
        <v>0</v>
      </c>
      <c r="P266" s="56" t="str">
        <f t="shared" si="9"/>
        <v>#REF!</v>
      </c>
      <c r="Q266" s="65" t="str">
        <f t="shared" si="5"/>
        <v>#REF!</v>
      </c>
      <c r="R266" s="1"/>
    </row>
    <row r="267">
      <c r="A267" s="1"/>
      <c r="B267" s="1"/>
      <c r="C267" s="71"/>
      <c r="D267" s="50"/>
      <c r="E267" s="70" t="str">
        <f t="shared" si="49"/>
        <v/>
      </c>
      <c r="F267" s="1"/>
      <c r="G267" s="1"/>
      <c r="H267" s="1"/>
      <c r="I267" s="1"/>
      <c r="J267" s="1"/>
      <c r="K267" s="1"/>
      <c r="L267" s="53" t="str">
        <f t="shared" si="3"/>
        <v/>
      </c>
      <c r="M267" s="54" t="str">
        <f t="shared" si="4"/>
        <v/>
      </c>
      <c r="N267" s="81" t="str">
        <f t="shared" si="7"/>
        <v/>
      </c>
      <c r="O267" s="56">
        <f t="shared" si="8"/>
        <v>0</v>
      </c>
      <c r="P267" s="56" t="str">
        <f t="shared" si="9"/>
        <v>#REF!</v>
      </c>
      <c r="Q267" s="65" t="str">
        <f t="shared" si="5"/>
        <v>#REF!</v>
      </c>
      <c r="R267" s="1"/>
    </row>
    <row r="268">
      <c r="A268" s="1"/>
      <c r="B268" s="1"/>
      <c r="C268" s="51"/>
      <c r="D268" s="50"/>
      <c r="E268" s="70" t="str">
        <f t="shared" si="49"/>
        <v/>
      </c>
      <c r="F268" s="1"/>
      <c r="G268" s="1"/>
      <c r="H268" s="1"/>
      <c r="I268" s="1"/>
      <c r="J268" s="1"/>
      <c r="K268" s="1"/>
      <c r="L268" s="53" t="str">
        <f t="shared" si="3"/>
        <v/>
      </c>
      <c r="M268" s="54" t="str">
        <f t="shared" si="4"/>
        <v/>
      </c>
      <c r="N268" s="81" t="str">
        <f t="shared" si="7"/>
        <v/>
      </c>
      <c r="O268" s="56">
        <f t="shared" si="8"/>
        <v>0</v>
      </c>
      <c r="P268" s="56" t="str">
        <f t="shared" si="9"/>
        <v>#REF!</v>
      </c>
      <c r="Q268" s="65" t="str">
        <f t="shared" si="5"/>
        <v>#REF!</v>
      </c>
      <c r="R268" s="1"/>
    </row>
    <row r="269">
      <c r="A269" s="1"/>
      <c r="B269" s="1"/>
      <c r="C269" s="51"/>
      <c r="D269" s="50"/>
      <c r="E269" s="70" t="str">
        <f t="shared" si="49"/>
        <v/>
      </c>
      <c r="F269" s="1"/>
      <c r="G269" s="1"/>
      <c r="H269" s="1"/>
      <c r="I269" s="1"/>
      <c r="J269" s="1"/>
      <c r="K269" s="1"/>
      <c r="L269" s="53" t="str">
        <f t="shared" si="3"/>
        <v/>
      </c>
      <c r="M269" s="54" t="str">
        <f t="shared" si="4"/>
        <v/>
      </c>
      <c r="N269" s="81" t="str">
        <f t="shared" si="7"/>
        <v/>
      </c>
      <c r="O269" s="56">
        <f t="shared" si="8"/>
        <v>0</v>
      </c>
      <c r="P269" s="56" t="str">
        <f t="shared" si="9"/>
        <v>#REF!</v>
      </c>
      <c r="Q269" s="65" t="str">
        <f t="shared" si="5"/>
        <v>#REF!</v>
      </c>
      <c r="R269" s="1"/>
    </row>
    <row r="270">
      <c r="A270" s="1"/>
      <c r="B270" s="1"/>
      <c r="C270" s="51"/>
      <c r="D270" s="50"/>
      <c r="E270" s="70" t="str">
        <f t="shared" si="49"/>
        <v/>
      </c>
      <c r="F270" s="1"/>
      <c r="G270" s="1"/>
      <c r="H270" s="1"/>
      <c r="I270" s="1"/>
      <c r="J270" s="1"/>
      <c r="K270" s="1"/>
      <c r="L270" s="53" t="str">
        <f t="shared" si="3"/>
        <v/>
      </c>
      <c r="M270" s="54" t="str">
        <f t="shared" si="4"/>
        <v/>
      </c>
      <c r="N270" s="81" t="str">
        <f t="shared" si="7"/>
        <v/>
      </c>
      <c r="O270" s="56">
        <f t="shared" si="8"/>
        <v>0</v>
      </c>
      <c r="P270" s="56" t="str">
        <f t="shared" si="9"/>
        <v>#REF!</v>
      </c>
      <c r="Q270" s="65" t="str">
        <f t="shared" si="5"/>
        <v>#REF!</v>
      </c>
      <c r="R270" s="1"/>
    </row>
    <row r="271">
      <c r="A271" s="1"/>
      <c r="B271" s="1"/>
      <c r="C271" s="71"/>
      <c r="D271" s="50"/>
      <c r="E271" s="70" t="str">
        <f t="shared" si="49"/>
        <v/>
      </c>
      <c r="F271" s="1"/>
      <c r="G271" s="1"/>
      <c r="H271" s="1"/>
      <c r="I271" s="1"/>
      <c r="J271" s="1"/>
      <c r="K271" s="1"/>
      <c r="L271" s="53" t="str">
        <f t="shared" si="3"/>
        <v/>
      </c>
      <c r="M271" s="54" t="str">
        <f t="shared" si="4"/>
        <v/>
      </c>
      <c r="N271" s="81" t="str">
        <f t="shared" si="7"/>
        <v/>
      </c>
      <c r="O271" s="56">
        <f t="shared" si="8"/>
        <v>0</v>
      </c>
      <c r="P271" s="56" t="str">
        <f t="shared" si="9"/>
        <v>#REF!</v>
      </c>
      <c r="Q271" s="65" t="str">
        <f t="shared" si="5"/>
        <v>#REF!</v>
      </c>
      <c r="R271" s="1"/>
    </row>
    <row r="272">
      <c r="A272" s="1"/>
      <c r="B272" s="1"/>
      <c r="C272" s="51"/>
      <c r="D272" s="50"/>
      <c r="E272" s="70" t="str">
        <f t="shared" si="49"/>
        <v/>
      </c>
      <c r="F272" s="1"/>
      <c r="G272" s="1"/>
      <c r="H272" s="1"/>
      <c r="I272" s="1"/>
      <c r="J272" s="1"/>
      <c r="K272" s="1"/>
      <c r="L272" s="53" t="str">
        <f t="shared" si="3"/>
        <v/>
      </c>
      <c r="M272" s="54" t="str">
        <f t="shared" si="4"/>
        <v/>
      </c>
      <c r="N272" s="81" t="str">
        <f t="shared" si="7"/>
        <v/>
      </c>
      <c r="O272" s="56">
        <f t="shared" si="8"/>
        <v>0</v>
      </c>
      <c r="P272" s="56" t="str">
        <f t="shared" si="9"/>
        <v>#REF!</v>
      </c>
      <c r="Q272" s="65" t="str">
        <f t="shared" si="5"/>
        <v>#REF!</v>
      </c>
      <c r="R272" s="1"/>
    </row>
    <row r="273">
      <c r="A273" s="1"/>
      <c r="B273" s="1"/>
      <c r="C273" s="51"/>
      <c r="D273" s="50"/>
      <c r="E273" s="70" t="str">
        <f t="shared" si="49"/>
        <v/>
      </c>
      <c r="F273" s="1"/>
      <c r="G273" s="1"/>
      <c r="H273" s="1"/>
      <c r="I273" s="1"/>
      <c r="J273" s="1"/>
      <c r="K273" s="1"/>
      <c r="L273" s="53" t="str">
        <f t="shared" si="3"/>
        <v/>
      </c>
      <c r="M273" s="54" t="str">
        <f t="shared" si="4"/>
        <v/>
      </c>
      <c r="N273" s="81" t="str">
        <f t="shared" si="7"/>
        <v/>
      </c>
      <c r="O273" s="56">
        <f t="shared" si="8"/>
        <v>0</v>
      </c>
      <c r="P273" s="56" t="str">
        <f t="shared" si="9"/>
        <v>#REF!</v>
      </c>
      <c r="Q273" s="65" t="str">
        <f t="shared" si="5"/>
        <v>#REF!</v>
      </c>
      <c r="R273" s="1"/>
    </row>
    <row r="274">
      <c r="A274" s="1"/>
      <c r="B274" s="1"/>
      <c r="C274" s="51"/>
      <c r="D274" s="50"/>
      <c r="E274" s="70" t="str">
        <f t="shared" si="49"/>
        <v/>
      </c>
      <c r="F274" s="1"/>
      <c r="G274" s="1"/>
      <c r="H274" s="1"/>
      <c r="I274" s="1"/>
      <c r="J274" s="1"/>
      <c r="K274" s="1"/>
      <c r="L274" s="53" t="str">
        <f t="shared" si="3"/>
        <v/>
      </c>
      <c r="M274" s="54" t="str">
        <f t="shared" si="4"/>
        <v/>
      </c>
      <c r="N274" s="81" t="str">
        <f t="shared" si="7"/>
        <v/>
      </c>
      <c r="O274" s="56">
        <f t="shared" si="8"/>
        <v>0</v>
      </c>
      <c r="P274" s="56" t="str">
        <f t="shared" si="9"/>
        <v>#REF!</v>
      </c>
      <c r="Q274" s="65" t="str">
        <f t="shared" si="5"/>
        <v>#REF!</v>
      </c>
      <c r="R274" s="1"/>
    </row>
    <row r="275">
      <c r="A275" s="1"/>
      <c r="B275" s="1"/>
      <c r="C275" s="51"/>
      <c r="D275" s="50"/>
      <c r="E275" s="70" t="str">
        <f t="shared" si="49"/>
        <v/>
      </c>
      <c r="F275" s="1"/>
      <c r="G275" s="1"/>
      <c r="H275" s="1"/>
      <c r="I275" s="1"/>
      <c r="J275" s="1"/>
      <c r="K275" s="1"/>
      <c r="L275" s="53" t="str">
        <f t="shared" si="3"/>
        <v/>
      </c>
      <c r="M275" s="54" t="str">
        <f t="shared" si="4"/>
        <v/>
      </c>
      <c r="N275" s="81" t="str">
        <f t="shared" si="7"/>
        <v/>
      </c>
      <c r="O275" s="56">
        <f t="shared" si="8"/>
        <v>0</v>
      </c>
      <c r="P275" s="56" t="str">
        <f t="shared" si="9"/>
        <v>#REF!</v>
      </c>
      <c r="Q275" s="65" t="str">
        <f t="shared" si="5"/>
        <v>#REF!</v>
      </c>
      <c r="R275" s="1"/>
    </row>
    <row r="276">
      <c r="A276" s="1"/>
      <c r="B276" s="1"/>
      <c r="C276" s="51"/>
      <c r="D276" s="50"/>
      <c r="E276" s="70" t="str">
        <f t="shared" si="49"/>
        <v/>
      </c>
      <c r="F276" s="1"/>
      <c r="G276" s="1"/>
      <c r="H276" s="1"/>
      <c r="I276" s="1"/>
      <c r="J276" s="1"/>
      <c r="K276" s="1"/>
      <c r="L276" s="53" t="str">
        <f t="shared" si="3"/>
        <v/>
      </c>
      <c r="M276" s="54" t="str">
        <f t="shared" si="4"/>
        <v/>
      </c>
      <c r="N276" s="81" t="str">
        <f t="shared" si="7"/>
        <v/>
      </c>
      <c r="O276" s="56">
        <f t="shared" si="8"/>
        <v>0</v>
      </c>
      <c r="P276" s="56" t="str">
        <f t="shared" si="9"/>
        <v>#REF!</v>
      </c>
      <c r="Q276" s="65" t="str">
        <f t="shared" si="5"/>
        <v>#REF!</v>
      </c>
      <c r="R276" s="1"/>
    </row>
    <row r="277">
      <c r="A277" s="1"/>
      <c r="B277" s="1"/>
      <c r="C277" s="51"/>
      <c r="D277" s="50"/>
      <c r="E277" s="70" t="str">
        <f t="shared" si="49"/>
        <v/>
      </c>
      <c r="F277" s="1"/>
      <c r="G277" s="1"/>
      <c r="H277" s="1"/>
      <c r="I277" s="1"/>
      <c r="J277" s="1"/>
      <c r="K277" s="1"/>
      <c r="L277" s="53" t="str">
        <f t="shared" si="3"/>
        <v/>
      </c>
      <c r="M277" s="54" t="str">
        <f t="shared" si="4"/>
        <v/>
      </c>
      <c r="N277" s="81" t="str">
        <f t="shared" si="7"/>
        <v/>
      </c>
      <c r="O277" s="56">
        <f t="shared" si="8"/>
        <v>0</v>
      </c>
      <c r="P277" s="56" t="str">
        <f t="shared" si="9"/>
        <v>#REF!</v>
      </c>
      <c r="Q277" s="65" t="str">
        <f t="shared" si="5"/>
        <v>#REF!</v>
      </c>
      <c r="R277" s="1"/>
    </row>
    <row r="278">
      <c r="A278" s="1"/>
      <c r="B278" s="1"/>
      <c r="C278" s="51"/>
      <c r="D278" s="50"/>
      <c r="E278" s="70" t="str">
        <f t="shared" si="49"/>
        <v/>
      </c>
      <c r="F278" s="1"/>
      <c r="G278" s="1"/>
      <c r="H278" s="1"/>
      <c r="I278" s="1"/>
      <c r="J278" s="1"/>
      <c r="K278" s="1"/>
      <c r="L278" s="53" t="str">
        <f t="shared" si="3"/>
        <v/>
      </c>
      <c r="M278" s="54" t="str">
        <f t="shared" si="4"/>
        <v/>
      </c>
      <c r="N278" s="81" t="str">
        <f t="shared" si="7"/>
        <v/>
      </c>
      <c r="O278" s="56">
        <f t="shared" si="8"/>
        <v>0</v>
      </c>
      <c r="P278" s="56" t="str">
        <f t="shared" si="9"/>
        <v>#REF!</v>
      </c>
      <c r="Q278" s="65" t="str">
        <f t="shared" si="5"/>
        <v>#REF!</v>
      </c>
      <c r="R278" s="1"/>
    </row>
    <row r="279">
      <c r="A279" s="1"/>
      <c r="B279" s="1"/>
      <c r="C279" s="51"/>
      <c r="D279" s="50"/>
      <c r="E279" s="70" t="str">
        <f t="shared" si="49"/>
        <v/>
      </c>
      <c r="F279" s="1"/>
      <c r="G279" s="1"/>
      <c r="H279" s="1"/>
      <c r="I279" s="1"/>
      <c r="J279" s="1"/>
      <c r="K279" s="1"/>
      <c r="L279" s="53" t="str">
        <f t="shared" si="3"/>
        <v/>
      </c>
      <c r="M279" s="54" t="str">
        <f t="shared" si="4"/>
        <v/>
      </c>
      <c r="N279" s="81" t="str">
        <f t="shared" si="7"/>
        <v/>
      </c>
      <c r="O279" s="56">
        <f t="shared" si="8"/>
        <v>0</v>
      </c>
      <c r="P279" s="56" t="str">
        <f t="shared" si="9"/>
        <v>#REF!</v>
      </c>
      <c r="Q279" s="65" t="str">
        <f t="shared" si="5"/>
        <v>#REF!</v>
      </c>
      <c r="R279" s="1"/>
    </row>
    <row r="280">
      <c r="A280" s="1"/>
      <c r="B280" s="1"/>
      <c r="C280" s="51"/>
      <c r="D280" s="50"/>
      <c r="E280" s="70" t="str">
        <f t="shared" si="49"/>
        <v/>
      </c>
      <c r="F280" s="1"/>
      <c r="G280" s="1"/>
      <c r="H280" s="1"/>
      <c r="I280" s="1"/>
      <c r="J280" s="1"/>
      <c r="K280" s="1"/>
      <c r="L280" s="53" t="str">
        <f t="shared" si="3"/>
        <v/>
      </c>
      <c r="M280" s="54" t="str">
        <f t="shared" si="4"/>
        <v/>
      </c>
      <c r="N280" s="81" t="str">
        <f t="shared" si="7"/>
        <v/>
      </c>
      <c r="O280" s="56">
        <f t="shared" si="8"/>
        <v>0</v>
      </c>
      <c r="P280" s="56" t="str">
        <f t="shared" si="9"/>
        <v>#REF!</v>
      </c>
      <c r="Q280" s="65" t="str">
        <f t="shared" si="5"/>
        <v>#REF!</v>
      </c>
      <c r="R280" s="1"/>
    </row>
    <row r="281">
      <c r="A281" s="1"/>
      <c r="B281" s="1"/>
      <c r="C281" s="51"/>
      <c r="D281" s="50"/>
      <c r="E281" s="70" t="str">
        <f t="shared" si="49"/>
        <v/>
      </c>
      <c r="F281" s="1"/>
      <c r="G281" s="1"/>
      <c r="H281" s="1"/>
      <c r="I281" s="1"/>
      <c r="J281" s="1"/>
      <c r="K281" s="1"/>
      <c r="L281" s="53" t="str">
        <f t="shared" si="3"/>
        <v/>
      </c>
      <c r="M281" s="54" t="str">
        <f t="shared" si="4"/>
        <v/>
      </c>
      <c r="N281" s="81" t="str">
        <f t="shared" si="7"/>
        <v/>
      </c>
      <c r="O281" s="56">
        <f t="shared" si="8"/>
        <v>0</v>
      </c>
      <c r="P281" s="56" t="str">
        <f t="shared" si="9"/>
        <v>#REF!</v>
      </c>
      <c r="Q281" s="65" t="str">
        <f t="shared" si="5"/>
        <v>#REF!</v>
      </c>
      <c r="R281" s="1"/>
    </row>
    <row r="282">
      <c r="A282" s="1"/>
      <c r="B282" s="1"/>
      <c r="C282" s="51"/>
      <c r="D282" s="50"/>
      <c r="E282" s="70" t="str">
        <f t="shared" si="49"/>
        <v/>
      </c>
      <c r="F282" s="1"/>
      <c r="G282" s="1"/>
      <c r="H282" s="1"/>
      <c r="I282" s="1"/>
      <c r="J282" s="1"/>
      <c r="K282" s="1"/>
      <c r="L282" s="53" t="str">
        <f t="shared" si="3"/>
        <v/>
      </c>
      <c r="M282" s="54" t="str">
        <f t="shared" si="4"/>
        <v/>
      </c>
      <c r="N282" s="81" t="str">
        <f t="shared" si="7"/>
        <v/>
      </c>
      <c r="O282" s="56">
        <f t="shared" si="8"/>
        <v>0</v>
      </c>
      <c r="P282" s="56" t="str">
        <f t="shared" si="9"/>
        <v>#REF!</v>
      </c>
      <c r="Q282" s="65" t="str">
        <f t="shared" si="5"/>
        <v>#REF!</v>
      </c>
      <c r="R282" s="1"/>
    </row>
    <row r="283">
      <c r="A283" s="1"/>
      <c r="B283" s="1"/>
      <c r="C283" s="51"/>
      <c r="D283" s="50"/>
      <c r="E283" s="70" t="str">
        <f t="shared" si="49"/>
        <v/>
      </c>
      <c r="F283" s="1"/>
      <c r="G283" s="1"/>
      <c r="H283" s="1"/>
      <c r="I283" s="1"/>
      <c r="J283" s="1"/>
      <c r="K283" s="1"/>
      <c r="L283" s="53" t="str">
        <f t="shared" si="3"/>
        <v/>
      </c>
      <c r="M283" s="54" t="str">
        <f t="shared" si="4"/>
        <v/>
      </c>
      <c r="N283" s="81" t="str">
        <f t="shared" si="7"/>
        <v/>
      </c>
      <c r="O283" s="56">
        <f t="shared" si="8"/>
        <v>0</v>
      </c>
      <c r="P283" s="56" t="str">
        <f t="shared" si="9"/>
        <v>#REF!</v>
      </c>
      <c r="Q283" s="65" t="str">
        <f t="shared" si="5"/>
        <v>#REF!</v>
      </c>
      <c r="R283" s="1"/>
    </row>
    <row r="284">
      <c r="A284" s="1"/>
      <c r="B284" s="1"/>
      <c r="C284" s="71"/>
      <c r="D284" s="50"/>
      <c r="E284" s="70" t="str">
        <f t="shared" si="49"/>
        <v/>
      </c>
      <c r="F284" s="1"/>
      <c r="G284" s="1"/>
      <c r="H284" s="1"/>
      <c r="I284" s="1"/>
      <c r="J284" s="1"/>
      <c r="K284" s="1"/>
      <c r="L284" s="53" t="str">
        <f t="shared" si="3"/>
        <v/>
      </c>
      <c r="M284" s="54" t="str">
        <f t="shared" si="4"/>
        <v/>
      </c>
      <c r="N284" s="81" t="str">
        <f t="shared" si="7"/>
        <v/>
      </c>
      <c r="O284" s="56">
        <f t="shared" si="8"/>
        <v>0</v>
      </c>
      <c r="P284" s="56" t="str">
        <f t="shared" si="9"/>
        <v>#REF!</v>
      </c>
      <c r="Q284" s="65" t="str">
        <f t="shared" si="5"/>
        <v>#REF!</v>
      </c>
      <c r="R284" s="1"/>
    </row>
    <row r="285">
      <c r="A285" s="1"/>
      <c r="B285" s="1"/>
      <c r="C285" s="1"/>
      <c r="D285" s="1"/>
      <c r="E285" s="70" t="str">
        <f t="shared" si="49"/>
        <v/>
      </c>
      <c r="F285" s="1"/>
      <c r="G285" s="1"/>
      <c r="H285" s="1"/>
      <c r="I285" s="1"/>
      <c r="J285" s="1"/>
      <c r="K285" s="1"/>
      <c r="L285" s="53" t="str">
        <f t="shared" si="3"/>
        <v/>
      </c>
      <c r="M285" s="54" t="str">
        <f t="shared" si="4"/>
        <v/>
      </c>
      <c r="N285" s="81" t="str">
        <f t="shared" si="7"/>
        <v/>
      </c>
      <c r="O285" s="56">
        <f t="shared" si="8"/>
        <v>0</v>
      </c>
      <c r="P285" s="56" t="str">
        <f t="shared" si="9"/>
        <v>#REF!</v>
      </c>
      <c r="Q285" s="65" t="str">
        <f t="shared" si="5"/>
        <v>#REF!</v>
      </c>
      <c r="R285" s="1"/>
    </row>
    <row r="286">
      <c r="A286" s="1"/>
      <c r="B286" s="1"/>
      <c r="C286" s="1"/>
      <c r="D286" s="1"/>
      <c r="E286" s="70" t="str">
        <f t="shared" si="49"/>
        <v/>
      </c>
      <c r="F286" s="1"/>
      <c r="G286" s="1"/>
      <c r="H286" s="1"/>
      <c r="I286" s="1"/>
      <c r="J286" s="1"/>
      <c r="K286" s="1"/>
      <c r="L286" s="53" t="str">
        <f t="shared" si="3"/>
        <v/>
      </c>
      <c r="M286" s="54" t="str">
        <f t="shared" si="4"/>
        <v/>
      </c>
      <c r="N286" s="81" t="str">
        <f t="shared" si="7"/>
        <v/>
      </c>
      <c r="O286" s="56">
        <f t="shared" si="8"/>
        <v>0</v>
      </c>
      <c r="P286" s="56" t="str">
        <f t="shared" si="9"/>
        <v>#REF!</v>
      </c>
      <c r="Q286" s="65" t="str">
        <f t="shared" si="5"/>
        <v>#REF!</v>
      </c>
      <c r="R286" s="1"/>
    </row>
    <row r="287">
      <c r="A287" s="1"/>
      <c r="B287" s="1"/>
      <c r="C287" s="1"/>
      <c r="D287" s="1"/>
      <c r="E287" s="70" t="str">
        <f t="shared" si="49"/>
        <v/>
      </c>
      <c r="F287" s="1"/>
      <c r="G287" s="1"/>
      <c r="H287" s="1"/>
      <c r="I287" s="1"/>
      <c r="J287" s="1"/>
      <c r="K287" s="1"/>
      <c r="L287" s="53" t="str">
        <f t="shared" si="3"/>
        <v/>
      </c>
      <c r="M287" s="54" t="str">
        <f t="shared" si="4"/>
        <v/>
      </c>
      <c r="N287" s="81" t="str">
        <f t="shared" si="7"/>
        <v/>
      </c>
      <c r="O287" s="56">
        <f t="shared" si="8"/>
        <v>0</v>
      </c>
      <c r="P287" s="56" t="str">
        <f t="shared" si="9"/>
        <v>#REF!</v>
      </c>
      <c r="Q287" s="65" t="str">
        <f t="shared" si="5"/>
        <v>#REF!</v>
      </c>
      <c r="R287" s="1"/>
    </row>
    <row r="288">
      <c r="A288" s="1"/>
      <c r="B288" s="1"/>
      <c r="C288" s="1"/>
      <c r="D288" s="1"/>
      <c r="E288" s="70" t="str">
        <f t="shared" si="49"/>
        <v/>
      </c>
      <c r="F288" s="1"/>
      <c r="G288" s="1"/>
      <c r="H288" s="1"/>
      <c r="I288" s="1"/>
      <c r="J288" s="1"/>
      <c r="K288" s="1"/>
      <c r="L288" s="53" t="str">
        <f t="shared" si="3"/>
        <v/>
      </c>
      <c r="M288" s="54" t="str">
        <f t="shared" si="4"/>
        <v/>
      </c>
      <c r="N288" s="81" t="str">
        <f t="shared" si="7"/>
        <v/>
      </c>
      <c r="O288" s="56">
        <f t="shared" si="8"/>
        <v>0</v>
      </c>
      <c r="P288" s="56" t="str">
        <f t="shared" si="9"/>
        <v>#REF!</v>
      </c>
      <c r="Q288" s="65" t="str">
        <f t="shared" si="5"/>
        <v>#REF!</v>
      </c>
      <c r="R288" s="1"/>
    </row>
    <row r="289">
      <c r="A289" s="1"/>
      <c r="B289" s="1"/>
      <c r="C289" s="1"/>
      <c r="D289" s="1"/>
      <c r="E289" s="70" t="str">
        <f t="shared" si="49"/>
        <v/>
      </c>
      <c r="F289" s="1"/>
      <c r="G289" s="1"/>
      <c r="H289" s="1"/>
      <c r="I289" s="1"/>
      <c r="J289" s="1"/>
      <c r="K289" s="1"/>
      <c r="L289" s="53" t="str">
        <f t="shared" si="3"/>
        <v/>
      </c>
      <c r="M289" s="54" t="str">
        <f t="shared" si="4"/>
        <v/>
      </c>
      <c r="N289" s="81" t="str">
        <f t="shared" si="7"/>
        <v/>
      </c>
      <c r="O289" s="56">
        <f t="shared" si="8"/>
        <v>0</v>
      </c>
      <c r="P289" s="56" t="str">
        <f t="shared" si="9"/>
        <v>#REF!</v>
      </c>
      <c r="Q289" s="65" t="str">
        <f t="shared" si="5"/>
        <v>#REF!</v>
      </c>
      <c r="R289" s="1"/>
    </row>
    <row r="290">
      <c r="A290" s="1"/>
      <c r="B290" s="1"/>
      <c r="C290" s="1"/>
      <c r="D290" s="1"/>
      <c r="E290" s="70" t="str">
        <f t="shared" si="49"/>
        <v/>
      </c>
      <c r="F290" s="1"/>
      <c r="G290" s="1"/>
      <c r="H290" s="1"/>
      <c r="I290" s="1"/>
      <c r="J290" s="1"/>
      <c r="K290" s="1"/>
      <c r="L290" s="53" t="str">
        <f t="shared" si="3"/>
        <v/>
      </c>
      <c r="M290" s="54" t="str">
        <f t="shared" si="4"/>
        <v/>
      </c>
      <c r="N290" s="81" t="str">
        <f t="shared" si="7"/>
        <v/>
      </c>
      <c r="O290" s="56">
        <f t="shared" si="8"/>
        <v>0</v>
      </c>
      <c r="P290" s="56" t="str">
        <f t="shared" si="9"/>
        <v>#REF!</v>
      </c>
      <c r="Q290" s="65" t="str">
        <f t="shared" si="5"/>
        <v>#REF!</v>
      </c>
      <c r="R290" s="1"/>
    </row>
    <row r="291">
      <c r="A291" s="1"/>
      <c r="B291" s="1"/>
      <c r="C291" s="1"/>
      <c r="D291" s="1"/>
      <c r="E291" s="70" t="str">
        <f t="shared" si="49"/>
        <v/>
      </c>
      <c r="F291" s="1"/>
      <c r="G291" s="1"/>
      <c r="H291" s="1"/>
      <c r="I291" s="1"/>
      <c r="J291" s="1"/>
      <c r="K291" s="1"/>
      <c r="L291" s="53" t="str">
        <f t="shared" si="3"/>
        <v/>
      </c>
      <c r="M291" s="54" t="str">
        <f t="shared" si="4"/>
        <v/>
      </c>
      <c r="N291" s="81" t="str">
        <f t="shared" si="7"/>
        <v/>
      </c>
      <c r="O291" s="56">
        <f t="shared" si="8"/>
        <v>0</v>
      </c>
      <c r="P291" s="56" t="str">
        <f t="shared" si="9"/>
        <v>#REF!</v>
      </c>
      <c r="Q291" s="65" t="str">
        <f t="shared" si="5"/>
        <v>#REF!</v>
      </c>
      <c r="R291" s="1"/>
    </row>
    <row r="292">
      <c r="A292" s="1"/>
      <c r="B292" s="1"/>
      <c r="C292" s="1"/>
      <c r="D292" s="1"/>
      <c r="E292" s="70" t="str">
        <f t="shared" si="49"/>
        <v/>
      </c>
      <c r="F292" s="1"/>
      <c r="G292" s="1"/>
      <c r="H292" s="1"/>
      <c r="I292" s="1"/>
      <c r="J292" s="1"/>
      <c r="K292" s="1"/>
      <c r="L292" s="53" t="str">
        <f t="shared" si="3"/>
        <v/>
      </c>
      <c r="M292" s="54" t="str">
        <f t="shared" si="4"/>
        <v/>
      </c>
      <c r="N292" s="81" t="str">
        <f t="shared" si="7"/>
        <v/>
      </c>
      <c r="O292" s="56">
        <f t="shared" si="8"/>
        <v>0</v>
      </c>
      <c r="P292" s="56" t="str">
        <f t="shared" si="9"/>
        <v>#REF!</v>
      </c>
      <c r="Q292" s="65" t="str">
        <f t="shared" si="5"/>
        <v>#REF!</v>
      </c>
      <c r="R292" s="1"/>
    </row>
    <row r="293">
      <c r="A293" s="1"/>
      <c r="B293" s="1"/>
      <c r="C293" s="1"/>
      <c r="D293" s="1"/>
      <c r="E293" s="70" t="str">
        <f t="shared" si="49"/>
        <v/>
      </c>
      <c r="F293" s="1"/>
      <c r="G293" s="1"/>
      <c r="H293" s="1"/>
      <c r="I293" s="1"/>
      <c r="J293" s="1"/>
      <c r="K293" s="1"/>
      <c r="L293" s="53" t="str">
        <f t="shared" si="3"/>
        <v/>
      </c>
      <c r="M293" s="54" t="str">
        <f t="shared" si="4"/>
        <v/>
      </c>
      <c r="N293" s="81" t="str">
        <f t="shared" si="7"/>
        <v/>
      </c>
      <c r="O293" s="56">
        <f t="shared" si="8"/>
        <v>0</v>
      </c>
      <c r="P293" s="56" t="str">
        <f t="shared" si="9"/>
        <v>#REF!</v>
      </c>
      <c r="Q293" s="65" t="str">
        <f t="shared" si="5"/>
        <v>#REF!</v>
      </c>
      <c r="R293" s="1"/>
    </row>
    <row r="294">
      <c r="A294" s="1"/>
      <c r="B294" s="1"/>
      <c r="C294" s="1"/>
      <c r="D294" s="1"/>
      <c r="E294" s="70" t="str">
        <f t="shared" si="49"/>
        <v/>
      </c>
      <c r="F294" s="1"/>
      <c r="G294" s="1"/>
      <c r="H294" s="1"/>
      <c r="I294" s="1"/>
      <c r="J294" s="1"/>
      <c r="K294" s="1"/>
      <c r="L294" s="53" t="str">
        <f t="shared" si="3"/>
        <v/>
      </c>
      <c r="M294" s="54" t="str">
        <f t="shared" si="4"/>
        <v/>
      </c>
      <c r="N294" s="81" t="str">
        <f t="shared" si="7"/>
        <v/>
      </c>
      <c r="O294" s="56">
        <f t="shared" si="8"/>
        <v>0</v>
      </c>
      <c r="P294" s="56" t="str">
        <f t="shared" si="9"/>
        <v>#REF!</v>
      </c>
      <c r="Q294" s="65" t="str">
        <f t="shared" si="5"/>
        <v>#REF!</v>
      </c>
      <c r="R294" s="1"/>
    </row>
    <row r="295">
      <c r="A295" s="1"/>
      <c r="B295" s="1"/>
      <c r="C295" s="1"/>
      <c r="D295" s="1"/>
      <c r="E295" s="70" t="str">
        <f t="shared" si="49"/>
        <v/>
      </c>
      <c r="F295" s="1"/>
      <c r="G295" s="1"/>
      <c r="H295" s="1"/>
      <c r="I295" s="1"/>
      <c r="J295" s="1"/>
      <c r="K295" s="1"/>
      <c r="L295" s="53" t="str">
        <f t="shared" si="3"/>
        <v/>
      </c>
      <c r="M295" s="54" t="str">
        <f t="shared" si="4"/>
        <v/>
      </c>
      <c r="N295" s="81" t="str">
        <f t="shared" si="7"/>
        <v/>
      </c>
      <c r="O295" s="56">
        <f t="shared" si="8"/>
        <v>0</v>
      </c>
      <c r="P295" s="56" t="str">
        <f t="shared" si="9"/>
        <v>#REF!</v>
      </c>
      <c r="Q295" s="65" t="str">
        <f t="shared" si="5"/>
        <v>#REF!</v>
      </c>
      <c r="R295" s="1"/>
    </row>
    <row r="296">
      <c r="A296" s="1"/>
      <c r="B296" s="1"/>
      <c r="C296" s="1"/>
      <c r="D296" s="1"/>
      <c r="E296" s="70" t="str">
        <f t="shared" si="49"/>
        <v/>
      </c>
      <c r="F296" s="1"/>
      <c r="G296" s="1"/>
      <c r="H296" s="1"/>
      <c r="I296" s="1"/>
      <c r="J296" s="1"/>
      <c r="K296" s="1"/>
      <c r="L296" s="53" t="str">
        <f t="shared" si="3"/>
        <v/>
      </c>
      <c r="M296" s="54" t="str">
        <f t="shared" si="4"/>
        <v/>
      </c>
      <c r="N296" s="81" t="str">
        <f t="shared" si="7"/>
        <v/>
      </c>
      <c r="O296" s="56">
        <f t="shared" si="8"/>
        <v>0</v>
      </c>
      <c r="P296" s="56" t="str">
        <f t="shared" si="9"/>
        <v>#REF!</v>
      </c>
      <c r="Q296" s="65" t="str">
        <f t="shared" si="5"/>
        <v>#REF!</v>
      </c>
      <c r="R296" s="1"/>
    </row>
    <row r="297">
      <c r="A297" s="1"/>
      <c r="B297" s="1"/>
      <c r="C297" s="1"/>
      <c r="D297" s="1"/>
      <c r="E297" s="70" t="str">
        <f t="shared" si="49"/>
        <v/>
      </c>
      <c r="F297" s="1"/>
      <c r="G297" s="1"/>
      <c r="H297" s="1"/>
      <c r="I297" s="1"/>
      <c r="J297" s="1"/>
      <c r="K297" s="1"/>
      <c r="L297" s="53" t="str">
        <f t="shared" si="3"/>
        <v/>
      </c>
      <c r="M297" s="54" t="str">
        <f t="shared" si="4"/>
        <v/>
      </c>
      <c r="N297" s="81" t="str">
        <f t="shared" si="7"/>
        <v/>
      </c>
      <c r="O297" s="56">
        <f t="shared" si="8"/>
        <v>0</v>
      </c>
      <c r="P297" s="56" t="str">
        <f t="shared" si="9"/>
        <v>#REF!</v>
      </c>
      <c r="Q297" s="65" t="str">
        <f t="shared" si="5"/>
        <v>#REF!</v>
      </c>
      <c r="R297" s="1"/>
    </row>
    <row r="298">
      <c r="A298" s="1"/>
      <c r="B298" s="1"/>
      <c r="C298" s="1"/>
      <c r="D298" s="1"/>
      <c r="E298" s="70" t="str">
        <f t="shared" si="49"/>
        <v/>
      </c>
      <c r="F298" s="1"/>
      <c r="G298" s="1"/>
      <c r="H298" s="1"/>
      <c r="I298" s="1"/>
      <c r="J298" s="1"/>
      <c r="K298" s="1"/>
      <c r="L298" s="53" t="str">
        <f t="shared" si="3"/>
        <v/>
      </c>
      <c r="M298" s="54" t="str">
        <f t="shared" si="4"/>
        <v/>
      </c>
      <c r="N298" s="81" t="str">
        <f t="shared" si="7"/>
        <v/>
      </c>
      <c r="O298" s="56">
        <f t="shared" si="8"/>
        <v>0</v>
      </c>
      <c r="P298" s="56" t="str">
        <f t="shared" si="9"/>
        <v>#REF!</v>
      </c>
      <c r="Q298" s="65" t="str">
        <f t="shared" si="5"/>
        <v>#REF!</v>
      </c>
      <c r="R298" s="1"/>
    </row>
    <row r="299">
      <c r="A299" s="1"/>
      <c r="B299" s="1"/>
      <c r="C299" s="1"/>
      <c r="D299" s="1"/>
      <c r="E299" s="70" t="str">
        <f t="shared" si="49"/>
        <v/>
      </c>
      <c r="F299" s="1"/>
      <c r="G299" s="1"/>
      <c r="H299" s="1"/>
      <c r="I299" s="1"/>
      <c r="J299" s="1"/>
      <c r="K299" s="1"/>
      <c r="L299" s="53" t="str">
        <f t="shared" si="3"/>
        <v/>
      </c>
      <c r="M299" s="54" t="str">
        <f t="shared" si="4"/>
        <v/>
      </c>
      <c r="N299" s="81" t="str">
        <f t="shared" si="7"/>
        <v/>
      </c>
      <c r="O299" s="56">
        <f t="shared" si="8"/>
        <v>0</v>
      </c>
      <c r="P299" s="56" t="str">
        <f t="shared" si="9"/>
        <v>#REF!</v>
      </c>
      <c r="Q299" s="65" t="str">
        <f t="shared" si="5"/>
        <v>#REF!</v>
      </c>
      <c r="R299" s="1"/>
    </row>
    <row r="300">
      <c r="A300" s="1"/>
      <c r="B300" s="1"/>
      <c r="C300" s="1"/>
      <c r="D300" s="1"/>
      <c r="E300" s="70" t="str">
        <f t="shared" si="49"/>
        <v/>
      </c>
      <c r="F300" s="1"/>
      <c r="G300" s="1"/>
      <c r="H300" s="1"/>
      <c r="I300" s="1"/>
      <c r="J300" s="1"/>
      <c r="K300" s="1"/>
      <c r="L300" s="53" t="str">
        <f t="shared" si="3"/>
        <v/>
      </c>
      <c r="M300" s="54" t="str">
        <f t="shared" si="4"/>
        <v/>
      </c>
      <c r="N300" s="81" t="str">
        <f t="shared" si="7"/>
        <v/>
      </c>
      <c r="O300" s="56">
        <f t="shared" si="8"/>
        <v>0</v>
      </c>
      <c r="P300" s="56" t="str">
        <f t="shared" si="9"/>
        <v>#REF!</v>
      </c>
      <c r="Q300" s="65" t="str">
        <f t="shared" si="5"/>
        <v>#REF!</v>
      </c>
      <c r="R300" s="1"/>
    </row>
    <row r="301">
      <c r="A301" s="1"/>
      <c r="B301" s="1"/>
      <c r="C301" s="1"/>
      <c r="D301" s="1"/>
      <c r="E301" s="70" t="str">
        <f t="shared" si="49"/>
        <v/>
      </c>
      <c r="F301" s="1"/>
      <c r="G301" s="1"/>
      <c r="H301" s="1"/>
      <c r="I301" s="1"/>
      <c r="J301" s="1"/>
      <c r="K301" s="1"/>
      <c r="L301" s="53" t="str">
        <f t="shared" si="3"/>
        <v/>
      </c>
      <c r="M301" s="54" t="str">
        <f t="shared" si="4"/>
        <v/>
      </c>
      <c r="N301" s="81" t="str">
        <f t="shared" si="7"/>
        <v/>
      </c>
      <c r="O301" s="56">
        <f t="shared" si="8"/>
        <v>0</v>
      </c>
      <c r="P301" s="56" t="str">
        <f t="shared" si="9"/>
        <v>#REF!</v>
      </c>
      <c r="Q301" s="65" t="str">
        <f t="shared" si="5"/>
        <v>#REF!</v>
      </c>
      <c r="R301" s="1"/>
    </row>
    <row r="302">
      <c r="A302" s="1"/>
      <c r="B302" s="1"/>
      <c r="C302" s="1"/>
      <c r="D302" s="1"/>
      <c r="E302" s="70" t="str">
        <f t="shared" si="49"/>
        <v/>
      </c>
      <c r="F302" s="1"/>
      <c r="G302" s="1"/>
      <c r="H302" s="1"/>
      <c r="I302" s="1"/>
      <c r="J302" s="1"/>
      <c r="K302" s="1"/>
      <c r="L302" s="53" t="str">
        <f t="shared" si="3"/>
        <v/>
      </c>
      <c r="M302" s="54" t="str">
        <f t="shared" si="4"/>
        <v/>
      </c>
      <c r="N302" s="81" t="str">
        <f t="shared" si="7"/>
        <v/>
      </c>
      <c r="O302" s="56">
        <f t="shared" si="8"/>
        <v>0</v>
      </c>
      <c r="P302" s="56" t="str">
        <f t="shared" si="9"/>
        <v>#REF!</v>
      </c>
      <c r="Q302" s="65" t="str">
        <f t="shared" si="5"/>
        <v>#REF!</v>
      </c>
      <c r="R302" s="1"/>
    </row>
    <row r="303">
      <c r="A303" s="1"/>
      <c r="B303" s="1"/>
      <c r="C303" s="1"/>
      <c r="D303" s="1"/>
      <c r="E303" s="70" t="str">
        <f t="shared" si="49"/>
        <v/>
      </c>
      <c r="F303" s="1"/>
      <c r="G303" s="1"/>
      <c r="H303" s="1"/>
      <c r="I303" s="1"/>
      <c r="J303" s="1"/>
      <c r="K303" s="1"/>
      <c r="L303" s="53" t="str">
        <f t="shared" si="3"/>
        <v/>
      </c>
      <c r="M303" s="54" t="str">
        <f t="shared" si="4"/>
        <v/>
      </c>
      <c r="N303" s="81" t="str">
        <f t="shared" si="7"/>
        <v/>
      </c>
      <c r="O303" s="56">
        <f t="shared" si="8"/>
        <v>0</v>
      </c>
      <c r="P303" s="56" t="str">
        <f t="shared" si="9"/>
        <v>#REF!</v>
      </c>
      <c r="Q303" s="65" t="str">
        <f t="shared" si="5"/>
        <v>#REF!</v>
      </c>
      <c r="R303" s="1"/>
    </row>
    <row r="304">
      <c r="A304" s="1"/>
      <c r="B304" s="1"/>
      <c r="C304" s="1"/>
      <c r="D304" s="1"/>
      <c r="E304" s="70" t="str">
        <f t="shared" si="49"/>
        <v/>
      </c>
      <c r="F304" s="1"/>
      <c r="G304" s="1"/>
      <c r="H304" s="1"/>
      <c r="I304" s="1"/>
      <c r="J304" s="1"/>
      <c r="K304" s="1"/>
      <c r="L304" s="53" t="str">
        <f t="shared" si="3"/>
        <v/>
      </c>
      <c r="M304" s="54" t="str">
        <f t="shared" si="4"/>
        <v/>
      </c>
      <c r="N304" s="81" t="str">
        <f t="shared" si="7"/>
        <v/>
      </c>
      <c r="O304" s="56">
        <f t="shared" si="8"/>
        <v>0</v>
      </c>
      <c r="P304" s="56" t="str">
        <f t="shared" si="9"/>
        <v>#REF!</v>
      </c>
      <c r="Q304" s="65" t="str">
        <f t="shared" si="5"/>
        <v>#REF!</v>
      </c>
      <c r="R304" s="1"/>
    </row>
    <row r="305">
      <c r="A305" s="1"/>
      <c r="B305" s="1"/>
      <c r="C305" s="1"/>
      <c r="D305" s="1"/>
      <c r="E305" s="70" t="str">
        <f t="shared" si="49"/>
        <v/>
      </c>
      <c r="F305" s="1"/>
      <c r="G305" s="1"/>
      <c r="H305" s="1"/>
      <c r="I305" s="1"/>
      <c r="J305" s="1"/>
      <c r="K305" s="1"/>
      <c r="L305" s="53" t="str">
        <f t="shared" si="3"/>
        <v/>
      </c>
      <c r="M305" s="54" t="str">
        <f t="shared" si="4"/>
        <v/>
      </c>
      <c r="N305" s="81" t="str">
        <f t="shared" si="7"/>
        <v/>
      </c>
      <c r="O305" s="56">
        <f t="shared" si="8"/>
        <v>0</v>
      </c>
      <c r="P305" s="56" t="str">
        <f t="shared" si="9"/>
        <v>#REF!</v>
      </c>
      <c r="Q305" s="65" t="str">
        <f t="shared" si="5"/>
        <v>#REF!</v>
      </c>
      <c r="R305" s="1"/>
    </row>
    <row r="306">
      <c r="A306" s="1"/>
      <c r="B306" s="1"/>
      <c r="C306" s="1"/>
      <c r="D306" s="1"/>
      <c r="E306" s="70" t="str">
        <f t="shared" si="49"/>
        <v/>
      </c>
      <c r="F306" s="1"/>
      <c r="G306" s="1"/>
      <c r="H306" s="1"/>
      <c r="I306" s="1"/>
      <c r="J306" s="1"/>
      <c r="K306" s="1"/>
      <c r="L306" s="53" t="str">
        <f t="shared" si="3"/>
        <v/>
      </c>
      <c r="M306" s="54" t="str">
        <f t="shared" si="4"/>
        <v/>
      </c>
      <c r="N306" s="81" t="str">
        <f t="shared" si="7"/>
        <v/>
      </c>
      <c r="O306" s="56">
        <f t="shared" si="8"/>
        <v>0</v>
      </c>
      <c r="P306" s="56" t="str">
        <f t="shared" si="9"/>
        <v>#REF!</v>
      </c>
      <c r="Q306" s="65" t="str">
        <f t="shared" si="5"/>
        <v>#REF!</v>
      </c>
      <c r="R306" s="1"/>
    </row>
    <row r="307">
      <c r="A307" s="1"/>
      <c r="B307" s="1"/>
      <c r="C307" s="1"/>
      <c r="D307" s="1"/>
      <c r="E307" s="70" t="str">
        <f t="shared" si="49"/>
        <v/>
      </c>
      <c r="F307" s="1"/>
      <c r="G307" s="1"/>
      <c r="H307" s="1"/>
      <c r="I307" s="1"/>
      <c r="J307" s="1"/>
      <c r="K307" s="1"/>
      <c r="L307" s="53" t="str">
        <f t="shared" si="3"/>
        <v/>
      </c>
      <c r="M307" s="54" t="str">
        <f t="shared" si="4"/>
        <v/>
      </c>
      <c r="N307" s="81" t="str">
        <f t="shared" si="7"/>
        <v/>
      </c>
      <c r="O307" s="56">
        <f t="shared" si="8"/>
        <v>0</v>
      </c>
      <c r="P307" s="56" t="str">
        <f t="shared" si="9"/>
        <v>#REF!</v>
      </c>
      <c r="Q307" s="65" t="str">
        <f t="shared" si="5"/>
        <v>#REF!</v>
      </c>
      <c r="R307" s="1"/>
    </row>
    <row r="308">
      <c r="A308" s="1"/>
      <c r="B308" s="1"/>
      <c r="C308" s="1"/>
      <c r="D308" s="1"/>
      <c r="E308" s="70" t="str">
        <f t="shared" si="49"/>
        <v/>
      </c>
      <c r="F308" s="1"/>
      <c r="G308" s="1"/>
      <c r="H308" s="1"/>
      <c r="I308" s="1"/>
      <c r="J308" s="1"/>
      <c r="K308" s="1"/>
      <c r="L308" s="53" t="str">
        <f t="shared" si="3"/>
        <v/>
      </c>
      <c r="M308" s="54" t="str">
        <f t="shared" si="4"/>
        <v/>
      </c>
      <c r="N308" s="81" t="str">
        <f t="shared" si="7"/>
        <v/>
      </c>
      <c r="O308" s="56">
        <f t="shared" si="8"/>
        <v>0</v>
      </c>
      <c r="P308" s="56" t="str">
        <f t="shared" si="9"/>
        <v>#REF!</v>
      </c>
      <c r="Q308" s="65" t="str">
        <f t="shared" si="5"/>
        <v>#REF!</v>
      </c>
      <c r="R308" s="1"/>
    </row>
    <row r="309">
      <c r="A309" s="1"/>
      <c r="B309" s="1"/>
      <c r="C309" s="1"/>
      <c r="D309" s="1"/>
      <c r="E309" s="70" t="str">
        <f t="shared" si="49"/>
        <v/>
      </c>
      <c r="F309" s="1"/>
      <c r="G309" s="1"/>
      <c r="H309" s="1"/>
      <c r="I309" s="1"/>
      <c r="J309" s="1"/>
      <c r="K309" s="1"/>
      <c r="L309" s="53" t="str">
        <f t="shared" si="3"/>
        <v/>
      </c>
      <c r="M309" s="54" t="str">
        <f t="shared" si="4"/>
        <v/>
      </c>
      <c r="N309" s="81" t="str">
        <f t="shared" si="7"/>
        <v/>
      </c>
      <c r="O309" s="56">
        <f t="shared" si="8"/>
        <v>0</v>
      </c>
      <c r="P309" s="56" t="str">
        <f t="shared" si="9"/>
        <v>#REF!</v>
      </c>
      <c r="Q309" s="65" t="str">
        <f t="shared" si="5"/>
        <v>#REF!</v>
      </c>
      <c r="R309" s="1"/>
    </row>
    <row r="310">
      <c r="A310" s="1"/>
      <c r="B310" s="1"/>
      <c r="C310" s="1"/>
      <c r="D310" s="1"/>
      <c r="E310" s="70" t="str">
        <f t="shared" si="49"/>
        <v/>
      </c>
      <c r="F310" s="1"/>
      <c r="G310" s="1"/>
      <c r="H310" s="1"/>
      <c r="I310" s="1"/>
      <c r="J310" s="1"/>
      <c r="K310" s="1"/>
      <c r="L310" s="53" t="str">
        <f t="shared" si="3"/>
        <v/>
      </c>
      <c r="M310" s="54" t="str">
        <f t="shared" si="4"/>
        <v/>
      </c>
      <c r="N310" s="81" t="str">
        <f t="shared" si="7"/>
        <v/>
      </c>
      <c r="O310" s="56">
        <f t="shared" si="8"/>
        <v>0</v>
      </c>
      <c r="P310" s="56" t="str">
        <f t="shared" si="9"/>
        <v>#REF!</v>
      </c>
      <c r="Q310" s="65" t="str">
        <f t="shared" si="5"/>
        <v>#REF!</v>
      </c>
      <c r="R310" s="1"/>
    </row>
    <row r="311">
      <c r="A311" s="1"/>
      <c r="B311" s="1"/>
      <c r="C311" s="1"/>
      <c r="D311" s="1"/>
      <c r="E311" s="70" t="str">
        <f t="shared" si="49"/>
        <v/>
      </c>
      <c r="F311" s="1"/>
      <c r="G311" s="1"/>
      <c r="H311" s="1"/>
      <c r="I311" s="1"/>
      <c r="J311" s="1"/>
      <c r="K311" s="1"/>
      <c r="L311" s="53" t="str">
        <f t="shared" si="3"/>
        <v/>
      </c>
      <c r="M311" s="54" t="str">
        <f t="shared" si="4"/>
        <v/>
      </c>
      <c r="N311" s="81" t="str">
        <f t="shared" si="7"/>
        <v/>
      </c>
      <c r="O311" s="56">
        <f t="shared" si="8"/>
        <v>0</v>
      </c>
      <c r="P311" s="56" t="str">
        <f t="shared" si="9"/>
        <v>#REF!</v>
      </c>
      <c r="Q311" s="65" t="str">
        <f t="shared" si="5"/>
        <v>#REF!</v>
      </c>
      <c r="R311" s="1"/>
    </row>
    <row r="312">
      <c r="A312" s="1"/>
      <c r="B312" s="1"/>
      <c r="C312" s="1"/>
      <c r="D312" s="1"/>
      <c r="E312" s="70" t="str">
        <f t="shared" si="49"/>
        <v/>
      </c>
      <c r="F312" s="1"/>
      <c r="G312" s="1"/>
      <c r="H312" s="1"/>
      <c r="I312" s="1"/>
      <c r="J312" s="1"/>
      <c r="K312" s="1"/>
      <c r="L312" s="53" t="str">
        <f t="shared" si="3"/>
        <v/>
      </c>
      <c r="M312" s="54" t="str">
        <f t="shared" si="4"/>
        <v/>
      </c>
      <c r="N312" s="81" t="str">
        <f t="shared" si="7"/>
        <v/>
      </c>
      <c r="O312" s="56">
        <f t="shared" si="8"/>
        <v>0</v>
      </c>
      <c r="P312" s="56" t="str">
        <f t="shared" si="9"/>
        <v>#REF!</v>
      </c>
      <c r="Q312" s="65" t="str">
        <f t="shared" si="5"/>
        <v>#REF!</v>
      </c>
      <c r="R312" s="1"/>
    </row>
    <row r="313">
      <c r="A313" s="1"/>
      <c r="B313" s="1"/>
      <c r="C313" s="1"/>
      <c r="D313" s="1"/>
      <c r="E313" s="70" t="str">
        <f t="shared" si="49"/>
        <v/>
      </c>
      <c r="F313" s="1"/>
      <c r="G313" s="1"/>
      <c r="H313" s="1"/>
      <c r="I313" s="1"/>
      <c r="J313" s="1"/>
      <c r="K313" s="1"/>
      <c r="L313" s="53" t="str">
        <f t="shared" si="3"/>
        <v/>
      </c>
      <c r="M313" s="54" t="str">
        <f t="shared" si="4"/>
        <v/>
      </c>
      <c r="N313" s="81" t="str">
        <f t="shared" si="7"/>
        <v/>
      </c>
      <c r="O313" s="56">
        <f t="shared" si="8"/>
        <v>0</v>
      </c>
      <c r="P313" s="56" t="str">
        <f t="shared" si="9"/>
        <v>#REF!</v>
      </c>
      <c r="Q313" s="65" t="str">
        <f t="shared" si="5"/>
        <v>#REF!</v>
      </c>
      <c r="R313" s="1"/>
    </row>
    <row r="314">
      <c r="A314" s="1"/>
      <c r="B314" s="1"/>
      <c r="C314" s="1"/>
      <c r="D314" s="1"/>
      <c r="E314" s="70" t="str">
        <f t="shared" si="49"/>
        <v/>
      </c>
      <c r="F314" s="1"/>
      <c r="G314" s="1"/>
      <c r="H314" s="1"/>
      <c r="I314" s="1"/>
      <c r="J314" s="1"/>
      <c r="K314" s="1"/>
      <c r="L314" s="53" t="str">
        <f t="shared" si="3"/>
        <v/>
      </c>
      <c r="M314" s="54" t="str">
        <f t="shared" si="4"/>
        <v/>
      </c>
      <c r="N314" s="81" t="str">
        <f t="shared" si="7"/>
        <v/>
      </c>
      <c r="O314" s="56">
        <f t="shared" si="8"/>
        <v>0</v>
      </c>
      <c r="P314" s="56" t="str">
        <f t="shared" si="9"/>
        <v>#REF!</v>
      </c>
      <c r="Q314" s="65" t="str">
        <f t="shared" si="5"/>
        <v>#REF!</v>
      </c>
      <c r="R314" s="1"/>
    </row>
    <row r="315">
      <c r="A315" s="1"/>
      <c r="B315" s="1"/>
      <c r="C315" s="1"/>
      <c r="D315" s="1"/>
      <c r="E315" s="70" t="str">
        <f t="shared" si="49"/>
        <v/>
      </c>
      <c r="F315" s="1"/>
      <c r="G315" s="1"/>
      <c r="H315" s="1"/>
      <c r="I315" s="1"/>
      <c r="J315" s="1"/>
      <c r="K315" s="1"/>
      <c r="L315" s="53" t="str">
        <f t="shared" si="3"/>
        <v/>
      </c>
      <c r="M315" s="54" t="str">
        <f t="shared" si="4"/>
        <v/>
      </c>
      <c r="N315" s="81" t="str">
        <f t="shared" si="7"/>
        <v/>
      </c>
      <c r="O315" s="56">
        <f t="shared" si="8"/>
        <v>0</v>
      </c>
      <c r="P315" s="56" t="str">
        <f t="shared" si="9"/>
        <v>#REF!</v>
      </c>
      <c r="Q315" s="65" t="str">
        <f t="shared" si="5"/>
        <v>#REF!</v>
      </c>
      <c r="R315" s="1"/>
    </row>
    <row r="316">
      <c r="A316" s="1"/>
      <c r="B316" s="1"/>
      <c r="C316" s="1"/>
      <c r="D316" s="1"/>
      <c r="E316" s="70" t="str">
        <f t="shared" si="49"/>
        <v/>
      </c>
      <c r="F316" s="1"/>
      <c r="G316" s="1"/>
      <c r="H316" s="1"/>
      <c r="I316" s="1"/>
      <c r="J316" s="1"/>
      <c r="K316" s="1"/>
      <c r="L316" s="53" t="str">
        <f t="shared" si="3"/>
        <v/>
      </c>
      <c r="M316" s="54" t="str">
        <f t="shared" si="4"/>
        <v/>
      </c>
      <c r="N316" s="81" t="str">
        <f t="shared" si="7"/>
        <v/>
      </c>
      <c r="O316" s="56">
        <f t="shared" si="8"/>
        <v>0</v>
      </c>
      <c r="P316" s="56" t="str">
        <f t="shared" si="9"/>
        <v>#REF!</v>
      </c>
      <c r="Q316" s="65" t="str">
        <f t="shared" si="5"/>
        <v>#REF!</v>
      </c>
      <c r="R316" s="1"/>
    </row>
    <row r="317">
      <c r="A317" s="1"/>
      <c r="B317" s="1"/>
      <c r="C317" s="1"/>
      <c r="D317" s="1"/>
      <c r="E317" s="70" t="str">
        <f t="shared" si="49"/>
        <v/>
      </c>
      <c r="F317" s="1"/>
      <c r="G317" s="1"/>
      <c r="H317" s="1"/>
      <c r="I317" s="1"/>
      <c r="J317" s="1"/>
      <c r="K317" s="1"/>
      <c r="L317" s="53" t="str">
        <f t="shared" si="3"/>
        <v/>
      </c>
      <c r="M317" s="54" t="str">
        <f t="shared" si="4"/>
        <v/>
      </c>
      <c r="N317" s="81" t="str">
        <f t="shared" si="7"/>
        <v/>
      </c>
      <c r="O317" s="56">
        <f t="shared" si="8"/>
        <v>0</v>
      </c>
      <c r="P317" s="56" t="str">
        <f t="shared" si="9"/>
        <v>#REF!</v>
      </c>
      <c r="Q317" s="65" t="str">
        <f t="shared" si="5"/>
        <v>#REF!</v>
      </c>
      <c r="R317" s="1"/>
    </row>
    <row r="318">
      <c r="A318" s="1"/>
      <c r="B318" s="1"/>
      <c r="C318" s="1"/>
      <c r="D318" s="1"/>
      <c r="E318" s="70" t="str">
        <f t="shared" si="49"/>
        <v/>
      </c>
      <c r="F318" s="1"/>
      <c r="G318" s="1"/>
      <c r="H318" s="1"/>
      <c r="I318" s="1"/>
      <c r="J318" s="1"/>
      <c r="K318" s="1"/>
      <c r="L318" s="53" t="str">
        <f t="shared" si="3"/>
        <v/>
      </c>
      <c r="M318" s="54" t="str">
        <f t="shared" si="4"/>
        <v/>
      </c>
      <c r="N318" s="81" t="str">
        <f t="shared" si="7"/>
        <v/>
      </c>
      <c r="O318" s="56">
        <f t="shared" si="8"/>
        <v>0</v>
      </c>
      <c r="P318" s="56" t="str">
        <f t="shared" si="9"/>
        <v>#REF!</v>
      </c>
      <c r="Q318" s="65" t="str">
        <f t="shared" si="5"/>
        <v>#REF!</v>
      </c>
      <c r="R318" s="1"/>
    </row>
    <row r="319">
      <c r="A319" s="1"/>
      <c r="B319" s="1"/>
      <c r="C319" s="1"/>
      <c r="D319" s="1"/>
      <c r="E319" s="70" t="str">
        <f t="shared" si="49"/>
        <v/>
      </c>
      <c r="F319" s="1"/>
      <c r="G319" s="1"/>
      <c r="H319" s="1"/>
      <c r="I319" s="1"/>
      <c r="J319" s="1"/>
      <c r="K319" s="1"/>
      <c r="L319" s="53" t="str">
        <f t="shared" si="3"/>
        <v/>
      </c>
      <c r="M319" s="54" t="str">
        <f t="shared" si="4"/>
        <v/>
      </c>
      <c r="N319" s="81" t="str">
        <f t="shared" si="7"/>
        <v/>
      </c>
      <c r="O319" s="56">
        <f t="shared" si="8"/>
        <v>0</v>
      </c>
      <c r="P319" s="56" t="str">
        <f t="shared" si="9"/>
        <v>#REF!</v>
      </c>
      <c r="Q319" s="65" t="str">
        <f t="shared" si="5"/>
        <v>#REF!</v>
      </c>
      <c r="R319" s="1"/>
    </row>
    <row r="320">
      <c r="A320" s="1"/>
      <c r="B320" s="1"/>
      <c r="C320" s="1"/>
      <c r="D320" s="1"/>
      <c r="E320" s="70" t="str">
        <f t="shared" si="49"/>
        <v/>
      </c>
      <c r="F320" s="1"/>
      <c r="G320" s="1"/>
      <c r="H320" s="1"/>
      <c r="I320" s="1"/>
      <c r="J320" s="1"/>
      <c r="K320" s="1"/>
      <c r="L320" s="53" t="str">
        <f t="shared" si="3"/>
        <v/>
      </c>
      <c r="M320" s="54" t="str">
        <f t="shared" si="4"/>
        <v/>
      </c>
      <c r="N320" s="81" t="str">
        <f t="shared" si="7"/>
        <v/>
      </c>
      <c r="O320" s="56">
        <f t="shared" si="8"/>
        <v>0</v>
      </c>
      <c r="P320" s="56" t="str">
        <f t="shared" si="9"/>
        <v>#REF!</v>
      </c>
      <c r="Q320" s="65" t="str">
        <f t="shared" si="5"/>
        <v>#REF!</v>
      </c>
      <c r="R320" s="1"/>
    </row>
    <row r="321">
      <c r="A321" s="1"/>
      <c r="B321" s="1"/>
      <c r="C321" s="1"/>
      <c r="D321" s="1"/>
      <c r="E321" s="70" t="str">
        <f t="shared" si="49"/>
        <v/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70" t="str">
        <f t="shared" si="49"/>
        <v/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70" t="str">
        <f t="shared" si="49"/>
        <v/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70" t="str">
        <f t="shared" si="49"/>
        <v/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70" t="str">
        <f t="shared" si="49"/>
        <v/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70" t="str">
        <f t="shared" si="49"/>
        <v/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70" t="str">
        <f t="shared" si="49"/>
        <v/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70" t="str">
        <f t="shared" si="49"/>
        <v/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70" t="str">
        <f t="shared" si="49"/>
        <v/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70" t="str">
        <f t="shared" si="49"/>
        <v/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70" t="str">
        <f t="shared" si="49"/>
        <v/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70" t="str">
        <f t="shared" si="49"/>
        <v/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70" t="str">
        <f t="shared" si="49"/>
        <v/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70" t="str">
        <f t="shared" si="49"/>
        <v/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70" t="str">
        <f t="shared" si="49"/>
        <v/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70" t="str">
        <f t="shared" si="49"/>
        <v/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70" t="str">
        <f t="shared" si="49"/>
        <v/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70" t="str">
        <f t="shared" si="49"/>
        <v/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70" t="str">
        <f t="shared" si="49"/>
        <v/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70" t="str">
        <f t="shared" si="49"/>
        <v/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70" t="str">
        <f t="shared" si="49"/>
        <v/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70" t="str">
        <f t="shared" si="49"/>
        <v/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70" t="str">
        <f t="shared" si="49"/>
        <v/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70" t="str">
        <f t="shared" si="49"/>
        <v/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70" t="str">
        <f t="shared" si="49"/>
        <v/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70" t="str">
        <f t="shared" si="49"/>
        <v/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70" t="str">
        <f t="shared" si="49"/>
        <v/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70" t="str">
        <f t="shared" si="49"/>
        <v/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70" t="str">
        <f t="shared" si="49"/>
        <v/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E350" s="70" t="str">
        <f t="shared" si="49"/>
        <v/>
      </c>
    </row>
    <row r="351">
      <c r="E351" s="70" t="str">
        <f t="shared" si="49"/>
        <v/>
      </c>
    </row>
    <row r="352">
      <c r="E352" s="70" t="str">
        <f t="shared" si="49"/>
        <v/>
      </c>
    </row>
    <row r="353">
      <c r="E353" s="70" t="str">
        <f t="shared" si="49"/>
        <v/>
      </c>
    </row>
    <row r="354">
      <c r="E354" s="70" t="str">
        <f t="shared" si="49"/>
        <v/>
      </c>
    </row>
    <row r="355">
      <c r="E355" s="70" t="str">
        <f t="shared" si="49"/>
        <v/>
      </c>
    </row>
    <row r="356">
      <c r="E356" s="70" t="str">
        <f t="shared" si="49"/>
        <v/>
      </c>
    </row>
    <row r="357">
      <c r="E357" s="70" t="str">
        <f t="shared" si="49"/>
        <v/>
      </c>
    </row>
    <row r="358">
      <c r="E358" s="70" t="str">
        <f t="shared" si="49"/>
        <v/>
      </c>
    </row>
    <row r="359">
      <c r="E359" s="70" t="str">
        <f t="shared" si="49"/>
        <v/>
      </c>
    </row>
    <row r="360">
      <c r="E360" s="70" t="str">
        <f t="shared" si="49"/>
        <v/>
      </c>
    </row>
    <row r="361">
      <c r="E361" s="70" t="str">
        <f t="shared" si="49"/>
        <v/>
      </c>
    </row>
    <row r="362">
      <c r="E362" s="70" t="str">
        <f t="shared" si="49"/>
        <v/>
      </c>
    </row>
    <row r="363">
      <c r="E363" s="70" t="str">
        <f t="shared" si="49"/>
        <v/>
      </c>
    </row>
    <row r="364">
      <c r="E364" s="70" t="str">
        <f t="shared" si="49"/>
        <v/>
      </c>
    </row>
    <row r="365">
      <c r="E365" s="70" t="str">
        <f t="shared" si="49"/>
        <v/>
      </c>
    </row>
    <row r="366">
      <c r="E366" s="70" t="str">
        <f t="shared" si="49"/>
        <v/>
      </c>
    </row>
    <row r="367">
      <c r="E367" s="70" t="str">
        <f t="shared" si="49"/>
        <v/>
      </c>
    </row>
    <row r="368">
      <c r="E368" s="70" t="str">
        <f t="shared" si="49"/>
        <v/>
      </c>
    </row>
    <row r="369">
      <c r="E369" s="70" t="str">
        <f t="shared" si="49"/>
        <v/>
      </c>
    </row>
    <row r="370">
      <c r="E370" s="70" t="str">
        <f t="shared" si="49"/>
        <v/>
      </c>
    </row>
    <row r="371">
      <c r="E371" s="70" t="str">
        <f t="shared" si="49"/>
        <v/>
      </c>
    </row>
    <row r="372">
      <c r="E372" s="70" t="str">
        <f t="shared" si="49"/>
        <v/>
      </c>
    </row>
    <row r="373">
      <c r="E373" s="70" t="str">
        <f t="shared" si="49"/>
        <v/>
      </c>
    </row>
    <row r="374">
      <c r="E374" s="70" t="str">
        <f t="shared" si="49"/>
        <v/>
      </c>
    </row>
    <row r="375">
      <c r="E375" s="70" t="str">
        <f t="shared" si="49"/>
        <v/>
      </c>
    </row>
    <row r="376">
      <c r="E376" s="70" t="str">
        <f t="shared" si="49"/>
        <v/>
      </c>
    </row>
    <row r="377">
      <c r="E377" s="70" t="str">
        <f t="shared" si="49"/>
        <v/>
      </c>
    </row>
    <row r="378">
      <c r="E378" s="70" t="str">
        <f t="shared" si="49"/>
        <v/>
      </c>
    </row>
    <row r="379">
      <c r="E379" s="70" t="str">
        <f t="shared" si="49"/>
        <v/>
      </c>
    </row>
    <row r="380">
      <c r="E380" s="70" t="str">
        <f t="shared" si="49"/>
        <v/>
      </c>
    </row>
    <row r="381">
      <c r="E381" s="70" t="str">
        <f t="shared" si="49"/>
        <v/>
      </c>
    </row>
    <row r="382">
      <c r="E382" s="70" t="str">
        <f t="shared" si="49"/>
        <v/>
      </c>
    </row>
    <row r="383">
      <c r="E383" s="70" t="str">
        <f t="shared" si="49"/>
        <v/>
      </c>
    </row>
    <row r="384">
      <c r="E384" s="70" t="str">
        <f t="shared" si="49"/>
        <v/>
      </c>
    </row>
    <row r="385">
      <c r="E385" s="70" t="str">
        <f t="shared" si="49"/>
        <v/>
      </c>
    </row>
    <row r="386">
      <c r="E386" s="70" t="str">
        <f t="shared" si="49"/>
        <v/>
      </c>
    </row>
    <row r="387">
      <c r="E387" s="70" t="str">
        <f t="shared" si="49"/>
        <v/>
      </c>
    </row>
    <row r="388">
      <c r="E388" s="70" t="str">
        <f t="shared" si="49"/>
        <v/>
      </c>
    </row>
    <row r="389">
      <c r="E389" s="70" t="str">
        <f t="shared" si="49"/>
        <v/>
      </c>
    </row>
    <row r="390">
      <c r="E390" s="70" t="str">
        <f t="shared" si="49"/>
        <v/>
      </c>
    </row>
    <row r="391">
      <c r="E391" s="70" t="str">
        <f t="shared" si="49"/>
        <v/>
      </c>
    </row>
    <row r="392">
      <c r="E392" s="70" t="str">
        <f t="shared" si="49"/>
        <v/>
      </c>
    </row>
    <row r="393">
      <c r="E393" s="70" t="str">
        <f t="shared" si="49"/>
        <v/>
      </c>
    </row>
    <row r="394">
      <c r="E394" s="70" t="str">
        <f t="shared" si="49"/>
        <v/>
      </c>
    </row>
    <row r="395">
      <c r="E395" s="70" t="str">
        <f t="shared" si="49"/>
        <v/>
      </c>
    </row>
    <row r="396">
      <c r="E396" s="70" t="str">
        <f t="shared" si="49"/>
        <v/>
      </c>
    </row>
    <row r="397">
      <c r="E397" s="70" t="str">
        <f t="shared" si="49"/>
        <v/>
      </c>
    </row>
    <row r="398">
      <c r="E398" s="70" t="str">
        <f t="shared" si="49"/>
        <v/>
      </c>
    </row>
    <row r="399">
      <c r="E399" s="70" t="str">
        <f t="shared" si="49"/>
        <v/>
      </c>
    </row>
    <row r="400">
      <c r="E400" s="70" t="str">
        <f t="shared" si="49"/>
        <v/>
      </c>
    </row>
    <row r="401">
      <c r="E401" s="70" t="str">
        <f t="shared" si="49"/>
        <v/>
      </c>
    </row>
    <row r="402">
      <c r="E402" s="70" t="str">
        <f t="shared" si="49"/>
        <v/>
      </c>
    </row>
    <row r="403">
      <c r="E403" s="70" t="str">
        <f t="shared" si="49"/>
        <v/>
      </c>
    </row>
    <row r="404">
      <c r="E404" s="70" t="str">
        <f t="shared" si="49"/>
        <v/>
      </c>
    </row>
    <row r="405">
      <c r="E405" s="70" t="str">
        <f t="shared" si="49"/>
        <v/>
      </c>
    </row>
    <row r="406">
      <c r="E406" s="70" t="str">
        <f t="shared" si="49"/>
        <v/>
      </c>
    </row>
    <row r="407">
      <c r="E407" s="70" t="str">
        <f t="shared" si="49"/>
        <v/>
      </c>
    </row>
    <row r="408">
      <c r="E408" s="70" t="str">
        <f t="shared" si="49"/>
        <v/>
      </c>
    </row>
    <row r="409">
      <c r="E409" s="70" t="str">
        <f t="shared" si="49"/>
        <v/>
      </c>
    </row>
    <row r="410">
      <c r="E410" s="70" t="str">
        <f t="shared" si="49"/>
        <v/>
      </c>
    </row>
    <row r="411">
      <c r="E411" s="70" t="str">
        <f t="shared" si="49"/>
        <v/>
      </c>
    </row>
    <row r="412">
      <c r="E412" s="70" t="str">
        <f t="shared" si="49"/>
        <v/>
      </c>
    </row>
    <row r="413">
      <c r="E413" s="70" t="str">
        <f t="shared" si="49"/>
        <v/>
      </c>
    </row>
    <row r="414">
      <c r="E414" s="70" t="str">
        <f t="shared" si="49"/>
        <v/>
      </c>
    </row>
    <row r="415">
      <c r="E415" s="70" t="str">
        <f t="shared" si="49"/>
        <v/>
      </c>
    </row>
    <row r="416">
      <c r="E416" s="70" t="str">
        <f t="shared" si="49"/>
        <v/>
      </c>
    </row>
    <row r="417">
      <c r="E417" s="70" t="str">
        <f t="shared" si="49"/>
        <v/>
      </c>
    </row>
    <row r="418">
      <c r="E418" s="70" t="str">
        <f t="shared" si="49"/>
        <v/>
      </c>
    </row>
    <row r="419">
      <c r="E419" s="70" t="str">
        <f t="shared" si="49"/>
        <v/>
      </c>
    </row>
    <row r="420">
      <c r="E420" s="70" t="str">
        <f t="shared" si="49"/>
        <v/>
      </c>
    </row>
    <row r="421">
      <c r="E421" s="70" t="str">
        <f t="shared" si="49"/>
        <v/>
      </c>
    </row>
    <row r="422">
      <c r="E422" s="70" t="str">
        <f t="shared" si="49"/>
        <v/>
      </c>
    </row>
    <row r="423">
      <c r="E423" s="70" t="str">
        <f t="shared" si="49"/>
        <v/>
      </c>
    </row>
    <row r="424">
      <c r="E424" s="70" t="str">
        <f t="shared" si="49"/>
        <v/>
      </c>
    </row>
    <row r="425">
      <c r="E425" s="70" t="str">
        <f t="shared" si="49"/>
        <v/>
      </c>
    </row>
    <row r="426">
      <c r="E426" s="70" t="str">
        <f t="shared" si="49"/>
        <v/>
      </c>
    </row>
    <row r="427">
      <c r="E427" s="70" t="str">
        <f t="shared" si="49"/>
        <v/>
      </c>
    </row>
    <row r="428">
      <c r="E428" s="70" t="str">
        <f t="shared" si="49"/>
        <v/>
      </c>
    </row>
    <row r="429">
      <c r="E429" s="70" t="str">
        <f t="shared" si="49"/>
        <v/>
      </c>
    </row>
    <row r="430">
      <c r="E430" s="70" t="str">
        <f t="shared" si="49"/>
        <v/>
      </c>
    </row>
    <row r="431">
      <c r="E431" s="70" t="str">
        <f t="shared" si="49"/>
        <v/>
      </c>
    </row>
    <row r="432">
      <c r="E432" s="70" t="str">
        <f t="shared" si="49"/>
        <v/>
      </c>
    </row>
    <row r="433">
      <c r="E433" s="70" t="str">
        <f t="shared" si="49"/>
        <v/>
      </c>
    </row>
    <row r="434">
      <c r="E434" s="70" t="str">
        <f t="shared" si="49"/>
        <v/>
      </c>
    </row>
    <row r="435">
      <c r="E435" s="70" t="str">
        <f t="shared" si="49"/>
        <v/>
      </c>
    </row>
    <row r="436">
      <c r="E436" s="70" t="str">
        <f t="shared" si="49"/>
        <v/>
      </c>
    </row>
    <row r="437">
      <c r="E437" s="70" t="str">
        <f t="shared" si="49"/>
        <v/>
      </c>
    </row>
    <row r="438">
      <c r="E438" s="70" t="str">
        <f t="shared" si="49"/>
        <v/>
      </c>
    </row>
    <row r="439">
      <c r="E439" s="70" t="str">
        <f t="shared" si="49"/>
        <v/>
      </c>
    </row>
    <row r="440">
      <c r="E440" s="70" t="str">
        <f t="shared" si="49"/>
        <v/>
      </c>
    </row>
    <row r="441">
      <c r="E441" s="70" t="str">
        <f t="shared" si="49"/>
        <v/>
      </c>
    </row>
    <row r="442">
      <c r="E442" s="70" t="str">
        <f t="shared" si="49"/>
        <v/>
      </c>
    </row>
    <row r="443">
      <c r="E443" s="70" t="str">
        <f t="shared" si="49"/>
        <v/>
      </c>
    </row>
    <row r="444">
      <c r="E444" s="70" t="str">
        <f t="shared" si="49"/>
        <v/>
      </c>
    </row>
    <row r="445">
      <c r="E445" s="70" t="str">
        <f t="shared" si="49"/>
        <v/>
      </c>
    </row>
    <row r="446">
      <c r="E446" s="70" t="str">
        <f t="shared" si="49"/>
        <v/>
      </c>
    </row>
    <row r="447">
      <c r="E447" s="70" t="str">
        <f t="shared" si="49"/>
        <v/>
      </c>
    </row>
    <row r="448">
      <c r="E448" s="70" t="str">
        <f t="shared" si="49"/>
        <v/>
      </c>
    </row>
    <row r="449">
      <c r="E449" s="70" t="str">
        <f t="shared" si="49"/>
        <v/>
      </c>
    </row>
    <row r="450">
      <c r="E450" s="70" t="str">
        <f t="shared" si="49"/>
        <v/>
      </c>
    </row>
    <row r="451">
      <c r="E451" s="70" t="str">
        <f t="shared" si="49"/>
        <v/>
      </c>
    </row>
    <row r="452">
      <c r="E452" s="70" t="str">
        <f t="shared" si="49"/>
        <v/>
      </c>
    </row>
    <row r="453">
      <c r="E453" s="70" t="str">
        <f t="shared" si="49"/>
        <v/>
      </c>
    </row>
    <row r="454">
      <c r="E454" s="70" t="str">
        <f t="shared" si="49"/>
        <v/>
      </c>
    </row>
    <row r="455">
      <c r="E455" s="70" t="str">
        <f t="shared" si="49"/>
        <v/>
      </c>
    </row>
    <row r="456">
      <c r="E456" s="70" t="str">
        <f t="shared" si="49"/>
        <v/>
      </c>
    </row>
    <row r="457">
      <c r="E457" s="70" t="str">
        <f t="shared" si="49"/>
        <v/>
      </c>
    </row>
    <row r="458">
      <c r="E458" s="70" t="str">
        <f t="shared" si="49"/>
        <v/>
      </c>
    </row>
    <row r="459">
      <c r="E459" s="70" t="str">
        <f t="shared" si="49"/>
        <v/>
      </c>
    </row>
    <row r="460">
      <c r="E460" s="70" t="str">
        <f t="shared" si="49"/>
        <v/>
      </c>
    </row>
    <row r="461">
      <c r="E461" s="70" t="str">
        <f t="shared" si="49"/>
        <v/>
      </c>
    </row>
    <row r="462">
      <c r="E462" s="70" t="str">
        <f t="shared" si="49"/>
        <v/>
      </c>
    </row>
    <row r="463">
      <c r="E463" s="70" t="str">
        <f t="shared" si="49"/>
        <v/>
      </c>
    </row>
    <row r="464">
      <c r="E464" s="70" t="str">
        <f t="shared" si="49"/>
        <v/>
      </c>
    </row>
    <row r="465">
      <c r="E465" s="70" t="str">
        <f t="shared" si="49"/>
        <v/>
      </c>
    </row>
    <row r="466">
      <c r="E466" s="70" t="str">
        <f t="shared" si="49"/>
        <v/>
      </c>
    </row>
    <row r="467">
      <c r="E467" s="70" t="str">
        <f t="shared" si="49"/>
        <v/>
      </c>
    </row>
    <row r="468">
      <c r="E468" s="70" t="str">
        <f t="shared" si="49"/>
        <v/>
      </c>
    </row>
    <row r="469">
      <c r="E469" s="70" t="str">
        <f t="shared" si="49"/>
        <v/>
      </c>
    </row>
    <row r="470">
      <c r="E470" s="70" t="str">
        <f t="shared" si="49"/>
        <v/>
      </c>
    </row>
    <row r="471">
      <c r="E471" s="70" t="str">
        <f t="shared" si="49"/>
        <v/>
      </c>
    </row>
    <row r="472">
      <c r="E472" s="70" t="str">
        <f t="shared" si="49"/>
        <v/>
      </c>
    </row>
    <row r="473">
      <c r="E473" s="70" t="str">
        <f t="shared" si="49"/>
        <v/>
      </c>
    </row>
    <row r="474">
      <c r="E474" s="70" t="str">
        <f t="shared" si="49"/>
        <v/>
      </c>
    </row>
    <row r="475">
      <c r="E475" s="70" t="str">
        <f t="shared" si="49"/>
        <v/>
      </c>
    </row>
    <row r="476">
      <c r="E476" s="70" t="str">
        <f t="shared" si="49"/>
        <v/>
      </c>
    </row>
    <row r="477">
      <c r="E477" s="70" t="str">
        <f t="shared" si="49"/>
        <v/>
      </c>
    </row>
    <row r="478">
      <c r="E478" s="70" t="str">
        <f t="shared" si="49"/>
        <v/>
      </c>
    </row>
    <row r="479">
      <c r="E479" s="70" t="str">
        <f t="shared" si="49"/>
        <v/>
      </c>
    </row>
    <row r="480">
      <c r="E480" s="70" t="str">
        <f t="shared" si="49"/>
        <v/>
      </c>
    </row>
    <row r="481">
      <c r="E481" s="70" t="str">
        <f t="shared" si="49"/>
        <v/>
      </c>
    </row>
    <row r="482">
      <c r="E482" s="70" t="str">
        <f t="shared" si="49"/>
        <v/>
      </c>
    </row>
    <row r="483">
      <c r="E483" s="70" t="str">
        <f t="shared" si="49"/>
        <v/>
      </c>
    </row>
    <row r="484">
      <c r="E484" s="70" t="str">
        <f t="shared" si="49"/>
        <v/>
      </c>
    </row>
    <row r="485">
      <c r="E485" s="70" t="str">
        <f t="shared" si="49"/>
        <v/>
      </c>
    </row>
    <row r="486">
      <c r="E486" s="70" t="str">
        <f t="shared" si="49"/>
        <v/>
      </c>
    </row>
    <row r="487">
      <c r="E487" s="70" t="str">
        <f t="shared" si="49"/>
        <v/>
      </c>
    </row>
    <row r="488">
      <c r="E488" s="70" t="str">
        <f t="shared" si="49"/>
        <v/>
      </c>
    </row>
    <row r="489">
      <c r="E489" s="70" t="str">
        <f t="shared" si="49"/>
        <v/>
      </c>
    </row>
    <row r="490">
      <c r="E490" s="70" t="str">
        <f t="shared" si="49"/>
        <v/>
      </c>
    </row>
    <row r="491">
      <c r="E491" s="70" t="str">
        <f t="shared" si="49"/>
        <v/>
      </c>
    </row>
    <row r="492">
      <c r="E492" s="70" t="str">
        <f t="shared" si="49"/>
        <v/>
      </c>
    </row>
    <row r="493">
      <c r="E493" s="70" t="str">
        <f t="shared" si="49"/>
        <v/>
      </c>
    </row>
    <row r="494">
      <c r="E494" s="70" t="str">
        <f t="shared" si="49"/>
        <v/>
      </c>
    </row>
    <row r="495">
      <c r="E495" s="70" t="str">
        <f t="shared" si="49"/>
        <v/>
      </c>
    </row>
    <row r="496">
      <c r="E496" s="70" t="str">
        <f t="shared" si="49"/>
        <v/>
      </c>
    </row>
    <row r="497">
      <c r="E497" s="70" t="str">
        <f t="shared" si="49"/>
        <v/>
      </c>
    </row>
    <row r="498">
      <c r="E498" s="70" t="str">
        <f t="shared" si="49"/>
        <v/>
      </c>
    </row>
    <row r="499">
      <c r="E499" s="70" t="str">
        <f t="shared" si="49"/>
        <v/>
      </c>
    </row>
    <row r="500">
      <c r="E500" s="70" t="str">
        <f t="shared" si="49"/>
        <v/>
      </c>
    </row>
    <row r="501">
      <c r="E501" s="70" t="str">
        <f t="shared" si="49"/>
        <v/>
      </c>
    </row>
    <row r="502">
      <c r="E502" s="70" t="str">
        <f t="shared" si="49"/>
        <v/>
      </c>
    </row>
    <row r="503">
      <c r="E503" s="70" t="str">
        <f t="shared" si="49"/>
        <v/>
      </c>
    </row>
    <row r="504">
      <c r="E504" s="70" t="str">
        <f t="shared" si="49"/>
        <v/>
      </c>
    </row>
    <row r="505">
      <c r="E505" s="70" t="str">
        <f t="shared" si="49"/>
        <v/>
      </c>
    </row>
    <row r="506">
      <c r="E506" s="70" t="str">
        <f t="shared" si="49"/>
        <v/>
      </c>
    </row>
    <row r="507">
      <c r="E507" s="70" t="str">
        <f t="shared" si="49"/>
        <v/>
      </c>
    </row>
    <row r="508">
      <c r="E508" s="70" t="str">
        <f t="shared" si="49"/>
        <v/>
      </c>
    </row>
    <row r="509">
      <c r="E509" s="70" t="str">
        <f t="shared" si="49"/>
        <v/>
      </c>
    </row>
    <row r="510">
      <c r="E510" s="70" t="str">
        <f t="shared" si="49"/>
        <v/>
      </c>
    </row>
    <row r="511">
      <c r="E511" s="70" t="str">
        <f t="shared" si="49"/>
        <v/>
      </c>
    </row>
    <row r="512">
      <c r="E512" s="70" t="str">
        <f t="shared" si="49"/>
        <v/>
      </c>
    </row>
    <row r="513">
      <c r="E513" s="70" t="str">
        <f t="shared" si="49"/>
        <v/>
      </c>
    </row>
    <row r="514">
      <c r="E514" s="70" t="str">
        <f t="shared" si="49"/>
        <v/>
      </c>
    </row>
    <row r="515">
      <c r="E515" s="70" t="str">
        <f t="shared" si="49"/>
        <v/>
      </c>
    </row>
    <row r="516">
      <c r="E516" s="70" t="str">
        <f t="shared" si="49"/>
        <v/>
      </c>
    </row>
    <row r="517">
      <c r="E517" s="70" t="str">
        <f t="shared" si="49"/>
        <v/>
      </c>
    </row>
    <row r="518">
      <c r="E518" s="70" t="str">
        <f t="shared" si="49"/>
        <v/>
      </c>
    </row>
    <row r="519">
      <c r="E519" s="70" t="str">
        <f t="shared" si="49"/>
        <v/>
      </c>
    </row>
    <row r="520">
      <c r="E520" s="70" t="str">
        <f t="shared" si="49"/>
        <v/>
      </c>
    </row>
    <row r="521">
      <c r="E521" s="70" t="str">
        <f t="shared" si="49"/>
        <v/>
      </c>
    </row>
    <row r="522">
      <c r="E522" s="70" t="str">
        <f t="shared" si="49"/>
        <v/>
      </c>
    </row>
    <row r="523">
      <c r="E523" s="70" t="str">
        <f t="shared" si="49"/>
        <v/>
      </c>
    </row>
    <row r="524">
      <c r="E524" s="70" t="str">
        <f t="shared" si="49"/>
        <v/>
      </c>
    </row>
    <row r="525">
      <c r="E525" s="70" t="str">
        <f t="shared" si="49"/>
        <v/>
      </c>
    </row>
    <row r="526">
      <c r="E526" s="70" t="str">
        <f t="shared" si="49"/>
        <v/>
      </c>
    </row>
    <row r="527">
      <c r="E527" s="70" t="str">
        <f t="shared" si="49"/>
        <v/>
      </c>
    </row>
    <row r="528">
      <c r="E528" s="70" t="str">
        <f t="shared" si="49"/>
        <v/>
      </c>
    </row>
    <row r="529">
      <c r="E529" s="70" t="str">
        <f t="shared" si="49"/>
        <v/>
      </c>
    </row>
    <row r="530">
      <c r="E530" s="70" t="str">
        <f t="shared" si="49"/>
        <v/>
      </c>
    </row>
    <row r="531">
      <c r="E531" s="70" t="str">
        <f t="shared" si="49"/>
        <v/>
      </c>
    </row>
    <row r="532">
      <c r="E532" s="70" t="str">
        <f t="shared" si="49"/>
        <v/>
      </c>
    </row>
    <row r="533">
      <c r="E533" s="70" t="str">
        <f t="shared" si="49"/>
        <v/>
      </c>
    </row>
    <row r="534">
      <c r="E534" s="70" t="str">
        <f t="shared" si="49"/>
        <v/>
      </c>
    </row>
    <row r="535">
      <c r="E535" s="70" t="str">
        <f t="shared" si="49"/>
        <v/>
      </c>
    </row>
    <row r="536">
      <c r="E536" s="70" t="str">
        <f t="shared" si="49"/>
        <v/>
      </c>
    </row>
    <row r="537">
      <c r="E537" s="70" t="str">
        <f t="shared" si="49"/>
        <v/>
      </c>
    </row>
    <row r="538">
      <c r="E538" s="70" t="str">
        <f t="shared" si="49"/>
        <v/>
      </c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  <row r="1001">
      <c r="E1001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0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41" t="s">
        <v>23</v>
      </c>
      <c r="C4" s="19">
        <v>45572.0</v>
      </c>
      <c r="D4" s="20">
        <v>287.32</v>
      </c>
      <c r="E4" s="70" t="str">
        <f>IF(B4&lt;&gt;"BAJA",TODAY(),"")</f>
        <v/>
      </c>
      <c r="F4" s="22"/>
      <c r="G4" s="82" t="str">
        <f>IFERROR(__xludf.DUMMYFUNCTION("filter(B4:E1001,B4:B1001&lt;&gt;"""",B4:B1001&lt;&gt;""BAJA"")"),"ALTA")</f>
        <v>ALTA</v>
      </c>
      <c r="H4" s="24">
        <f>IFERROR(__xludf.DUMMYFUNCTION("""COMPUTED_VALUE"""),45441.0)</f>
        <v>45441</v>
      </c>
      <c r="I4" s="25">
        <f>IFERROR(__xludf.DUMMYFUNCTION("""COMPUTED_VALUE"""),287.32)</f>
        <v>287.32</v>
      </c>
      <c r="J4" s="26">
        <f>IFERROR(__xludf.DUMMYFUNCTION("""COMPUTED_VALUE"""),45572.0)</f>
        <v>45572</v>
      </c>
      <c r="K4" s="1"/>
      <c r="L4" s="27" t="s">
        <v>10</v>
      </c>
      <c r="M4" s="28"/>
      <c r="N4" s="28"/>
      <c r="O4" s="28"/>
      <c r="P4" s="29"/>
      <c r="Q4" s="30">
        <f>SUM(O8:O320)</f>
        <v>1068.857143</v>
      </c>
      <c r="R4" s="1"/>
    </row>
    <row r="5">
      <c r="A5" s="1"/>
      <c r="B5" s="41" t="s">
        <v>25</v>
      </c>
      <c r="C5" s="19">
        <v>45441.0</v>
      </c>
      <c r="D5" s="20">
        <v>287.32</v>
      </c>
      <c r="E5" s="31">
        <f t="shared" ref="E5:E297" si="1">C4</f>
        <v>45572</v>
      </c>
      <c r="F5" s="22"/>
      <c r="G5" s="82" t="str">
        <f>IFERROR(__xludf.DUMMYFUNCTION("""COMPUTED_VALUE"""),"ALTA")</f>
        <v>ALTA</v>
      </c>
      <c r="H5" s="24">
        <f>IFERROR(__xludf.DUMMYFUNCTION("""COMPUTED_VALUE"""),45383.0)</f>
        <v>45383</v>
      </c>
      <c r="I5" s="25">
        <f>IFERROR(__xludf.DUMMYFUNCTION("""COMPUTED_VALUE"""),287.32)</f>
        <v>287.32</v>
      </c>
      <c r="J5" s="26">
        <f>IFERROR(__xludf.DUMMYFUNCTION("""COMPUTED_VALUE"""),45440.0)</f>
        <v>45440</v>
      </c>
      <c r="K5" s="1"/>
      <c r="L5" s="32" t="s">
        <v>11</v>
      </c>
      <c r="M5" s="33"/>
      <c r="N5" s="33"/>
      <c r="O5" s="33"/>
      <c r="P5" s="34"/>
      <c r="Q5" s="35">
        <v>250.0</v>
      </c>
      <c r="R5" s="1"/>
      <c r="U5" s="36"/>
      <c r="AD5" s="36"/>
    </row>
    <row r="6">
      <c r="A6" s="1"/>
      <c r="B6" s="41" t="s">
        <v>23</v>
      </c>
      <c r="C6" s="19">
        <v>45440.0</v>
      </c>
      <c r="D6" s="20">
        <v>287.32</v>
      </c>
      <c r="E6" s="31">
        <f t="shared" si="1"/>
        <v>45441</v>
      </c>
      <c r="F6" s="22"/>
      <c r="G6" s="82" t="str">
        <f>IFERROR(__xludf.DUMMYFUNCTION("""COMPUTED_VALUE"""),"ALTA")</f>
        <v>ALTA</v>
      </c>
      <c r="H6" s="24">
        <f>IFERROR(__xludf.DUMMYFUNCTION("""COMPUTED_VALUE"""),45182.0)</f>
        <v>45182</v>
      </c>
      <c r="I6" s="25">
        <f>IFERROR(__xludf.DUMMYFUNCTION("""COMPUTED_VALUE"""),467.32)</f>
        <v>467.32</v>
      </c>
      <c r="J6" s="26">
        <f>IFERROR(__xludf.DUMMYFUNCTION("""COMPUTED_VALUE"""),45314.0)</f>
        <v>45314</v>
      </c>
      <c r="K6" s="1"/>
      <c r="L6" s="37" t="s">
        <v>12</v>
      </c>
      <c r="M6" s="38"/>
      <c r="N6" s="38"/>
      <c r="O6" s="39"/>
      <c r="P6" s="39"/>
      <c r="Q6" s="40">
        <f>SUM(Q8:Q151)/250</f>
        <v>728.0328343</v>
      </c>
      <c r="R6" s="40">
        <f>Q6*30.4</f>
        <v>22132.19816</v>
      </c>
      <c r="AA6" s="36"/>
      <c r="AJ6" s="36"/>
    </row>
    <row r="7">
      <c r="A7" s="41"/>
      <c r="B7" s="41" t="s">
        <v>25</v>
      </c>
      <c r="C7" s="19">
        <v>45383.0</v>
      </c>
      <c r="D7" s="20">
        <v>287.32</v>
      </c>
      <c r="E7" s="31">
        <f t="shared" si="1"/>
        <v>45440</v>
      </c>
      <c r="F7" s="22"/>
      <c r="G7" s="82" t="str">
        <f>IFERROR(__xludf.DUMMYFUNCTION("""COMPUTED_VALUE"""),"ALTA")</f>
        <v>ALTA</v>
      </c>
      <c r="H7" s="26">
        <f>IFERROR(__xludf.DUMMYFUNCTION("""COMPUTED_VALUE"""),44914.0)</f>
        <v>44914</v>
      </c>
      <c r="I7" s="25">
        <f>IFERROR(__xludf.DUMMYFUNCTION("""COMPUTED_VALUE"""),699.54)</f>
        <v>699.54</v>
      </c>
      <c r="J7" s="26">
        <f>IFERROR(__xludf.DUMMYFUNCTION("""COMPUTED_VALUE"""),45118.0)</f>
        <v>45118</v>
      </c>
      <c r="K7" s="1"/>
      <c r="L7" s="42" t="s">
        <v>4</v>
      </c>
      <c r="M7" s="43" t="s">
        <v>6</v>
      </c>
      <c r="N7" s="44" t="s">
        <v>5</v>
      </c>
      <c r="O7" s="42" t="s">
        <v>13</v>
      </c>
      <c r="P7" s="42" t="s">
        <v>14</v>
      </c>
      <c r="Q7" s="45" t="s">
        <v>15</v>
      </c>
      <c r="R7" s="1"/>
      <c r="AA7" s="48"/>
      <c r="AB7" s="48"/>
      <c r="AC7" s="48"/>
      <c r="AK7" s="49"/>
      <c r="AL7" s="49"/>
    </row>
    <row r="8">
      <c r="A8" s="41"/>
      <c r="B8" s="41" t="s">
        <v>23</v>
      </c>
      <c r="C8" s="19">
        <v>45314.0</v>
      </c>
      <c r="D8" s="20">
        <v>467.32</v>
      </c>
      <c r="E8" s="31">
        <f t="shared" si="1"/>
        <v>45383</v>
      </c>
      <c r="F8" s="22"/>
      <c r="G8" s="1" t="str">
        <f>IFERROR(__xludf.DUMMYFUNCTION("""COMPUTED_VALUE"""),"ALTA")</f>
        <v>ALTA</v>
      </c>
      <c r="H8" s="51">
        <f>IFERROR(__xludf.DUMMYFUNCTION("""COMPUTED_VALUE"""),43528.0)</f>
        <v>43528</v>
      </c>
      <c r="I8" s="52">
        <f>IFERROR(__xludf.DUMMYFUNCTION("""COMPUTED_VALUE"""),139.36)</f>
        <v>139.36</v>
      </c>
      <c r="J8" s="51">
        <f>IFERROR(__xludf.DUMMYFUNCTION("""COMPUTED_VALUE"""),43658.0)</f>
        <v>43658</v>
      </c>
      <c r="K8" s="1"/>
      <c r="L8" s="53">
        <f t="shared" ref="L8:L320" si="2">H4</f>
        <v>45441</v>
      </c>
      <c r="M8" s="54">
        <f t="shared" ref="M8:M320" si="3">J4</f>
        <v>45572</v>
      </c>
      <c r="N8" s="55">
        <f>VALUE(I4)</f>
        <v>287.32</v>
      </c>
      <c r="O8" s="56">
        <f>DATEDIF(H4-1,J4,"d")/7</f>
        <v>18.85714286</v>
      </c>
      <c r="P8" s="56">
        <f>IF((M8-(L8-1))/7&gt;250,250,(M8-(L8-1))/7)</f>
        <v>18.85714286</v>
      </c>
      <c r="Q8" s="57">
        <f t="shared" ref="Q8:Q320" si="4">IF(P8&gt;0,P8*N8,0)</f>
        <v>5418.034286</v>
      </c>
      <c r="R8" s="1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49"/>
      <c r="AL8" s="49"/>
      <c r="AM8" s="62"/>
      <c r="AN8" s="62"/>
    </row>
    <row r="9">
      <c r="A9" s="41"/>
      <c r="B9" s="41" t="s">
        <v>25</v>
      </c>
      <c r="C9" s="19">
        <v>45182.0</v>
      </c>
      <c r="D9" s="20">
        <v>467.32</v>
      </c>
      <c r="E9" s="31">
        <f t="shared" si="1"/>
        <v>45314</v>
      </c>
      <c r="F9" s="22"/>
      <c r="G9" s="1" t="str">
        <f>IFERROR(__xludf.DUMMYFUNCTION("""COMPUTED_VALUE"""),"ALTA")</f>
        <v>ALTA</v>
      </c>
      <c r="H9" s="51">
        <f>IFERROR(__xludf.DUMMYFUNCTION("""COMPUTED_VALUE"""),43104.0)</f>
        <v>43104</v>
      </c>
      <c r="I9" s="52">
        <f>IFERROR(__xludf.DUMMYFUNCTION("""COMPUTED_VALUE"""),313.56)</f>
        <v>313.56</v>
      </c>
      <c r="J9" s="51">
        <f>IFERROR(__xludf.DUMMYFUNCTION("""COMPUTED_VALUE"""),43369.0)</f>
        <v>43369</v>
      </c>
      <c r="K9" s="1"/>
      <c r="L9" s="53">
        <f t="shared" si="2"/>
        <v>45383</v>
      </c>
      <c r="M9" s="54">
        <f t="shared" si="3"/>
        <v>45440</v>
      </c>
      <c r="N9" s="55">
        <f t="shared" ref="N9:N320" si="5">I5</f>
        <v>287.32</v>
      </c>
      <c r="O9" s="56">
        <f t="shared" ref="O9:O320" si="6">IF(H5="",0,DATEDIF(H5,J5,"d")/7)</f>
        <v>8.142857143</v>
      </c>
      <c r="P9" s="56">
        <f t="shared" ref="P9:P320" si="7">IF((M9-L9)/7+SUM($P$8:P8)&gt;250,(250-SUM($P$8:P8)),(M9-L9)/7)</f>
        <v>8.142857143</v>
      </c>
      <c r="Q9" s="63">
        <f t="shared" si="4"/>
        <v>2339.605714</v>
      </c>
      <c r="R9" s="1"/>
      <c r="AK9" s="49"/>
      <c r="AL9" s="49"/>
    </row>
    <row r="10">
      <c r="A10" s="41"/>
      <c r="B10" s="41" t="s">
        <v>23</v>
      </c>
      <c r="C10" s="19">
        <v>45118.0</v>
      </c>
      <c r="D10" s="20">
        <v>699.54</v>
      </c>
      <c r="E10" s="21">
        <f t="shared" si="1"/>
        <v>45182</v>
      </c>
      <c r="F10" s="22"/>
      <c r="G10" s="1" t="str">
        <f>IFERROR(__xludf.DUMMYFUNCTION("""COMPUTED_VALUE"""),"ALTA")</f>
        <v>ALTA</v>
      </c>
      <c r="H10" s="51">
        <f>IFERROR(__xludf.DUMMYFUNCTION("""COMPUTED_VALUE"""),43053.0)</f>
        <v>43053</v>
      </c>
      <c r="I10" s="52">
        <f>IFERROR(__xludf.DUMMYFUNCTION("""COMPUTED_VALUE"""),156.78)</f>
        <v>156.78</v>
      </c>
      <c r="J10" s="51">
        <f>IFERROR(__xludf.DUMMYFUNCTION("""COMPUTED_VALUE"""),43061.0)</f>
        <v>43061</v>
      </c>
      <c r="K10" s="1"/>
      <c r="L10" s="53">
        <f t="shared" si="2"/>
        <v>45182</v>
      </c>
      <c r="M10" s="54">
        <f t="shared" si="3"/>
        <v>45314</v>
      </c>
      <c r="N10" s="55">
        <f t="shared" si="5"/>
        <v>467.32</v>
      </c>
      <c r="O10" s="56">
        <f t="shared" si="6"/>
        <v>18.85714286</v>
      </c>
      <c r="P10" s="56">
        <f t="shared" si="7"/>
        <v>18.85714286</v>
      </c>
      <c r="Q10" s="65">
        <f t="shared" si="4"/>
        <v>8812.32</v>
      </c>
      <c r="R10" s="1"/>
      <c r="AK10" s="49"/>
      <c r="AL10" s="49"/>
    </row>
    <row r="11">
      <c r="A11" s="41"/>
      <c r="B11" s="41" t="s">
        <v>25</v>
      </c>
      <c r="C11" s="19">
        <v>44914.0</v>
      </c>
      <c r="D11" s="20">
        <v>699.54</v>
      </c>
      <c r="E11" s="21">
        <f t="shared" si="1"/>
        <v>45118</v>
      </c>
      <c r="F11" s="22"/>
      <c r="G11" s="1" t="str">
        <f>IFERROR(__xludf.DUMMYFUNCTION("""COMPUTED_VALUE"""),"ALTA")</f>
        <v>ALTA</v>
      </c>
      <c r="H11" s="51">
        <f>IFERROR(__xludf.DUMMYFUNCTION("""COMPUTED_VALUE"""),42829.0)</f>
        <v>42829</v>
      </c>
      <c r="I11" s="52">
        <f>IFERROR(__xludf.DUMMYFUNCTION("""COMPUTED_VALUE"""),104.52)</f>
        <v>104.52</v>
      </c>
      <c r="J11" s="51">
        <f>IFERROR(__xludf.DUMMYFUNCTION("""COMPUTED_VALUE"""),42921.0)</f>
        <v>42921</v>
      </c>
      <c r="K11" s="1"/>
      <c r="L11" s="53">
        <f t="shared" si="2"/>
        <v>44914</v>
      </c>
      <c r="M11" s="54">
        <f t="shared" si="3"/>
        <v>45118</v>
      </c>
      <c r="N11" s="55">
        <f t="shared" si="5"/>
        <v>699.54</v>
      </c>
      <c r="O11" s="56">
        <f t="shared" si="6"/>
        <v>29.14285714</v>
      </c>
      <c r="P11" s="56">
        <f t="shared" si="7"/>
        <v>29.14285714</v>
      </c>
      <c r="Q11" s="65">
        <f t="shared" si="4"/>
        <v>20386.59429</v>
      </c>
      <c r="R11" s="1"/>
      <c r="AK11" s="49"/>
      <c r="AL11" s="49"/>
    </row>
    <row r="12">
      <c r="A12" s="41"/>
      <c r="B12" s="41" t="s">
        <v>23</v>
      </c>
      <c r="C12" s="19">
        <v>43658.0</v>
      </c>
      <c r="D12" s="20">
        <v>139.36</v>
      </c>
      <c r="E12" s="21">
        <f t="shared" si="1"/>
        <v>44914</v>
      </c>
      <c r="F12" s="22"/>
      <c r="G12" s="1" t="str">
        <f>IFERROR(__xludf.DUMMYFUNCTION("""COMPUTED_VALUE"""),"ALTA")</f>
        <v>ALTA</v>
      </c>
      <c r="H12" s="51">
        <f>IFERROR(__xludf.DUMMYFUNCTION("""COMPUTED_VALUE"""),42248.0)</f>
        <v>42248</v>
      </c>
      <c r="I12" s="52">
        <f>IFERROR(__xludf.DUMMYFUNCTION("""COMPUTED_VALUE"""),1256.37)</f>
        <v>1256.37</v>
      </c>
      <c r="J12" s="51">
        <f>IFERROR(__xludf.DUMMYFUNCTION("""COMPUTED_VALUE"""),42338.0)</f>
        <v>42338</v>
      </c>
      <c r="K12" s="1"/>
      <c r="L12" s="53">
        <f t="shared" si="2"/>
        <v>43528</v>
      </c>
      <c r="M12" s="54">
        <f t="shared" si="3"/>
        <v>43658</v>
      </c>
      <c r="N12" s="67">
        <f t="shared" si="5"/>
        <v>139.36</v>
      </c>
      <c r="O12" s="56">
        <f t="shared" si="6"/>
        <v>18.57142857</v>
      </c>
      <c r="P12" s="56">
        <f t="shared" si="7"/>
        <v>18.57142857</v>
      </c>
      <c r="Q12" s="65">
        <f t="shared" si="4"/>
        <v>2588.114286</v>
      </c>
      <c r="R12" s="1"/>
      <c r="AK12" s="49"/>
      <c r="AL12" s="49"/>
    </row>
    <row r="13">
      <c r="A13" s="41"/>
      <c r="B13" s="41" t="s">
        <v>25</v>
      </c>
      <c r="C13" s="19">
        <v>43528.0</v>
      </c>
      <c r="D13" s="20">
        <v>139.36</v>
      </c>
      <c r="E13" s="21">
        <f t="shared" si="1"/>
        <v>43658</v>
      </c>
      <c r="F13" s="22"/>
      <c r="G13" s="1" t="str">
        <f>IFERROR(__xludf.DUMMYFUNCTION("""COMPUTED_VALUE"""),"ALTA")</f>
        <v>ALTA</v>
      </c>
      <c r="H13" s="51">
        <f>IFERROR(__xludf.DUMMYFUNCTION("""COMPUTED_VALUE"""),35431.0)</f>
        <v>35431</v>
      </c>
      <c r="I13" s="52">
        <f>IFERROR(__xludf.DUMMYFUNCTION("""COMPUTED_VALUE"""),1234.7)</f>
        <v>1234.7</v>
      </c>
      <c r="J13" s="51">
        <f>IFERROR(__xludf.DUMMYFUNCTION("""COMPUTED_VALUE"""),41803.0)</f>
        <v>41803</v>
      </c>
      <c r="K13" s="1"/>
      <c r="L13" s="53">
        <f t="shared" si="2"/>
        <v>43104</v>
      </c>
      <c r="M13" s="54">
        <f t="shared" si="3"/>
        <v>43369</v>
      </c>
      <c r="N13" s="67">
        <f t="shared" si="5"/>
        <v>313.56</v>
      </c>
      <c r="O13" s="56">
        <f t="shared" si="6"/>
        <v>37.85714286</v>
      </c>
      <c r="P13" s="56">
        <f t="shared" si="7"/>
        <v>37.85714286</v>
      </c>
      <c r="Q13" s="65">
        <f t="shared" si="4"/>
        <v>11870.48571</v>
      </c>
      <c r="R13" s="1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K13" s="49"/>
      <c r="AL13" s="49"/>
      <c r="AM13" s="68"/>
      <c r="AN13" s="68"/>
    </row>
    <row r="14">
      <c r="A14" s="41"/>
      <c r="B14" s="41" t="s">
        <v>23</v>
      </c>
      <c r="C14" s="19">
        <v>43369.0</v>
      </c>
      <c r="D14" s="20">
        <v>313.56</v>
      </c>
      <c r="E14" s="21">
        <f t="shared" si="1"/>
        <v>43528</v>
      </c>
      <c r="F14" s="22"/>
      <c r="G14" s="1" t="str">
        <f>IFERROR(__xludf.DUMMYFUNCTION("""COMPUTED_VALUE"""),"ALTA")</f>
        <v>ALTA</v>
      </c>
      <c r="H14" s="51"/>
      <c r="I14" s="52"/>
      <c r="J14" s="51"/>
      <c r="K14" s="1"/>
      <c r="L14" s="53">
        <f t="shared" si="2"/>
        <v>43053</v>
      </c>
      <c r="M14" s="54">
        <f t="shared" si="3"/>
        <v>43061</v>
      </c>
      <c r="N14" s="67">
        <f t="shared" si="5"/>
        <v>156.78</v>
      </c>
      <c r="O14" s="56">
        <f t="shared" si="6"/>
        <v>1.142857143</v>
      </c>
      <c r="P14" s="56">
        <f t="shared" si="7"/>
        <v>1.142857143</v>
      </c>
      <c r="Q14" s="65">
        <f t="shared" si="4"/>
        <v>179.1771429</v>
      </c>
      <c r="R14" s="1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K14" s="49"/>
      <c r="AL14" s="49"/>
      <c r="AM14" s="68"/>
      <c r="AN14" s="68"/>
    </row>
    <row r="15">
      <c r="A15" s="41"/>
      <c r="B15" s="41" t="s">
        <v>25</v>
      </c>
      <c r="C15" s="19">
        <v>43104.0</v>
      </c>
      <c r="D15" s="20">
        <v>313.56</v>
      </c>
      <c r="E15" s="21">
        <f t="shared" si="1"/>
        <v>43369</v>
      </c>
      <c r="F15" s="22"/>
      <c r="G15" s="1" t="str">
        <f>IFERROR(__xludf.DUMMYFUNCTION("""COMPUTED_VALUE"""),"ALTA")</f>
        <v>ALTA</v>
      </c>
      <c r="H15" s="51"/>
      <c r="I15" s="52"/>
      <c r="J15" s="51"/>
      <c r="K15" s="1"/>
      <c r="L15" s="53">
        <f t="shared" si="2"/>
        <v>42829</v>
      </c>
      <c r="M15" s="54">
        <f t="shared" si="3"/>
        <v>42921</v>
      </c>
      <c r="N15" s="67">
        <f t="shared" si="5"/>
        <v>104.52</v>
      </c>
      <c r="O15" s="56">
        <f t="shared" si="6"/>
        <v>13.14285714</v>
      </c>
      <c r="P15" s="56">
        <f t="shared" si="7"/>
        <v>13.14285714</v>
      </c>
      <c r="Q15" s="65">
        <f t="shared" si="4"/>
        <v>1373.691429</v>
      </c>
      <c r="R15" s="1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9"/>
      <c r="AL15" s="49"/>
      <c r="AM15" s="68"/>
      <c r="AN15" s="68"/>
    </row>
    <row r="16">
      <c r="A16" s="41"/>
      <c r="B16" s="41" t="s">
        <v>23</v>
      </c>
      <c r="C16" s="19">
        <v>43061.0</v>
      </c>
      <c r="D16" s="20">
        <v>156.78</v>
      </c>
      <c r="E16" s="21">
        <f t="shared" si="1"/>
        <v>43104</v>
      </c>
      <c r="F16" s="22"/>
      <c r="G16" s="1" t="str">
        <f>IFERROR(__xludf.DUMMYFUNCTION("""COMPUTED_VALUE"""),"ALTA")</f>
        <v>ALTA</v>
      </c>
      <c r="H16" s="51"/>
      <c r="I16" s="52"/>
      <c r="J16" s="51"/>
      <c r="K16" s="1"/>
      <c r="L16" s="53">
        <f t="shared" si="2"/>
        <v>42248</v>
      </c>
      <c r="M16" s="54">
        <f t="shared" si="3"/>
        <v>42338</v>
      </c>
      <c r="N16" s="67">
        <f t="shared" si="5"/>
        <v>1256.37</v>
      </c>
      <c r="O16" s="56">
        <f t="shared" si="6"/>
        <v>12.85714286</v>
      </c>
      <c r="P16" s="56">
        <f t="shared" si="7"/>
        <v>12.85714286</v>
      </c>
      <c r="Q16" s="65">
        <f t="shared" si="4"/>
        <v>16153.32857</v>
      </c>
      <c r="R16" s="1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9"/>
      <c r="AL16" s="49"/>
      <c r="AM16" s="68"/>
      <c r="AN16" s="68"/>
    </row>
    <row r="17">
      <c r="A17" s="41"/>
      <c r="B17" s="41" t="s">
        <v>25</v>
      </c>
      <c r="C17" s="19">
        <v>43053.0</v>
      </c>
      <c r="D17" s="20">
        <v>156.78</v>
      </c>
      <c r="E17" s="21">
        <f t="shared" si="1"/>
        <v>43061</v>
      </c>
      <c r="F17" s="22"/>
      <c r="G17" s="1" t="str">
        <f>IFERROR(__xludf.DUMMYFUNCTION("""COMPUTED_VALUE"""),"ALTA")</f>
        <v>ALTA</v>
      </c>
      <c r="H17" s="51"/>
      <c r="I17" s="52"/>
      <c r="J17" s="51"/>
      <c r="K17" s="1"/>
      <c r="L17" s="53">
        <f t="shared" si="2"/>
        <v>35431</v>
      </c>
      <c r="M17" s="54">
        <f t="shared" si="3"/>
        <v>41803</v>
      </c>
      <c r="N17" s="67">
        <f t="shared" si="5"/>
        <v>1234.7</v>
      </c>
      <c r="O17" s="56">
        <f t="shared" si="6"/>
        <v>910.2857143</v>
      </c>
      <c r="P17" s="56">
        <f t="shared" si="7"/>
        <v>91.42857143</v>
      </c>
      <c r="Q17" s="65">
        <f t="shared" si="4"/>
        <v>112886.8571</v>
      </c>
      <c r="R17" s="1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9"/>
      <c r="AL17" s="49"/>
      <c r="AM17" s="68"/>
      <c r="AN17" s="68"/>
    </row>
    <row r="18">
      <c r="A18" s="41"/>
      <c r="B18" s="41" t="s">
        <v>23</v>
      </c>
      <c r="C18" s="19">
        <v>42921.0</v>
      </c>
      <c r="D18" s="20">
        <v>104.52</v>
      </c>
      <c r="E18" s="21">
        <f t="shared" si="1"/>
        <v>43053</v>
      </c>
      <c r="F18" s="22"/>
      <c r="G18" s="1" t="str">
        <f>IFERROR(__xludf.DUMMYFUNCTION("""COMPUTED_VALUE"""),"ALTA")</f>
        <v>ALTA</v>
      </c>
      <c r="H18" s="51"/>
      <c r="I18" s="52"/>
      <c r="J18" s="51"/>
      <c r="K18" s="1"/>
      <c r="L18" s="53" t="str">
        <f t="shared" si="2"/>
        <v/>
      </c>
      <c r="M18" s="54" t="str">
        <f t="shared" si="3"/>
        <v/>
      </c>
      <c r="N18" s="67" t="str">
        <f t="shared" si="5"/>
        <v/>
      </c>
      <c r="O18" s="56">
        <f t="shared" si="6"/>
        <v>0</v>
      </c>
      <c r="P18" s="56">
        <f t="shared" si="7"/>
        <v>0</v>
      </c>
      <c r="Q18" s="65">
        <f t="shared" si="4"/>
        <v>0</v>
      </c>
      <c r="R18" s="1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9"/>
      <c r="AL18" s="49"/>
      <c r="AM18" s="68"/>
      <c r="AN18" s="68"/>
    </row>
    <row r="19">
      <c r="A19" s="41"/>
      <c r="B19" s="41" t="s">
        <v>25</v>
      </c>
      <c r="C19" s="19">
        <v>42829.0</v>
      </c>
      <c r="D19" s="20">
        <v>104.52</v>
      </c>
      <c r="E19" s="21">
        <f t="shared" si="1"/>
        <v>42921</v>
      </c>
      <c r="F19" s="22"/>
      <c r="G19" s="1" t="str">
        <f>IFERROR(__xludf.DUMMYFUNCTION("""COMPUTED_VALUE"""),"ALTA")</f>
        <v>ALTA</v>
      </c>
      <c r="H19" s="51"/>
      <c r="I19" s="52"/>
      <c r="J19" s="51"/>
      <c r="K19" s="1"/>
      <c r="L19" s="53" t="str">
        <f t="shared" si="2"/>
        <v/>
      </c>
      <c r="M19" s="54" t="str">
        <f t="shared" si="3"/>
        <v/>
      </c>
      <c r="N19" s="67" t="str">
        <f t="shared" si="5"/>
        <v/>
      </c>
      <c r="O19" s="56">
        <f t="shared" si="6"/>
        <v>0</v>
      </c>
      <c r="P19" s="56">
        <f t="shared" si="7"/>
        <v>0</v>
      </c>
      <c r="Q19" s="65">
        <f t="shared" si="4"/>
        <v>0</v>
      </c>
      <c r="R19" s="1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9"/>
      <c r="AL19" s="49"/>
      <c r="AM19" s="68"/>
      <c r="AN19" s="68"/>
    </row>
    <row r="20">
      <c r="A20" s="41"/>
      <c r="B20" s="41" t="s">
        <v>23</v>
      </c>
      <c r="C20" s="19">
        <v>42338.0</v>
      </c>
      <c r="D20" s="20">
        <v>1256.37</v>
      </c>
      <c r="E20" s="21">
        <f t="shared" si="1"/>
        <v>42829</v>
      </c>
      <c r="F20" s="22"/>
      <c r="G20" s="1" t="str">
        <f>IFERROR(__xludf.DUMMYFUNCTION("""COMPUTED_VALUE"""),"ALTA")</f>
        <v>ALTA</v>
      </c>
      <c r="H20" s="51"/>
      <c r="I20" s="52"/>
      <c r="J20" s="51"/>
      <c r="K20" s="1"/>
      <c r="L20" s="53" t="str">
        <f t="shared" si="2"/>
        <v/>
      </c>
      <c r="M20" s="54" t="str">
        <f t="shared" si="3"/>
        <v/>
      </c>
      <c r="N20" s="67" t="str">
        <f t="shared" si="5"/>
        <v/>
      </c>
      <c r="O20" s="56">
        <f t="shared" si="6"/>
        <v>0</v>
      </c>
      <c r="P20" s="56">
        <f t="shared" si="7"/>
        <v>0</v>
      </c>
      <c r="Q20" s="65">
        <f t="shared" si="4"/>
        <v>0</v>
      </c>
      <c r="R20" s="1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9"/>
      <c r="AL20" s="49"/>
      <c r="AM20" s="68"/>
      <c r="AN20" s="68"/>
    </row>
    <row r="21">
      <c r="A21" s="41"/>
      <c r="B21" s="41" t="s">
        <v>25</v>
      </c>
      <c r="C21" s="19">
        <v>42248.0</v>
      </c>
      <c r="D21" s="20">
        <v>1256.37</v>
      </c>
      <c r="E21" s="21">
        <f t="shared" si="1"/>
        <v>42338</v>
      </c>
      <c r="F21" s="22"/>
      <c r="G21" s="1" t="str">
        <f>IFERROR(__xludf.DUMMYFUNCTION("""COMPUTED_VALUE"""),"ALTA")</f>
        <v>ALTA</v>
      </c>
      <c r="H21" s="51"/>
      <c r="I21" s="52"/>
      <c r="J21" s="51"/>
      <c r="K21" s="1"/>
      <c r="L21" s="53" t="str">
        <f t="shared" si="2"/>
        <v/>
      </c>
      <c r="M21" s="54" t="str">
        <f t="shared" si="3"/>
        <v/>
      </c>
      <c r="N21" s="67" t="str">
        <f t="shared" si="5"/>
        <v/>
      </c>
      <c r="O21" s="56">
        <f t="shared" si="6"/>
        <v>0</v>
      </c>
      <c r="P21" s="56">
        <f t="shared" si="7"/>
        <v>0</v>
      </c>
      <c r="Q21" s="65">
        <f t="shared" si="4"/>
        <v>0</v>
      </c>
      <c r="R21" s="1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9"/>
      <c r="AL21" s="49"/>
      <c r="AM21" s="68"/>
      <c r="AN21" s="68"/>
    </row>
    <row r="22">
      <c r="A22" s="41"/>
      <c r="B22" s="41" t="s">
        <v>23</v>
      </c>
      <c r="C22" s="19">
        <v>41803.0</v>
      </c>
      <c r="D22" s="20">
        <v>1234.7</v>
      </c>
      <c r="E22" s="21">
        <f t="shared" si="1"/>
        <v>42248</v>
      </c>
      <c r="F22" s="22"/>
      <c r="G22" s="1" t="str">
        <f>IFERROR(__xludf.DUMMYFUNCTION("""COMPUTED_VALUE"""),"ALTA")</f>
        <v>ALTA</v>
      </c>
      <c r="H22" s="51"/>
      <c r="I22" s="52"/>
      <c r="J22" s="51"/>
      <c r="K22" s="1"/>
      <c r="L22" s="53" t="str">
        <f t="shared" si="2"/>
        <v/>
      </c>
      <c r="M22" s="54" t="str">
        <f t="shared" si="3"/>
        <v/>
      </c>
      <c r="N22" s="67" t="str">
        <f t="shared" si="5"/>
        <v/>
      </c>
      <c r="O22" s="56">
        <f t="shared" si="6"/>
        <v>0</v>
      </c>
      <c r="P22" s="56">
        <f t="shared" si="7"/>
        <v>0</v>
      </c>
      <c r="Q22" s="65">
        <f t="shared" si="4"/>
        <v>0</v>
      </c>
      <c r="R22" s="1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9"/>
      <c r="AL22" s="49"/>
      <c r="AM22" s="68"/>
      <c r="AN22" s="68"/>
    </row>
    <row r="23">
      <c r="A23" s="41"/>
      <c r="B23" s="41" t="s">
        <v>25</v>
      </c>
      <c r="C23" s="19">
        <v>35431.0</v>
      </c>
      <c r="D23" s="20">
        <v>1234.7</v>
      </c>
      <c r="E23" s="21">
        <f t="shared" si="1"/>
        <v>41803</v>
      </c>
      <c r="F23" s="22"/>
      <c r="G23" s="1" t="str">
        <f>IFERROR(__xludf.DUMMYFUNCTION("""COMPUTED_VALUE"""),"ALTA")</f>
        <v>ALTA</v>
      </c>
      <c r="H23" s="51"/>
      <c r="I23" s="52"/>
      <c r="J23" s="51"/>
      <c r="K23" s="1"/>
      <c r="L23" s="53" t="str">
        <f t="shared" si="2"/>
        <v/>
      </c>
      <c r="M23" s="54" t="str">
        <f t="shared" si="3"/>
        <v/>
      </c>
      <c r="N23" s="67" t="str">
        <f t="shared" si="5"/>
        <v/>
      </c>
      <c r="O23" s="56">
        <f t="shared" si="6"/>
        <v>0</v>
      </c>
      <c r="P23" s="56">
        <f t="shared" si="7"/>
        <v>0</v>
      </c>
      <c r="Q23" s="65">
        <f t="shared" si="4"/>
        <v>0</v>
      </c>
      <c r="R23" s="1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9"/>
      <c r="AL23" s="49"/>
      <c r="AM23" s="68"/>
      <c r="AN23" s="68"/>
    </row>
    <row r="24">
      <c r="A24" s="41"/>
      <c r="B24" s="41" t="s">
        <v>23</v>
      </c>
      <c r="C24" s="19"/>
      <c r="D24" s="20"/>
      <c r="E24" s="21">
        <f t="shared" si="1"/>
        <v>35431</v>
      </c>
      <c r="F24" s="1"/>
      <c r="G24" s="1" t="str">
        <f>IFERROR(__xludf.DUMMYFUNCTION("""COMPUTED_VALUE"""),"ALTA")</f>
        <v>ALTA</v>
      </c>
      <c r="H24" s="51"/>
      <c r="I24" s="52"/>
      <c r="J24" s="51"/>
      <c r="K24" s="1"/>
      <c r="L24" s="53" t="str">
        <f t="shared" si="2"/>
        <v/>
      </c>
      <c r="M24" s="54" t="str">
        <f t="shared" si="3"/>
        <v/>
      </c>
      <c r="N24" s="67" t="str">
        <f t="shared" si="5"/>
        <v/>
      </c>
      <c r="O24" s="56">
        <f t="shared" si="6"/>
        <v>0</v>
      </c>
      <c r="P24" s="56">
        <f t="shared" si="7"/>
        <v>0</v>
      </c>
      <c r="Q24" s="65">
        <f t="shared" si="4"/>
        <v>0</v>
      </c>
      <c r="R24" s="1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9"/>
      <c r="AL24" s="49"/>
      <c r="AM24" s="68"/>
      <c r="AN24" s="68"/>
    </row>
    <row r="25">
      <c r="A25" s="41"/>
      <c r="B25" s="41" t="s">
        <v>25</v>
      </c>
      <c r="C25" s="19"/>
      <c r="D25" s="20"/>
      <c r="E25" s="21" t="str">
        <f t="shared" si="1"/>
        <v/>
      </c>
      <c r="F25" s="1"/>
      <c r="G25" s="1" t="str">
        <f>IFERROR(__xludf.DUMMYFUNCTION("""COMPUTED_VALUE"""),"ALTA")</f>
        <v>ALTA</v>
      </c>
      <c r="H25" s="51"/>
      <c r="I25" s="52"/>
      <c r="J25" s="51"/>
      <c r="K25" s="1"/>
      <c r="L25" s="53" t="str">
        <f t="shared" si="2"/>
        <v/>
      </c>
      <c r="M25" s="54" t="str">
        <f t="shared" si="3"/>
        <v/>
      </c>
      <c r="N25" s="67" t="str">
        <f t="shared" si="5"/>
        <v/>
      </c>
      <c r="O25" s="56">
        <f t="shared" si="6"/>
        <v>0</v>
      </c>
      <c r="P25" s="56">
        <f t="shared" si="7"/>
        <v>0</v>
      </c>
      <c r="Q25" s="65">
        <f t="shared" si="4"/>
        <v>0</v>
      </c>
      <c r="R25" s="1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9"/>
      <c r="AL25" s="49"/>
      <c r="AM25" s="68"/>
      <c r="AN25" s="68"/>
    </row>
    <row r="26">
      <c r="A26" s="41"/>
      <c r="B26" s="41" t="s">
        <v>23</v>
      </c>
      <c r="C26" s="19"/>
      <c r="D26" s="20"/>
      <c r="E26" s="21" t="str">
        <f t="shared" si="1"/>
        <v/>
      </c>
      <c r="F26" s="1"/>
      <c r="G26" s="1" t="str">
        <f>IFERROR(__xludf.DUMMYFUNCTION("""COMPUTED_VALUE"""),"ALTA")</f>
        <v>ALTA</v>
      </c>
      <c r="H26" s="51"/>
      <c r="I26" s="52"/>
      <c r="J26" s="51"/>
      <c r="K26" s="1"/>
      <c r="L26" s="53" t="str">
        <f t="shared" si="2"/>
        <v/>
      </c>
      <c r="M26" s="54" t="str">
        <f t="shared" si="3"/>
        <v/>
      </c>
      <c r="N26" s="67" t="str">
        <f t="shared" si="5"/>
        <v/>
      </c>
      <c r="O26" s="56">
        <f t="shared" si="6"/>
        <v>0</v>
      </c>
      <c r="P26" s="56">
        <f t="shared" si="7"/>
        <v>0</v>
      </c>
      <c r="Q26" s="65">
        <f t="shared" si="4"/>
        <v>0</v>
      </c>
      <c r="R26" s="1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9"/>
      <c r="AL26" s="49"/>
      <c r="AM26" s="68"/>
      <c r="AN26" s="68"/>
    </row>
    <row r="27">
      <c r="A27" s="41"/>
      <c r="B27" s="41" t="s">
        <v>25</v>
      </c>
      <c r="C27" s="19"/>
      <c r="D27" s="20"/>
      <c r="E27" s="21" t="str">
        <f t="shared" si="1"/>
        <v/>
      </c>
      <c r="F27" s="1"/>
      <c r="G27" s="1" t="str">
        <f>IFERROR(__xludf.DUMMYFUNCTION("""COMPUTED_VALUE"""),"ALTA")</f>
        <v>ALTA</v>
      </c>
      <c r="H27" s="51"/>
      <c r="I27" s="52"/>
      <c r="J27" s="51"/>
      <c r="K27" s="1"/>
      <c r="L27" s="53" t="str">
        <f t="shared" si="2"/>
        <v/>
      </c>
      <c r="M27" s="54" t="str">
        <f t="shared" si="3"/>
        <v/>
      </c>
      <c r="N27" s="67" t="str">
        <f t="shared" si="5"/>
        <v/>
      </c>
      <c r="O27" s="56">
        <f t="shared" si="6"/>
        <v>0</v>
      </c>
      <c r="P27" s="56">
        <f t="shared" si="7"/>
        <v>0</v>
      </c>
      <c r="Q27" s="65">
        <f t="shared" si="4"/>
        <v>0</v>
      </c>
      <c r="R27" s="1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9"/>
      <c r="AL27" s="49"/>
      <c r="AM27" s="68"/>
      <c r="AN27" s="68"/>
    </row>
    <row r="28">
      <c r="A28" s="41"/>
      <c r="B28" s="41" t="s">
        <v>23</v>
      </c>
      <c r="C28" s="19"/>
      <c r="D28" s="20"/>
      <c r="E28" s="21" t="str">
        <f t="shared" si="1"/>
        <v/>
      </c>
      <c r="F28" s="1"/>
      <c r="G28" s="1"/>
      <c r="H28" s="51"/>
      <c r="I28" s="52"/>
      <c r="J28" s="51"/>
      <c r="K28" s="1"/>
      <c r="L28" s="53" t="str">
        <f t="shared" si="2"/>
        <v/>
      </c>
      <c r="M28" s="54" t="str">
        <f t="shared" si="3"/>
        <v/>
      </c>
      <c r="N28" s="67" t="str">
        <f t="shared" si="5"/>
        <v/>
      </c>
      <c r="O28" s="56">
        <f t="shared" si="6"/>
        <v>0</v>
      </c>
      <c r="P28" s="56">
        <f t="shared" si="7"/>
        <v>0</v>
      </c>
      <c r="Q28" s="65">
        <f t="shared" si="4"/>
        <v>0</v>
      </c>
      <c r="R28" s="1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9"/>
      <c r="AL28" s="49"/>
      <c r="AM28" s="68"/>
      <c r="AN28" s="68"/>
    </row>
    <row r="29">
      <c r="A29" s="41"/>
      <c r="B29" s="41" t="s">
        <v>25</v>
      </c>
      <c r="C29" s="83"/>
      <c r="D29" s="20"/>
      <c r="E29" s="21" t="str">
        <f t="shared" si="1"/>
        <v/>
      </c>
      <c r="F29" s="1"/>
      <c r="G29" s="1"/>
      <c r="H29" s="51"/>
      <c r="I29" s="52"/>
      <c r="J29" s="51"/>
      <c r="K29" s="1"/>
      <c r="L29" s="53" t="str">
        <f t="shared" si="2"/>
        <v/>
      </c>
      <c r="M29" s="54" t="str">
        <f t="shared" si="3"/>
        <v/>
      </c>
      <c r="N29" s="67" t="str">
        <f t="shared" si="5"/>
        <v/>
      </c>
      <c r="O29" s="56">
        <f t="shared" si="6"/>
        <v>0</v>
      </c>
      <c r="P29" s="56">
        <f t="shared" si="7"/>
        <v>0</v>
      </c>
      <c r="Q29" s="65">
        <f t="shared" si="4"/>
        <v>0</v>
      </c>
      <c r="R29" s="1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9"/>
      <c r="AL29" s="49"/>
      <c r="AM29" s="68"/>
      <c r="AN29" s="68"/>
    </row>
    <row r="30">
      <c r="A30" s="41"/>
      <c r="B30" s="41" t="s">
        <v>23</v>
      </c>
      <c r="C30" s="19"/>
      <c r="D30" s="20"/>
      <c r="E30" s="21" t="str">
        <f t="shared" si="1"/>
        <v/>
      </c>
      <c r="F30" s="1"/>
      <c r="G30" s="1"/>
      <c r="H30" s="51"/>
      <c r="I30" s="52"/>
      <c r="J30" s="51"/>
      <c r="K30" s="1"/>
      <c r="L30" s="53" t="str">
        <f t="shared" si="2"/>
        <v/>
      </c>
      <c r="M30" s="54" t="str">
        <f t="shared" si="3"/>
        <v/>
      </c>
      <c r="N30" s="67" t="str">
        <f t="shared" si="5"/>
        <v/>
      </c>
      <c r="O30" s="56">
        <f t="shared" si="6"/>
        <v>0</v>
      </c>
      <c r="P30" s="56">
        <f t="shared" si="7"/>
        <v>0</v>
      </c>
      <c r="Q30" s="65">
        <f t="shared" si="4"/>
        <v>0</v>
      </c>
      <c r="R30" s="1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9"/>
      <c r="AL30" s="49"/>
      <c r="AM30" s="68"/>
      <c r="AN30" s="68"/>
    </row>
    <row r="31">
      <c r="A31" s="41"/>
      <c r="B31" s="41" t="s">
        <v>25</v>
      </c>
      <c r="C31" s="19"/>
      <c r="D31" s="20"/>
      <c r="E31" s="21" t="str">
        <f t="shared" si="1"/>
        <v/>
      </c>
      <c r="F31" s="1"/>
      <c r="G31" s="1"/>
      <c r="H31" s="51"/>
      <c r="I31" s="52"/>
      <c r="J31" s="51"/>
      <c r="K31" s="1"/>
      <c r="L31" s="53" t="str">
        <f t="shared" si="2"/>
        <v/>
      </c>
      <c r="M31" s="54" t="str">
        <f t="shared" si="3"/>
        <v/>
      </c>
      <c r="N31" s="67" t="str">
        <f t="shared" si="5"/>
        <v/>
      </c>
      <c r="O31" s="56">
        <f t="shared" si="6"/>
        <v>0</v>
      </c>
      <c r="P31" s="56">
        <f t="shared" si="7"/>
        <v>0</v>
      </c>
      <c r="Q31" s="65">
        <f t="shared" si="4"/>
        <v>0</v>
      </c>
      <c r="R31" s="1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9"/>
      <c r="AL31" s="49"/>
      <c r="AM31" s="68"/>
      <c r="AN31" s="68"/>
    </row>
    <row r="32">
      <c r="A32" s="41"/>
      <c r="B32" s="41" t="s">
        <v>23</v>
      </c>
      <c r="C32" s="19"/>
      <c r="D32" s="20"/>
      <c r="E32" s="21" t="str">
        <f t="shared" si="1"/>
        <v/>
      </c>
      <c r="F32" s="1"/>
      <c r="G32" s="1"/>
      <c r="H32" s="71"/>
      <c r="I32" s="52"/>
      <c r="J32" s="51"/>
      <c r="K32" s="1"/>
      <c r="L32" s="53" t="str">
        <f t="shared" si="2"/>
        <v/>
      </c>
      <c r="M32" s="54" t="str">
        <f t="shared" si="3"/>
        <v/>
      </c>
      <c r="N32" s="67" t="str">
        <f t="shared" si="5"/>
        <v/>
      </c>
      <c r="O32" s="56">
        <f t="shared" si="6"/>
        <v>0</v>
      </c>
      <c r="P32" s="56">
        <f t="shared" si="7"/>
        <v>0</v>
      </c>
      <c r="Q32" s="65">
        <f t="shared" si="4"/>
        <v>0</v>
      </c>
      <c r="R32" s="1"/>
      <c r="U32" s="68"/>
    </row>
    <row r="33">
      <c r="A33" s="41"/>
      <c r="B33" s="41" t="s">
        <v>25</v>
      </c>
      <c r="C33" s="19"/>
      <c r="D33" s="20"/>
      <c r="E33" s="21" t="str">
        <f t="shared" si="1"/>
        <v/>
      </c>
      <c r="F33" s="1"/>
      <c r="G33" s="1"/>
      <c r="H33" s="51"/>
      <c r="I33" s="52"/>
      <c r="J33" s="51"/>
      <c r="K33" s="1"/>
      <c r="L33" s="53" t="str">
        <f t="shared" si="2"/>
        <v/>
      </c>
      <c r="M33" s="54" t="str">
        <f t="shared" si="3"/>
        <v/>
      </c>
      <c r="N33" s="67" t="str">
        <f t="shared" si="5"/>
        <v/>
      </c>
      <c r="O33" s="56">
        <f t="shared" si="6"/>
        <v>0</v>
      </c>
      <c r="P33" s="56">
        <f t="shared" si="7"/>
        <v>0</v>
      </c>
      <c r="Q33" s="65">
        <f t="shared" si="4"/>
        <v>0</v>
      </c>
      <c r="R33" s="1"/>
      <c r="U33" s="68"/>
    </row>
    <row r="34">
      <c r="A34" s="41"/>
      <c r="B34" s="41" t="s">
        <v>23</v>
      </c>
      <c r="C34" s="19"/>
      <c r="D34" s="20"/>
      <c r="E34" s="21" t="str">
        <f t="shared" si="1"/>
        <v/>
      </c>
      <c r="F34" s="1"/>
      <c r="G34" s="1"/>
      <c r="H34" s="51"/>
      <c r="I34" s="52"/>
      <c r="J34" s="51"/>
      <c r="K34" s="1"/>
      <c r="L34" s="53" t="str">
        <f t="shared" si="2"/>
        <v/>
      </c>
      <c r="M34" s="54" t="str">
        <f t="shared" si="3"/>
        <v/>
      </c>
      <c r="N34" s="67" t="str">
        <f t="shared" si="5"/>
        <v/>
      </c>
      <c r="O34" s="56">
        <f t="shared" si="6"/>
        <v>0</v>
      </c>
      <c r="P34" s="56">
        <f t="shared" si="7"/>
        <v>0</v>
      </c>
      <c r="Q34" s="65">
        <f t="shared" si="4"/>
        <v>0</v>
      </c>
      <c r="R34" s="1"/>
      <c r="U34" s="68"/>
    </row>
    <row r="35">
      <c r="A35" s="41"/>
      <c r="B35" s="41" t="s">
        <v>25</v>
      </c>
      <c r="C35" s="19"/>
      <c r="D35" s="20"/>
      <c r="E35" s="21" t="str">
        <f t="shared" si="1"/>
        <v/>
      </c>
      <c r="F35" s="1"/>
      <c r="G35" s="1"/>
      <c r="H35" s="51"/>
      <c r="I35" s="52"/>
      <c r="J35" s="51"/>
      <c r="K35" s="1"/>
      <c r="L35" s="53" t="str">
        <f t="shared" si="2"/>
        <v/>
      </c>
      <c r="M35" s="54" t="str">
        <f t="shared" si="3"/>
        <v/>
      </c>
      <c r="N35" s="67" t="str">
        <f t="shared" si="5"/>
        <v/>
      </c>
      <c r="O35" s="56">
        <f t="shared" si="6"/>
        <v>0</v>
      </c>
      <c r="P35" s="56">
        <f t="shared" si="7"/>
        <v>0</v>
      </c>
      <c r="Q35" s="65">
        <f t="shared" si="4"/>
        <v>0</v>
      </c>
      <c r="R35" s="1"/>
      <c r="U35" s="68"/>
    </row>
    <row r="36">
      <c r="A36" s="41"/>
      <c r="B36" s="41" t="s">
        <v>23</v>
      </c>
      <c r="C36" s="19"/>
      <c r="D36" s="20"/>
      <c r="E36" s="21" t="str">
        <f t="shared" si="1"/>
        <v/>
      </c>
      <c r="F36" s="1"/>
      <c r="G36" s="1"/>
      <c r="H36" s="51"/>
      <c r="I36" s="52"/>
      <c r="J36" s="51"/>
      <c r="K36" s="1"/>
      <c r="L36" s="53" t="str">
        <f t="shared" si="2"/>
        <v/>
      </c>
      <c r="M36" s="54" t="str">
        <f t="shared" si="3"/>
        <v/>
      </c>
      <c r="N36" s="67" t="str">
        <f t="shared" si="5"/>
        <v/>
      </c>
      <c r="O36" s="56">
        <f t="shared" si="6"/>
        <v>0</v>
      </c>
      <c r="P36" s="56">
        <f t="shared" si="7"/>
        <v>0</v>
      </c>
      <c r="Q36" s="65">
        <f t="shared" si="4"/>
        <v>0</v>
      </c>
      <c r="R36" s="1"/>
      <c r="U36" s="68"/>
    </row>
    <row r="37">
      <c r="A37" s="1"/>
      <c r="B37" s="41" t="s">
        <v>25</v>
      </c>
      <c r="C37" s="19"/>
      <c r="D37" s="20"/>
      <c r="E37" s="21" t="str">
        <f t="shared" si="1"/>
        <v/>
      </c>
      <c r="F37" s="1"/>
      <c r="G37" s="1"/>
      <c r="H37" s="71"/>
      <c r="I37" s="52"/>
      <c r="J37" s="51"/>
      <c r="K37" s="1"/>
      <c r="L37" s="53" t="str">
        <f t="shared" si="2"/>
        <v/>
      </c>
      <c r="M37" s="54" t="str">
        <f t="shared" si="3"/>
        <v/>
      </c>
      <c r="N37" s="67" t="str">
        <f t="shared" si="5"/>
        <v/>
      </c>
      <c r="O37" s="56">
        <f t="shared" si="6"/>
        <v>0</v>
      </c>
      <c r="P37" s="56">
        <f t="shared" si="7"/>
        <v>0</v>
      </c>
      <c r="Q37" s="65">
        <f t="shared" si="4"/>
        <v>0</v>
      </c>
      <c r="R37" s="1"/>
      <c r="U37" s="68"/>
    </row>
    <row r="38">
      <c r="A38" s="1"/>
      <c r="B38" s="41" t="s">
        <v>23</v>
      </c>
      <c r="C38" s="19"/>
      <c r="D38" s="20"/>
      <c r="E38" s="70" t="str">
        <f t="shared" si="1"/>
        <v/>
      </c>
      <c r="F38" s="1"/>
      <c r="G38" s="1"/>
      <c r="H38" s="51"/>
      <c r="I38" s="52"/>
      <c r="J38" s="51"/>
      <c r="K38" s="1"/>
      <c r="L38" s="53" t="str">
        <f t="shared" si="2"/>
        <v/>
      </c>
      <c r="M38" s="54" t="str">
        <f t="shared" si="3"/>
        <v/>
      </c>
      <c r="N38" s="67" t="str">
        <f t="shared" si="5"/>
        <v/>
      </c>
      <c r="O38" s="56">
        <f t="shared" si="6"/>
        <v>0</v>
      </c>
      <c r="P38" s="56">
        <f t="shared" si="7"/>
        <v>0</v>
      </c>
      <c r="Q38" s="65">
        <f t="shared" si="4"/>
        <v>0</v>
      </c>
      <c r="R38" s="1"/>
      <c r="U38" s="68"/>
    </row>
    <row r="39">
      <c r="A39" s="1"/>
      <c r="B39" s="41" t="s">
        <v>25</v>
      </c>
      <c r="C39" s="19"/>
      <c r="D39" s="20"/>
      <c r="E39" s="70" t="str">
        <f t="shared" si="1"/>
        <v/>
      </c>
      <c r="F39" s="1"/>
      <c r="G39" s="1"/>
      <c r="H39" s="51"/>
      <c r="I39" s="52"/>
      <c r="J39" s="51"/>
      <c r="K39" s="1"/>
      <c r="L39" s="53" t="str">
        <f t="shared" si="2"/>
        <v/>
      </c>
      <c r="M39" s="54" t="str">
        <f t="shared" si="3"/>
        <v/>
      </c>
      <c r="N39" s="67" t="str">
        <f t="shared" si="5"/>
        <v/>
      </c>
      <c r="O39" s="56">
        <f t="shared" si="6"/>
        <v>0</v>
      </c>
      <c r="P39" s="56">
        <f t="shared" si="7"/>
        <v>0</v>
      </c>
      <c r="Q39" s="65">
        <f t="shared" si="4"/>
        <v>0</v>
      </c>
      <c r="R39" s="1"/>
      <c r="U39" s="68"/>
    </row>
    <row r="40">
      <c r="A40" s="1"/>
      <c r="B40" s="41" t="s">
        <v>23</v>
      </c>
      <c r="C40" s="19"/>
      <c r="D40" s="20"/>
      <c r="E40" s="70" t="str">
        <f t="shared" si="1"/>
        <v/>
      </c>
      <c r="F40" s="1"/>
      <c r="G40" s="1"/>
      <c r="H40" s="51"/>
      <c r="I40" s="52"/>
      <c r="J40" s="51"/>
      <c r="K40" s="1"/>
      <c r="L40" s="53" t="str">
        <f t="shared" si="2"/>
        <v/>
      </c>
      <c r="M40" s="54" t="str">
        <f t="shared" si="3"/>
        <v/>
      </c>
      <c r="N40" s="67" t="str">
        <f t="shared" si="5"/>
        <v/>
      </c>
      <c r="O40" s="56">
        <f t="shared" si="6"/>
        <v>0</v>
      </c>
      <c r="P40" s="56">
        <f t="shared" si="7"/>
        <v>0</v>
      </c>
      <c r="Q40" s="65">
        <f t="shared" si="4"/>
        <v>0</v>
      </c>
      <c r="R40" s="1"/>
      <c r="U40" s="68"/>
    </row>
    <row r="41">
      <c r="A41" s="1"/>
      <c r="B41" s="41" t="s">
        <v>25</v>
      </c>
      <c r="C41" s="19"/>
      <c r="D41" s="20"/>
      <c r="E41" s="70" t="str">
        <f t="shared" si="1"/>
        <v/>
      </c>
      <c r="F41" s="1"/>
      <c r="G41" s="1"/>
      <c r="H41" s="51"/>
      <c r="I41" s="52"/>
      <c r="J41" s="51"/>
      <c r="K41" s="1"/>
      <c r="L41" s="53" t="str">
        <f t="shared" si="2"/>
        <v/>
      </c>
      <c r="M41" s="54" t="str">
        <f t="shared" si="3"/>
        <v/>
      </c>
      <c r="N41" s="67" t="str">
        <f t="shared" si="5"/>
        <v/>
      </c>
      <c r="O41" s="56">
        <f t="shared" si="6"/>
        <v>0</v>
      </c>
      <c r="P41" s="56">
        <f t="shared" si="7"/>
        <v>0</v>
      </c>
      <c r="Q41" s="65">
        <f t="shared" si="4"/>
        <v>0</v>
      </c>
      <c r="R41" s="1"/>
      <c r="U41" s="68"/>
    </row>
    <row r="42">
      <c r="A42" s="1"/>
      <c r="B42" s="41" t="s">
        <v>23</v>
      </c>
      <c r="C42" s="19"/>
      <c r="D42" s="20"/>
      <c r="E42" s="70" t="str">
        <f t="shared" si="1"/>
        <v/>
      </c>
      <c r="F42" s="1"/>
      <c r="G42" s="1"/>
      <c r="H42" s="51"/>
      <c r="I42" s="52"/>
      <c r="J42" s="51"/>
      <c r="K42" s="1"/>
      <c r="L42" s="53" t="str">
        <f t="shared" si="2"/>
        <v/>
      </c>
      <c r="M42" s="54" t="str">
        <f t="shared" si="3"/>
        <v/>
      </c>
      <c r="N42" s="67" t="str">
        <f t="shared" si="5"/>
        <v/>
      </c>
      <c r="O42" s="56">
        <f t="shared" si="6"/>
        <v>0</v>
      </c>
      <c r="P42" s="56">
        <f t="shared" si="7"/>
        <v>0</v>
      </c>
      <c r="Q42" s="65">
        <f t="shared" si="4"/>
        <v>0</v>
      </c>
      <c r="R42" s="1"/>
      <c r="U42" s="68"/>
    </row>
    <row r="43">
      <c r="A43" s="1"/>
      <c r="B43" s="41" t="s">
        <v>25</v>
      </c>
      <c r="C43" s="19"/>
      <c r="D43" s="20"/>
      <c r="E43" s="70" t="str">
        <f t="shared" si="1"/>
        <v/>
      </c>
      <c r="F43" s="1"/>
      <c r="G43" s="1"/>
      <c r="H43" s="51"/>
      <c r="I43" s="52"/>
      <c r="J43" s="51"/>
      <c r="K43" s="1"/>
      <c r="L43" s="53" t="str">
        <f t="shared" si="2"/>
        <v/>
      </c>
      <c r="M43" s="54" t="str">
        <f t="shared" si="3"/>
        <v/>
      </c>
      <c r="N43" s="67" t="str">
        <f t="shared" si="5"/>
        <v/>
      </c>
      <c r="O43" s="56">
        <f t="shared" si="6"/>
        <v>0</v>
      </c>
      <c r="P43" s="56">
        <f t="shared" si="7"/>
        <v>0</v>
      </c>
      <c r="Q43" s="65">
        <f t="shared" si="4"/>
        <v>0</v>
      </c>
      <c r="R43" s="1"/>
      <c r="U43" s="68"/>
    </row>
    <row r="44">
      <c r="A44" s="1"/>
      <c r="B44" s="41" t="s">
        <v>23</v>
      </c>
      <c r="C44" s="19"/>
      <c r="D44" s="20"/>
      <c r="E44" s="70" t="str">
        <f t="shared" si="1"/>
        <v/>
      </c>
      <c r="F44" s="1"/>
      <c r="G44" s="1"/>
      <c r="H44" s="51"/>
      <c r="I44" s="52"/>
      <c r="J44" s="51"/>
      <c r="K44" s="1"/>
      <c r="L44" s="53" t="str">
        <f t="shared" si="2"/>
        <v/>
      </c>
      <c r="M44" s="54" t="str">
        <f t="shared" si="3"/>
        <v/>
      </c>
      <c r="N44" s="67" t="str">
        <f t="shared" si="5"/>
        <v/>
      </c>
      <c r="O44" s="56">
        <f t="shared" si="6"/>
        <v>0</v>
      </c>
      <c r="P44" s="56">
        <f t="shared" si="7"/>
        <v>0</v>
      </c>
      <c r="Q44" s="65">
        <f t="shared" si="4"/>
        <v>0</v>
      </c>
      <c r="R44" s="1"/>
      <c r="U44" s="68"/>
    </row>
    <row r="45">
      <c r="A45" s="1"/>
      <c r="B45" s="41" t="s">
        <v>25</v>
      </c>
      <c r="C45" s="83"/>
      <c r="D45" s="20"/>
      <c r="E45" s="70" t="str">
        <f t="shared" si="1"/>
        <v/>
      </c>
      <c r="F45" s="1"/>
      <c r="G45" s="1"/>
      <c r="H45" s="51"/>
      <c r="I45" s="52"/>
      <c r="J45" s="51"/>
      <c r="K45" s="1"/>
      <c r="L45" s="53" t="str">
        <f t="shared" si="2"/>
        <v/>
      </c>
      <c r="M45" s="54" t="str">
        <f t="shared" si="3"/>
        <v/>
      </c>
      <c r="N45" s="67" t="str">
        <f t="shared" si="5"/>
        <v/>
      </c>
      <c r="O45" s="56">
        <f t="shared" si="6"/>
        <v>0</v>
      </c>
      <c r="P45" s="56">
        <f t="shared" si="7"/>
        <v>0</v>
      </c>
      <c r="Q45" s="65">
        <f t="shared" si="4"/>
        <v>0</v>
      </c>
      <c r="R45" s="1"/>
      <c r="U45" s="68"/>
    </row>
    <row r="46">
      <c r="A46" s="1"/>
      <c r="B46" s="41" t="s">
        <v>23</v>
      </c>
      <c r="C46" s="19"/>
      <c r="D46" s="20"/>
      <c r="E46" s="70" t="str">
        <f t="shared" si="1"/>
        <v/>
      </c>
      <c r="F46" s="1"/>
      <c r="G46" s="1"/>
      <c r="H46" s="51"/>
      <c r="I46" s="52"/>
      <c r="J46" s="51"/>
      <c r="K46" s="1"/>
      <c r="L46" s="53" t="str">
        <f t="shared" si="2"/>
        <v/>
      </c>
      <c r="M46" s="54" t="str">
        <f t="shared" si="3"/>
        <v/>
      </c>
      <c r="N46" s="67" t="str">
        <f t="shared" si="5"/>
        <v/>
      </c>
      <c r="O46" s="56">
        <f t="shared" si="6"/>
        <v>0</v>
      </c>
      <c r="P46" s="56">
        <f t="shared" si="7"/>
        <v>0</v>
      </c>
      <c r="Q46" s="65">
        <f t="shared" si="4"/>
        <v>0</v>
      </c>
      <c r="R46" s="1"/>
      <c r="U46" s="68"/>
    </row>
    <row r="47">
      <c r="A47" s="1"/>
      <c r="B47" s="41" t="s">
        <v>25</v>
      </c>
      <c r="C47" s="19"/>
      <c r="D47" s="20"/>
      <c r="E47" s="70" t="str">
        <f t="shared" si="1"/>
        <v/>
      </c>
      <c r="F47" s="1"/>
      <c r="G47" s="1"/>
      <c r="H47" s="51"/>
      <c r="I47" s="52"/>
      <c r="J47" s="51"/>
      <c r="K47" s="1"/>
      <c r="L47" s="53" t="str">
        <f t="shared" si="2"/>
        <v/>
      </c>
      <c r="M47" s="54" t="str">
        <f t="shared" si="3"/>
        <v/>
      </c>
      <c r="N47" s="67" t="str">
        <f t="shared" si="5"/>
        <v/>
      </c>
      <c r="O47" s="56">
        <f t="shared" si="6"/>
        <v>0</v>
      </c>
      <c r="P47" s="56">
        <f t="shared" si="7"/>
        <v>0</v>
      </c>
      <c r="Q47" s="65">
        <f t="shared" si="4"/>
        <v>0</v>
      </c>
      <c r="R47" s="1"/>
      <c r="U47" s="68"/>
    </row>
    <row r="48">
      <c r="A48" s="1"/>
      <c r="B48" s="41" t="s">
        <v>23</v>
      </c>
      <c r="C48" s="19"/>
      <c r="D48" s="20"/>
      <c r="E48" s="70" t="str">
        <f t="shared" si="1"/>
        <v/>
      </c>
      <c r="F48" s="1"/>
      <c r="G48" s="1"/>
      <c r="H48" s="51"/>
      <c r="I48" s="52"/>
      <c r="J48" s="51"/>
      <c r="K48" s="1"/>
      <c r="L48" s="53" t="str">
        <f t="shared" si="2"/>
        <v/>
      </c>
      <c r="M48" s="54" t="str">
        <f t="shared" si="3"/>
        <v/>
      </c>
      <c r="N48" s="67" t="str">
        <f t="shared" si="5"/>
        <v/>
      </c>
      <c r="O48" s="56">
        <f t="shared" si="6"/>
        <v>0</v>
      </c>
      <c r="P48" s="56">
        <f t="shared" si="7"/>
        <v>0</v>
      </c>
      <c r="Q48" s="65">
        <f t="shared" si="4"/>
        <v>0</v>
      </c>
      <c r="R48" s="1"/>
      <c r="U48" s="68"/>
    </row>
    <row r="49">
      <c r="A49" s="1"/>
      <c r="B49" s="41" t="s">
        <v>25</v>
      </c>
      <c r="C49" s="19"/>
      <c r="D49" s="20"/>
      <c r="E49" s="70" t="str">
        <f t="shared" si="1"/>
        <v/>
      </c>
      <c r="F49" s="1"/>
      <c r="G49" s="1"/>
      <c r="H49" s="51"/>
      <c r="I49" s="52"/>
      <c r="J49" s="51"/>
      <c r="K49" s="1"/>
      <c r="L49" s="53" t="str">
        <f t="shared" si="2"/>
        <v/>
      </c>
      <c r="M49" s="54" t="str">
        <f t="shared" si="3"/>
        <v/>
      </c>
      <c r="N49" s="67" t="str">
        <f t="shared" si="5"/>
        <v/>
      </c>
      <c r="O49" s="56">
        <f t="shared" si="6"/>
        <v>0</v>
      </c>
      <c r="P49" s="56">
        <f t="shared" si="7"/>
        <v>0</v>
      </c>
      <c r="Q49" s="65">
        <f t="shared" si="4"/>
        <v>0</v>
      </c>
      <c r="R49" s="1"/>
      <c r="U49" s="68"/>
    </row>
    <row r="50">
      <c r="A50" s="1"/>
      <c r="B50" s="41" t="s">
        <v>23</v>
      </c>
      <c r="C50" s="19"/>
      <c r="D50" s="20"/>
      <c r="E50" s="70" t="str">
        <f t="shared" si="1"/>
        <v/>
      </c>
      <c r="F50" s="1"/>
      <c r="G50" s="1"/>
      <c r="H50" s="51"/>
      <c r="I50" s="52"/>
      <c r="J50" s="51"/>
      <c r="K50" s="1"/>
      <c r="L50" s="53" t="str">
        <f t="shared" si="2"/>
        <v/>
      </c>
      <c r="M50" s="54" t="str">
        <f t="shared" si="3"/>
        <v/>
      </c>
      <c r="N50" s="67" t="str">
        <f t="shared" si="5"/>
        <v/>
      </c>
      <c r="O50" s="56">
        <f t="shared" si="6"/>
        <v>0</v>
      </c>
      <c r="P50" s="56">
        <f t="shared" si="7"/>
        <v>0</v>
      </c>
      <c r="Q50" s="65">
        <f t="shared" si="4"/>
        <v>0</v>
      </c>
      <c r="R50" s="1"/>
      <c r="U50" s="68"/>
    </row>
    <row r="51">
      <c r="A51" s="1"/>
      <c r="B51" s="41" t="s">
        <v>25</v>
      </c>
      <c r="C51" s="19"/>
      <c r="D51" s="20"/>
      <c r="E51" s="70" t="str">
        <f t="shared" si="1"/>
        <v/>
      </c>
      <c r="F51" s="1"/>
      <c r="G51" s="1"/>
      <c r="H51" s="51"/>
      <c r="I51" s="52"/>
      <c r="J51" s="51"/>
      <c r="K51" s="1"/>
      <c r="L51" s="53" t="str">
        <f t="shared" si="2"/>
        <v/>
      </c>
      <c r="M51" s="54" t="str">
        <f t="shared" si="3"/>
        <v/>
      </c>
      <c r="N51" s="67" t="str">
        <f t="shared" si="5"/>
        <v/>
      </c>
      <c r="O51" s="56">
        <f t="shared" si="6"/>
        <v>0</v>
      </c>
      <c r="P51" s="56">
        <f t="shared" si="7"/>
        <v>0</v>
      </c>
      <c r="Q51" s="65">
        <f t="shared" si="4"/>
        <v>0</v>
      </c>
      <c r="R51" s="1"/>
      <c r="U51" s="68"/>
    </row>
    <row r="52">
      <c r="A52" s="1"/>
      <c r="B52" s="41"/>
      <c r="C52" s="19"/>
      <c r="D52" s="20"/>
      <c r="E52" s="70" t="str">
        <f t="shared" si="1"/>
        <v/>
      </c>
      <c r="F52" s="1"/>
      <c r="G52" s="1"/>
      <c r="H52" s="51"/>
      <c r="I52" s="52"/>
      <c r="J52" s="51"/>
      <c r="K52" s="1"/>
      <c r="L52" s="53" t="str">
        <f t="shared" si="2"/>
        <v/>
      </c>
      <c r="M52" s="54" t="str">
        <f t="shared" si="3"/>
        <v/>
      </c>
      <c r="N52" s="67" t="str">
        <f t="shared" si="5"/>
        <v/>
      </c>
      <c r="O52" s="56">
        <f t="shared" si="6"/>
        <v>0</v>
      </c>
      <c r="P52" s="56">
        <f t="shared" si="7"/>
        <v>0</v>
      </c>
      <c r="Q52" s="65">
        <f t="shared" si="4"/>
        <v>0</v>
      </c>
      <c r="R52" s="1"/>
      <c r="U52" s="68"/>
    </row>
    <row r="53">
      <c r="A53" s="1"/>
      <c r="B53" s="41"/>
      <c r="C53" s="19"/>
      <c r="D53" s="20"/>
      <c r="E53" s="70" t="str">
        <f t="shared" si="1"/>
        <v/>
      </c>
      <c r="F53" s="1"/>
      <c r="G53" s="1"/>
      <c r="H53" s="51"/>
      <c r="I53" s="52"/>
      <c r="J53" s="51"/>
      <c r="K53" s="1"/>
      <c r="L53" s="53" t="str">
        <f t="shared" si="2"/>
        <v/>
      </c>
      <c r="M53" s="54" t="str">
        <f t="shared" si="3"/>
        <v/>
      </c>
      <c r="N53" s="67" t="str">
        <f t="shared" si="5"/>
        <v/>
      </c>
      <c r="O53" s="56">
        <f t="shared" si="6"/>
        <v>0</v>
      </c>
      <c r="P53" s="56">
        <f t="shared" si="7"/>
        <v>0</v>
      </c>
      <c r="Q53" s="65">
        <f t="shared" si="4"/>
        <v>0</v>
      </c>
      <c r="R53" s="1"/>
      <c r="U53" s="68"/>
    </row>
    <row r="54">
      <c r="A54" s="1"/>
      <c r="B54" s="41"/>
      <c r="C54" s="19"/>
      <c r="D54" s="20"/>
      <c r="E54" s="70" t="str">
        <f t="shared" si="1"/>
        <v/>
      </c>
      <c r="F54" s="1"/>
      <c r="G54" s="1"/>
      <c r="H54" s="51"/>
      <c r="I54" s="52"/>
      <c r="J54" s="51"/>
      <c r="K54" s="1"/>
      <c r="L54" s="53" t="str">
        <f t="shared" si="2"/>
        <v/>
      </c>
      <c r="M54" s="54" t="str">
        <f t="shared" si="3"/>
        <v/>
      </c>
      <c r="N54" s="67" t="str">
        <f t="shared" si="5"/>
        <v/>
      </c>
      <c r="O54" s="56">
        <f t="shared" si="6"/>
        <v>0</v>
      </c>
      <c r="P54" s="56">
        <f t="shared" si="7"/>
        <v>0</v>
      </c>
      <c r="Q54" s="65">
        <f t="shared" si="4"/>
        <v>0</v>
      </c>
      <c r="R54" s="1"/>
      <c r="U54" s="68"/>
    </row>
    <row r="55">
      <c r="A55" s="1"/>
      <c r="B55" s="41"/>
      <c r="C55" s="19"/>
      <c r="D55" s="20"/>
      <c r="E55" s="70" t="str">
        <f t="shared" si="1"/>
        <v/>
      </c>
      <c r="F55" s="1"/>
      <c r="G55" s="1"/>
      <c r="H55" s="51"/>
      <c r="I55" s="52"/>
      <c r="J55" s="51"/>
      <c r="K55" s="1"/>
      <c r="L55" s="53" t="str">
        <f t="shared" si="2"/>
        <v/>
      </c>
      <c r="M55" s="54" t="str">
        <f t="shared" si="3"/>
        <v/>
      </c>
      <c r="N55" s="67" t="str">
        <f t="shared" si="5"/>
        <v/>
      </c>
      <c r="O55" s="56">
        <f t="shared" si="6"/>
        <v>0</v>
      </c>
      <c r="P55" s="56">
        <f t="shared" si="7"/>
        <v>0</v>
      </c>
      <c r="Q55" s="65">
        <f t="shared" si="4"/>
        <v>0</v>
      </c>
      <c r="R55" s="1"/>
      <c r="U55" s="68"/>
    </row>
    <row r="56">
      <c r="A56" s="1"/>
      <c r="B56" s="41"/>
      <c r="C56" s="19"/>
      <c r="D56" s="20"/>
      <c r="E56" s="70" t="str">
        <f t="shared" si="1"/>
        <v/>
      </c>
      <c r="F56" s="1"/>
      <c r="G56" s="1"/>
      <c r="H56" s="51"/>
      <c r="I56" s="52"/>
      <c r="J56" s="51"/>
      <c r="K56" s="1"/>
      <c r="L56" s="53" t="str">
        <f t="shared" si="2"/>
        <v/>
      </c>
      <c r="M56" s="54" t="str">
        <f t="shared" si="3"/>
        <v/>
      </c>
      <c r="N56" s="67" t="str">
        <f t="shared" si="5"/>
        <v/>
      </c>
      <c r="O56" s="56">
        <f t="shared" si="6"/>
        <v>0</v>
      </c>
      <c r="P56" s="56">
        <f t="shared" si="7"/>
        <v>0</v>
      </c>
      <c r="Q56" s="65">
        <f t="shared" si="4"/>
        <v>0</v>
      </c>
      <c r="R56" s="1"/>
      <c r="U56" s="68"/>
    </row>
    <row r="57">
      <c r="A57" s="1"/>
      <c r="B57" s="41"/>
      <c r="C57" s="19"/>
      <c r="D57" s="20"/>
      <c r="E57" s="70" t="str">
        <f t="shared" si="1"/>
        <v/>
      </c>
      <c r="F57" s="1"/>
      <c r="G57" s="1"/>
      <c r="H57" s="51"/>
      <c r="I57" s="52"/>
      <c r="J57" s="51"/>
      <c r="K57" s="1"/>
      <c r="L57" s="53" t="str">
        <f t="shared" si="2"/>
        <v/>
      </c>
      <c r="M57" s="54" t="str">
        <f t="shared" si="3"/>
        <v/>
      </c>
      <c r="N57" s="67" t="str">
        <f t="shared" si="5"/>
        <v/>
      </c>
      <c r="O57" s="56">
        <f t="shared" si="6"/>
        <v>0</v>
      </c>
      <c r="P57" s="56">
        <f t="shared" si="7"/>
        <v>0</v>
      </c>
      <c r="Q57" s="65">
        <f t="shared" si="4"/>
        <v>0</v>
      </c>
      <c r="R57" s="1"/>
      <c r="U57" s="68"/>
    </row>
    <row r="58">
      <c r="A58" s="1"/>
      <c r="B58" s="41"/>
      <c r="C58" s="19"/>
      <c r="D58" s="20"/>
      <c r="E58" s="70" t="str">
        <f t="shared" si="1"/>
        <v/>
      </c>
      <c r="F58" s="1"/>
      <c r="G58" s="1"/>
      <c r="H58" s="51"/>
      <c r="I58" s="52"/>
      <c r="J58" s="51"/>
      <c r="K58" s="1"/>
      <c r="L58" s="53" t="str">
        <f t="shared" si="2"/>
        <v/>
      </c>
      <c r="M58" s="54" t="str">
        <f t="shared" si="3"/>
        <v/>
      </c>
      <c r="N58" s="67" t="str">
        <f t="shared" si="5"/>
        <v/>
      </c>
      <c r="O58" s="56">
        <f t="shared" si="6"/>
        <v>0</v>
      </c>
      <c r="P58" s="56">
        <f t="shared" si="7"/>
        <v>0</v>
      </c>
      <c r="Q58" s="65">
        <f t="shared" si="4"/>
        <v>0</v>
      </c>
      <c r="R58" s="1"/>
      <c r="U58" s="68"/>
    </row>
    <row r="59">
      <c r="A59" s="1"/>
      <c r="B59" s="41"/>
      <c r="C59" s="19"/>
      <c r="D59" s="20"/>
      <c r="E59" s="70" t="str">
        <f t="shared" si="1"/>
        <v/>
      </c>
      <c r="F59" s="1"/>
      <c r="G59" s="1"/>
      <c r="H59" s="51"/>
      <c r="I59" s="52"/>
      <c r="J59" s="51"/>
      <c r="K59" s="1"/>
      <c r="L59" s="53" t="str">
        <f t="shared" si="2"/>
        <v/>
      </c>
      <c r="M59" s="54" t="str">
        <f t="shared" si="3"/>
        <v/>
      </c>
      <c r="N59" s="67" t="str">
        <f t="shared" si="5"/>
        <v/>
      </c>
      <c r="O59" s="56">
        <f t="shared" si="6"/>
        <v>0</v>
      </c>
      <c r="P59" s="56">
        <f t="shared" si="7"/>
        <v>0</v>
      </c>
      <c r="Q59" s="65">
        <f t="shared" si="4"/>
        <v>0</v>
      </c>
      <c r="R59" s="1"/>
      <c r="U59" s="68"/>
    </row>
    <row r="60">
      <c r="A60" s="1"/>
      <c r="B60" s="41"/>
      <c r="C60" s="19"/>
      <c r="D60" s="20"/>
      <c r="E60" s="70" t="str">
        <f t="shared" si="1"/>
        <v/>
      </c>
      <c r="F60" s="1"/>
      <c r="G60" s="1"/>
      <c r="H60" s="51"/>
      <c r="I60" s="52"/>
      <c r="J60" s="51"/>
      <c r="K60" s="1"/>
      <c r="L60" s="53" t="str">
        <f t="shared" si="2"/>
        <v/>
      </c>
      <c r="M60" s="54" t="str">
        <f t="shared" si="3"/>
        <v/>
      </c>
      <c r="N60" s="67" t="str">
        <f t="shared" si="5"/>
        <v/>
      </c>
      <c r="O60" s="56">
        <f t="shared" si="6"/>
        <v>0</v>
      </c>
      <c r="P60" s="56">
        <f t="shared" si="7"/>
        <v>0</v>
      </c>
      <c r="Q60" s="65">
        <f t="shared" si="4"/>
        <v>0</v>
      </c>
      <c r="R60" s="1"/>
      <c r="U60" s="68"/>
    </row>
    <row r="61">
      <c r="A61" s="1"/>
      <c r="B61" s="2"/>
      <c r="C61" s="51"/>
      <c r="D61" s="52"/>
      <c r="E61" s="70" t="str">
        <f t="shared" si="1"/>
        <v/>
      </c>
      <c r="F61" s="1"/>
      <c r="G61" s="1"/>
      <c r="H61" s="51"/>
      <c r="I61" s="52"/>
      <c r="J61" s="51"/>
      <c r="K61" s="1"/>
      <c r="L61" s="53" t="str">
        <f t="shared" si="2"/>
        <v/>
      </c>
      <c r="M61" s="54" t="str">
        <f t="shared" si="3"/>
        <v/>
      </c>
      <c r="N61" s="67" t="str">
        <f t="shared" si="5"/>
        <v/>
      </c>
      <c r="O61" s="56">
        <f t="shared" si="6"/>
        <v>0</v>
      </c>
      <c r="P61" s="56">
        <f t="shared" si="7"/>
        <v>0</v>
      </c>
      <c r="Q61" s="65">
        <f t="shared" si="4"/>
        <v>0</v>
      </c>
      <c r="R61" s="1"/>
      <c r="U61" s="68"/>
    </row>
    <row r="62">
      <c r="A62" s="1"/>
      <c r="B62" s="2"/>
      <c r="C62" s="51"/>
      <c r="D62" s="52"/>
      <c r="E62" s="70" t="str">
        <f t="shared" si="1"/>
        <v/>
      </c>
      <c r="F62" s="1"/>
      <c r="G62" s="1"/>
      <c r="H62" s="51"/>
      <c r="I62" s="52"/>
      <c r="J62" s="51"/>
      <c r="K62" s="1"/>
      <c r="L62" s="53" t="str">
        <f t="shared" si="2"/>
        <v/>
      </c>
      <c r="M62" s="54" t="str">
        <f t="shared" si="3"/>
        <v/>
      </c>
      <c r="N62" s="67" t="str">
        <f t="shared" si="5"/>
        <v/>
      </c>
      <c r="O62" s="56">
        <f t="shared" si="6"/>
        <v>0</v>
      </c>
      <c r="P62" s="56">
        <f t="shared" si="7"/>
        <v>0</v>
      </c>
      <c r="Q62" s="65">
        <f t="shared" si="4"/>
        <v>0</v>
      </c>
      <c r="R62" s="1"/>
      <c r="U62" s="68"/>
    </row>
    <row r="63">
      <c r="A63" s="1"/>
      <c r="B63" s="2"/>
      <c r="C63" s="51"/>
      <c r="D63" s="52"/>
      <c r="E63" s="70" t="str">
        <f t="shared" si="1"/>
        <v/>
      </c>
      <c r="F63" s="1"/>
      <c r="G63" s="1"/>
      <c r="H63" s="51"/>
      <c r="I63" s="52"/>
      <c r="J63" s="51"/>
      <c r="K63" s="1"/>
      <c r="L63" s="53" t="str">
        <f t="shared" si="2"/>
        <v/>
      </c>
      <c r="M63" s="54" t="str">
        <f t="shared" si="3"/>
        <v/>
      </c>
      <c r="N63" s="67" t="str">
        <f t="shared" si="5"/>
        <v/>
      </c>
      <c r="O63" s="56">
        <f t="shared" si="6"/>
        <v>0</v>
      </c>
      <c r="P63" s="56">
        <f t="shared" si="7"/>
        <v>0</v>
      </c>
      <c r="Q63" s="65">
        <f t="shared" si="4"/>
        <v>0</v>
      </c>
      <c r="R63" s="1"/>
      <c r="U63" s="68"/>
    </row>
    <row r="64">
      <c r="A64" s="1"/>
      <c r="B64" s="2"/>
      <c r="C64" s="51"/>
      <c r="D64" s="52"/>
      <c r="E64" s="70" t="str">
        <f t="shared" si="1"/>
        <v/>
      </c>
      <c r="F64" s="1"/>
      <c r="G64" s="1"/>
      <c r="H64" s="51"/>
      <c r="I64" s="52"/>
      <c r="J64" s="51"/>
      <c r="K64" s="1"/>
      <c r="L64" s="53" t="str">
        <f t="shared" si="2"/>
        <v/>
      </c>
      <c r="M64" s="54" t="str">
        <f t="shared" si="3"/>
        <v/>
      </c>
      <c r="N64" s="67" t="str">
        <f t="shared" si="5"/>
        <v/>
      </c>
      <c r="O64" s="56">
        <f t="shared" si="6"/>
        <v>0</v>
      </c>
      <c r="P64" s="56">
        <f t="shared" si="7"/>
        <v>0</v>
      </c>
      <c r="Q64" s="65">
        <f t="shared" si="4"/>
        <v>0</v>
      </c>
      <c r="R64" s="1"/>
      <c r="U64" s="68"/>
    </row>
    <row r="65">
      <c r="A65" s="1"/>
      <c r="B65" s="2"/>
      <c r="C65" s="51"/>
      <c r="D65" s="52"/>
      <c r="E65" s="70" t="str">
        <f t="shared" si="1"/>
        <v/>
      </c>
      <c r="F65" s="1"/>
      <c r="G65" s="1"/>
      <c r="H65" s="51"/>
      <c r="I65" s="52"/>
      <c r="J65" s="51"/>
      <c r="K65" s="1"/>
      <c r="L65" s="53" t="str">
        <f t="shared" si="2"/>
        <v/>
      </c>
      <c r="M65" s="54" t="str">
        <f t="shared" si="3"/>
        <v/>
      </c>
      <c r="N65" s="67" t="str">
        <f t="shared" si="5"/>
        <v/>
      </c>
      <c r="O65" s="56">
        <f t="shared" si="6"/>
        <v>0</v>
      </c>
      <c r="P65" s="56">
        <f t="shared" si="7"/>
        <v>0</v>
      </c>
      <c r="Q65" s="65">
        <f t="shared" si="4"/>
        <v>0</v>
      </c>
      <c r="R65" s="1"/>
      <c r="U65" s="68"/>
    </row>
    <row r="66">
      <c r="A66" s="1"/>
      <c r="B66" s="2"/>
      <c r="C66" s="51"/>
      <c r="D66" s="52"/>
      <c r="E66" s="70" t="str">
        <f t="shared" si="1"/>
        <v/>
      </c>
      <c r="F66" s="1"/>
      <c r="G66" s="1"/>
      <c r="H66" s="51"/>
      <c r="I66" s="52"/>
      <c r="J66" s="51"/>
      <c r="K66" s="1"/>
      <c r="L66" s="53" t="str">
        <f t="shared" si="2"/>
        <v/>
      </c>
      <c r="M66" s="54" t="str">
        <f t="shared" si="3"/>
        <v/>
      </c>
      <c r="N66" s="67" t="str">
        <f t="shared" si="5"/>
        <v/>
      </c>
      <c r="O66" s="56">
        <f t="shared" si="6"/>
        <v>0</v>
      </c>
      <c r="P66" s="56">
        <f t="shared" si="7"/>
        <v>0</v>
      </c>
      <c r="Q66" s="65">
        <f t="shared" si="4"/>
        <v>0</v>
      </c>
      <c r="R66" s="1"/>
      <c r="U66" s="68"/>
    </row>
    <row r="67">
      <c r="A67" s="1"/>
      <c r="B67" s="2"/>
      <c r="C67" s="51"/>
      <c r="D67" s="52"/>
      <c r="E67" s="70" t="str">
        <f t="shared" si="1"/>
        <v/>
      </c>
      <c r="F67" s="1"/>
      <c r="G67" s="1"/>
      <c r="H67" s="51"/>
      <c r="I67" s="52"/>
      <c r="J67" s="51"/>
      <c r="K67" s="1"/>
      <c r="L67" s="53" t="str">
        <f t="shared" si="2"/>
        <v/>
      </c>
      <c r="M67" s="54" t="str">
        <f t="shared" si="3"/>
        <v/>
      </c>
      <c r="N67" s="67" t="str">
        <f t="shared" si="5"/>
        <v/>
      </c>
      <c r="O67" s="56">
        <f t="shared" si="6"/>
        <v>0</v>
      </c>
      <c r="P67" s="56">
        <f t="shared" si="7"/>
        <v>0</v>
      </c>
      <c r="Q67" s="65">
        <f t="shared" si="4"/>
        <v>0</v>
      </c>
      <c r="R67" s="1"/>
      <c r="U67" s="68"/>
    </row>
    <row r="68">
      <c r="A68" s="1"/>
      <c r="B68" s="2"/>
      <c r="C68" s="51"/>
      <c r="D68" s="52"/>
      <c r="E68" s="70" t="str">
        <f t="shared" si="1"/>
        <v/>
      </c>
      <c r="F68" s="1"/>
      <c r="G68" s="1"/>
      <c r="H68" s="51"/>
      <c r="I68" s="52"/>
      <c r="J68" s="51"/>
      <c r="K68" s="1"/>
      <c r="L68" s="53" t="str">
        <f t="shared" si="2"/>
        <v/>
      </c>
      <c r="M68" s="54" t="str">
        <f t="shared" si="3"/>
        <v/>
      </c>
      <c r="N68" s="67" t="str">
        <f t="shared" si="5"/>
        <v/>
      </c>
      <c r="O68" s="56">
        <f t="shared" si="6"/>
        <v>0</v>
      </c>
      <c r="P68" s="56">
        <f t="shared" si="7"/>
        <v>0</v>
      </c>
      <c r="Q68" s="65">
        <f t="shared" si="4"/>
        <v>0</v>
      </c>
      <c r="R68" s="1"/>
      <c r="U68" s="68"/>
    </row>
    <row r="69">
      <c r="A69" s="1"/>
      <c r="B69" s="2"/>
      <c r="C69" s="51"/>
      <c r="D69" s="52"/>
      <c r="E69" s="70" t="str">
        <f t="shared" si="1"/>
        <v/>
      </c>
      <c r="F69" s="1"/>
      <c r="G69" s="1"/>
      <c r="H69" s="51"/>
      <c r="I69" s="52"/>
      <c r="J69" s="51"/>
      <c r="K69" s="1"/>
      <c r="L69" s="53" t="str">
        <f t="shared" si="2"/>
        <v/>
      </c>
      <c r="M69" s="54" t="str">
        <f t="shared" si="3"/>
        <v/>
      </c>
      <c r="N69" s="67" t="str">
        <f t="shared" si="5"/>
        <v/>
      </c>
      <c r="O69" s="56">
        <f t="shared" si="6"/>
        <v>0</v>
      </c>
      <c r="P69" s="56">
        <f t="shared" si="7"/>
        <v>0</v>
      </c>
      <c r="Q69" s="65">
        <f t="shared" si="4"/>
        <v>0</v>
      </c>
      <c r="R69" s="1"/>
      <c r="U69" s="68"/>
    </row>
    <row r="70">
      <c r="A70" s="1"/>
      <c r="B70" s="2"/>
      <c r="C70" s="51"/>
      <c r="D70" s="52"/>
      <c r="E70" s="70" t="str">
        <f t="shared" si="1"/>
        <v/>
      </c>
      <c r="F70" s="1"/>
      <c r="G70" s="1"/>
      <c r="H70" s="51"/>
      <c r="I70" s="52"/>
      <c r="J70" s="51"/>
      <c r="K70" s="1"/>
      <c r="L70" s="53" t="str">
        <f t="shared" si="2"/>
        <v/>
      </c>
      <c r="M70" s="54" t="str">
        <f t="shared" si="3"/>
        <v/>
      </c>
      <c r="N70" s="67" t="str">
        <f t="shared" si="5"/>
        <v/>
      </c>
      <c r="O70" s="56">
        <f t="shared" si="6"/>
        <v>0</v>
      </c>
      <c r="P70" s="56">
        <f t="shared" si="7"/>
        <v>0</v>
      </c>
      <c r="Q70" s="65">
        <f t="shared" si="4"/>
        <v>0</v>
      </c>
      <c r="R70" s="1"/>
      <c r="U70" s="68"/>
    </row>
    <row r="71">
      <c r="A71" s="1"/>
      <c r="B71" s="2"/>
      <c r="C71" s="51"/>
      <c r="D71" s="52"/>
      <c r="E71" s="70" t="str">
        <f t="shared" si="1"/>
        <v/>
      </c>
      <c r="F71" s="1"/>
      <c r="G71" s="1"/>
      <c r="H71" s="51"/>
      <c r="I71" s="52"/>
      <c r="J71" s="51"/>
      <c r="K71" s="1"/>
      <c r="L71" s="53" t="str">
        <f t="shared" si="2"/>
        <v/>
      </c>
      <c r="M71" s="54" t="str">
        <f t="shared" si="3"/>
        <v/>
      </c>
      <c r="N71" s="67" t="str">
        <f t="shared" si="5"/>
        <v/>
      </c>
      <c r="O71" s="56">
        <f t="shared" si="6"/>
        <v>0</v>
      </c>
      <c r="P71" s="56">
        <f t="shared" si="7"/>
        <v>0</v>
      </c>
      <c r="Q71" s="65">
        <f t="shared" si="4"/>
        <v>0</v>
      </c>
      <c r="R71" s="1"/>
      <c r="U71" s="68"/>
    </row>
    <row r="72">
      <c r="A72" s="1"/>
      <c r="B72" s="2"/>
      <c r="C72" s="51"/>
      <c r="D72" s="52"/>
      <c r="E72" s="70" t="str">
        <f t="shared" si="1"/>
        <v/>
      </c>
      <c r="F72" s="1"/>
      <c r="G72" s="1"/>
      <c r="H72" s="51"/>
      <c r="I72" s="52"/>
      <c r="J72" s="51"/>
      <c r="K72" s="1"/>
      <c r="L72" s="53" t="str">
        <f t="shared" si="2"/>
        <v/>
      </c>
      <c r="M72" s="54" t="str">
        <f t="shared" si="3"/>
        <v/>
      </c>
      <c r="N72" s="67" t="str">
        <f t="shared" si="5"/>
        <v/>
      </c>
      <c r="O72" s="56">
        <f t="shared" si="6"/>
        <v>0</v>
      </c>
      <c r="P72" s="56">
        <f t="shared" si="7"/>
        <v>0</v>
      </c>
      <c r="Q72" s="65">
        <f t="shared" si="4"/>
        <v>0</v>
      </c>
      <c r="R72" s="1"/>
      <c r="U72" s="68"/>
    </row>
    <row r="73">
      <c r="A73" s="1"/>
      <c r="B73" s="2"/>
      <c r="C73" s="51"/>
      <c r="D73" s="52"/>
      <c r="E73" s="70" t="str">
        <f t="shared" si="1"/>
        <v/>
      </c>
      <c r="F73" s="1"/>
      <c r="G73" s="1"/>
      <c r="H73" s="51"/>
      <c r="I73" s="52"/>
      <c r="J73" s="51"/>
      <c r="K73" s="1"/>
      <c r="L73" s="53" t="str">
        <f t="shared" si="2"/>
        <v/>
      </c>
      <c r="M73" s="54" t="str">
        <f t="shared" si="3"/>
        <v/>
      </c>
      <c r="N73" s="67" t="str">
        <f t="shared" si="5"/>
        <v/>
      </c>
      <c r="O73" s="56">
        <f t="shared" si="6"/>
        <v>0</v>
      </c>
      <c r="P73" s="56">
        <f t="shared" si="7"/>
        <v>0</v>
      </c>
      <c r="Q73" s="65">
        <f t="shared" si="4"/>
        <v>0</v>
      </c>
      <c r="R73" s="1"/>
      <c r="U73" s="68"/>
    </row>
    <row r="74">
      <c r="A74" s="1"/>
      <c r="B74" s="2"/>
      <c r="C74" s="51"/>
      <c r="D74" s="52"/>
      <c r="E74" s="70" t="str">
        <f t="shared" si="1"/>
        <v/>
      </c>
      <c r="F74" s="1"/>
      <c r="G74" s="1"/>
      <c r="H74" s="51"/>
      <c r="I74" s="52"/>
      <c r="J74" s="51"/>
      <c r="K74" s="1"/>
      <c r="L74" s="53" t="str">
        <f t="shared" si="2"/>
        <v/>
      </c>
      <c r="M74" s="54" t="str">
        <f t="shared" si="3"/>
        <v/>
      </c>
      <c r="N74" s="67" t="str">
        <f t="shared" si="5"/>
        <v/>
      </c>
      <c r="O74" s="56">
        <f t="shared" si="6"/>
        <v>0</v>
      </c>
      <c r="P74" s="56">
        <f t="shared" si="7"/>
        <v>0</v>
      </c>
      <c r="Q74" s="65">
        <f t="shared" si="4"/>
        <v>0</v>
      </c>
      <c r="R74" s="1"/>
      <c r="U74" s="68"/>
    </row>
    <row r="75">
      <c r="A75" s="1"/>
      <c r="B75" s="2"/>
      <c r="C75" s="51"/>
      <c r="D75" s="52"/>
      <c r="E75" s="70" t="str">
        <f t="shared" si="1"/>
        <v/>
      </c>
      <c r="F75" s="1"/>
      <c r="G75" s="1"/>
      <c r="H75" s="51"/>
      <c r="I75" s="52"/>
      <c r="J75" s="51"/>
      <c r="K75" s="1"/>
      <c r="L75" s="53" t="str">
        <f t="shared" si="2"/>
        <v/>
      </c>
      <c r="M75" s="54" t="str">
        <f t="shared" si="3"/>
        <v/>
      </c>
      <c r="N75" s="67" t="str">
        <f t="shared" si="5"/>
        <v/>
      </c>
      <c r="O75" s="56">
        <f t="shared" si="6"/>
        <v>0</v>
      </c>
      <c r="P75" s="56">
        <f t="shared" si="7"/>
        <v>0</v>
      </c>
      <c r="Q75" s="65">
        <f t="shared" si="4"/>
        <v>0</v>
      </c>
      <c r="R75" s="1"/>
      <c r="U75" s="68"/>
    </row>
    <row r="76">
      <c r="A76" s="1"/>
      <c r="B76" s="2"/>
      <c r="C76" s="51"/>
      <c r="D76" s="52"/>
      <c r="E76" s="70" t="str">
        <f t="shared" si="1"/>
        <v/>
      </c>
      <c r="F76" s="1"/>
      <c r="G76" s="1"/>
      <c r="H76" s="51"/>
      <c r="I76" s="52"/>
      <c r="J76" s="51"/>
      <c r="K76" s="1"/>
      <c r="L76" s="53" t="str">
        <f t="shared" si="2"/>
        <v/>
      </c>
      <c r="M76" s="54" t="str">
        <f t="shared" si="3"/>
        <v/>
      </c>
      <c r="N76" s="67" t="str">
        <f t="shared" si="5"/>
        <v/>
      </c>
      <c r="O76" s="56">
        <f t="shared" si="6"/>
        <v>0</v>
      </c>
      <c r="P76" s="56">
        <f t="shared" si="7"/>
        <v>0</v>
      </c>
      <c r="Q76" s="65">
        <f t="shared" si="4"/>
        <v>0</v>
      </c>
      <c r="R76" s="1"/>
      <c r="U76" s="68"/>
    </row>
    <row r="77">
      <c r="A77" s="1"/>
      <c r="B77" s="2"/>
      <c r="C77" s="51"/>
      <c r="D77" s="52"/>
      <c r="E77" s="70" t="str">
        <f t="shared" si="1"/>
        <v/>
      </c>
      <c r="F77" s="1"/>
      <c r="G77" s="1"/>
      <c r="H77" s="51"/>
      <c r="I77" s="52"/>
      <c r="J77" s="51"/>
      <c r="K77" s="1"/>
      <c r="L77" s="53" t="str">
        <f t="shared" si="2"/>
        <v/>
      </c>
      <c r="M77" s="54" t="str">
        <f t="shared" si="3"/>
        <v/>
      </c>
      <c r="N77" s="67" t="str">
        <f t="shared" si="5"/>
        <v/>
      </c>
      <c r="O77" s="56">
        <f t="shared" si="6"/>
        <v>0</v>
      </c>
      <c r="P77" s="56">
        <f t="shared" si="7"/>
        <v>0</v>
      </c>
      <c r="Q77" s="65">
        <f t="shared" si="4"/>
        <v>0</v>
      </c>
      <c r="R77" s="1"/>
      <c r="U77" s="68"/>
    </row>
    <row r="78">
      <c r="A78" s="1"/>
      <c r="B78" s="2"/>
      <c r="C78" s="51"/>
      <c r="D78" s="52"/>
      <c r="E78" s="70" t="str">
        <f t="shared" si="1"/>
        <v/>
      </c>
      <c r="F78" s="1"/>
      <c r="G78" s="1"/>
      <c r="H78" s="51"/>
      <c r="I78" s="52"/>
      <c r="J78" s="51"/>
      <c r="K78" s="1"/>
      <c r="L78" s="53" t="str">
        <f t="shared" si="2"/>
        <v/>
      </c>
      <c r="M78" s="54" t="str">
        <f t="shared" si="3"/>
        <v/>
      </c>
      <c r="N78" s="67" t="str">
        <f t="shared" si="5"/>
        <v/>
      </c>
      <c r="O78" s="56">
        <f t="shared" si="6"/>
        <v>0</v>
      </c>
      <c r="P78" s="56">
        <f t="shared" si="7"/>
        <v>0</v>
      </c>
      <c r="Q78" s="65">
        <f t="shared" si="4"/>
        <v>0</v>
      </c>
      <c r="R78" s="1"/>
      <c r="U78" s="68"/>
    </row>
    <row r="79">
      <c r="A79" s="1"/>
      <c r="B79" s="2"/>
      <c r="C79" s="51"/>
      <c r="D79" s="52"/>
      <c r="E79" s="70" t="str">
        <f t="shared" si="1"/>
        <v/>
      </c>
      <c r="F79" s="1"/>
      <c r="G79" s="1"/>
      <c r="H79" s="71"/>
      <c r="I79" s="52"/>
      <c r="J79" s="51"/>
      <c r="K79" s="1"/>
      <c r="L79" s="53" t="str">
        <f t="shared" si="2"/>
        <v/>
      </c>
      <c r="M79" s="54" t="str">
        <f t="shared" si="3"/>
        <v/>
      </c>
      <c r="N79" s="67" t="str">
        <f t="shared" si="5"/>
        <v/>
      </c>
      <c r="O79" s="56">
        <f t="shared" si="6"/>
        <v>0</v>
      </c>
      <c r="P79" s="56">
        <f t="shared" si="7"/>
        <v>0</v>
      </c>
      <c r="Q79" s="65">
        <f t="shared" si="4"/>
        <v>0</v>
      </c>
      <c r="R79" s="1"/>
      <c r="U79" s="68"/>
    </row>
    <row r="80">
      <c r="A80" s="1"/>
      <c r="B80" s="2"/>
      <c r="C80" s="51"/>
      <c r="D80" s="52"/>
      <c r="E80" s="70" t="str">
        <f t="shared" si="1"/>
        <v/>
      </c>
      <c r="F80" s="1"/>
      <c r="G80" s="1"/>
      <c r="H80" s="51"/>
      <c r="I80" s="52"/>
      <c r="J80" s="51"/>
      <c r="K80" s="1"/>
      <c r="L80" s="53" t="str">
        <f t="shared" si="2"/>
        <v/>
      </c>
      <c r="M80" s="54" t="str">
        <f t="shared" si="3"/>
        <v/>
      </c>
      <c r="N80" s="67" t="str">
        <f t="shared" si="5"/>
        <v/>
      </c>
      <c r="O80" s="56">
        <f t="shared" si="6"/>
        <v>0</v>
      </c>
      <c r="P80" s="56">
        <f t="shared" si="7"/>
        <v>0</v>
      </c>
      <c r="Q80" s="65">
        <f t="shared" si="4"/>
        <v>0</v>
      </c>
      <c r="R80" s="1"/>
      <c r="U80" s="68"/>
    </row>
    <row r="81">
      <c r="A81" s="1"/>
      <c r="B81" s="2"/>
      <c r="C81" s="51"/>
      <c r="D81" s="52"/>
      <c r="E81" s="70" t="str">
        <f t="shared" si="1"/>
        <v/>
      </c>
      <c r="F81" s="1"/>
      <c r="G81" s="1"/>
      <c r="H81" s="51"/>
      <c r="I81" s="52"/>
      <c r="J81" s="51"/>
      <c r="K81" s="1"/>
      <c r="L81" s="53" t="str">
        <f t="shared" si="2"/>
        <v/>
      </c>
      <c r="M81" s="54" t="str">
        <f t="shared" si="3"/>
        <v/>
      </c>
      <c r="N81" s="67" t="str">
        <f t="shared" si="5"/>
        <v/>
      </c>
      <c r="O81" s="56">
        <f t="shared" si="6"/>
        <v>0</v>
      </c>
      <c r="P81" s="56">
        <f t="shared" si="7"/>
        <v>0</v>
      </c>
      <c r="Q81" s="65">
        <f t="shared" si="4"/>
        <v>0</v>
      </c>
      <c r="R81" s="1"/>
      <c r="U81" s="68"/>
    </row>
    <row r="82">
      <c r="A82" s="1"/>
      <c r="B82" s="2"/>
      <c r="C82" s="51"/>
      <c r="D82" s="52"/>
      <c r="E82" s="70" t="str">
        <f t="shared" si="1"/>
        <v/>
      </c>
      <c r="F82" s="1"/>
      <c r="G82" s="1"/>
      <c r="H82" s="51"/>
      <c r="I82" s="52"/>
      <c r="J82" s="51"/>
      <c r="K82" s="1"/>
      <c r="L82" s="53" t="str">
        <f t="shared" si="2"/>
        <v/>
      </c>
      <c r="M82" s="54" t="str">
        <f t="shared" si="3"/>
        <v/>
      </c>
      <c r="N82" s="67" t="str">
        <f t="shared" si="5"/>
        <v/>
      </c>
      <c r="O82" s="56">
        <f t="shared" si="6"/>
        <v>0</v>
      </c>
      <c r="P82" s="56">
        <f t="shared" si="7"/>
        <v>0</v>
      </c>
      <c r="Q82" s="65">
        <f t="shared" si="4"/>
        <v>0</v>
      </c>
      <c r="R82" s="1"/>
      <c r="U82" s="68"/>
    </row>
    <row r="83">
      <c r="A83" s="1"/>
      <c r="B83" s="2"/>
      <c r="C83" s="71"/>
      <c r="D83" s="52"/>
      <c r="E83" s="70" t="str">
        <f t="shared" si="1"/>
        <v/>
      </c>
      <c r="F83" s="1"/>
      <c r="G83" s="1"/>
      <c r="H83" s="51"/>
      <c r="I83" s="52"/>
      <c r="J83" s="51"/>
      <c r="K83" s="1"/>
      <c r="L83" s="53" t="str">
        <f t="shared" si="2"/>
        <v/>
      </c>
      <c r="M83" s="54" t="str">
        <f t="shared" si="3"/>
        <v/>
      </c>
      <c r="N83" s="67" t="str">
        <f t="shared" si="5"/>
        <v/>
      </c>
      <c r="O83" s="56">
        <f t="shared" si="6"/>
        <v>0</v>
      </c>
      <c r="P83" s="56">
        <f t="shared" si="7"/>
        <v>0</v>
      </c>
      <c r="Q83" s="65">
        <f t="shared" si="4"/>
        <v>0</v>
      </c>
      <c r="R83" s="1"/>
    </row>
    <row r="84">
      <c r="A84" s="1"/>
      <c r="B84" s="2"/>
      <c r="C84" s="51"/>
      <c r="D84" s="52"/>
      <c r="E84" s="70" t="str">
        <f t="shared" si="1"/>
        <v/>
      </c>
      <c r="F84" s="1"/>
      <c r="G84" s="1"/>
      <c r="H84" s="51"/>
      <c r="I84" s="52"/>
      <c r="J84" s="51"/>
      <c r="K84" s="1"/>
      <c r="L84" s="53" t="str">
        <f t="shared" si="2"/>
        <v/>
      </c>
      <c r="M84" s="54" t="str">
        <f t="shared" si="3"/>
        <v/>
      </c>
      <c r="N84" s="67" t="str">
        <f t="shared" si="5"/>
        <v/>
      </c>
      <c r="O84" s="56">
        <f t="shared" si="6"/>
        <v>0</v>
      </c>
      <c r="P84" s="56">
        <f t="shared" si="7"/>
        <v>0</v>
      </c>
      <c r="Q84" s="65">
        <f t="shared" si="4"/>
        <v>0</v>
      </c>
      <c r="R84" s="1"/>
    </row>
    <row r="85">
      <c r="A85" s="1"/>
      <c r="B85" s="2"/>
      <c r="C85" s="51"/>
      <c r="D85" s="52"/>
      <c r="E85" s="70" t="str">
        <f t="shared" si="1"/>
        <v/>
      </c>
      <c r="F85" s="1"/>
      <c r="G85" s="1"/>
      <c r="H85" s="51"/>
      <c r="I85" s="52"/>
      <c r="J85" s="51"/>
      <c r="K85" s="1"/>
      <c r="L85" s="53" t="str">
        <f t="shared" si="2"/>
        <v/>
      </c>
      <c r="M85" s="54" t="str">
        <f t="shared" si="3"/>
        <v/>
      </c>
      <c r="N85" s="67" t="str">
        <f t="shared" si="5"/>
        <v/>
      </c>
      <c r="O85" s="56">
        <f t="shared" si="6"/>
        <v>0</v>
      </c>
      <c r="P85" s="56">
        <f t="shared" si="7"/>
        <v>0</v>
      </c>
      <c r="Q85" s="65">
        <f t="shared" si="4"/>
        <v>0</v>
      </c>
      <c r="R85" s="1"/>
    </row>
    <row r="86">
      <c r="A86" s="1"/>
      <c r="B86" s="2"/>
      <c r="C86" s="51"/>
      <c r="D86" s="52"/>
      <c r="E86" s="70" t="str">
        <f t="shared" si="1"/>
        <v/>
      </c>
      <c r="F86" s="1"/>
      <c r="G86" s="1"/>
      <c r="H86" s="71"/>
      <c r="I86" s="52"/>
      <c r="J86" s="51"/>
      <c r="K86" s="1"/>
      <c r="L86" s="53" t="str">
        <f t="shared" si="2"/>
        <v/>
      </c>
      <c r="M86" s="54" t="str">
        <f t="shared" si="3"/>
        <v/>
      </c>
      <c r="N86" s="67" t="str">
        <f t="shared" si="5"/>
        <v/>
      </c>
      <c r="O86" s="56">
        <f t="shared" si="6"/>
        <v>0</v>
      </c>
      <c r="P86" s="56">
        <f t="shared" si="7"/>
        <v>0</v>
      </c>
      <c r="Q86" s="65">
        <f t="shared" si="4"/>
        <v>0</v>
      </c>
      <c r="R86" s="1"/>
    </row>
    <row r="87">
      <c r="A87" s="1"/>
      <c r="B87" s="2"/>
      <c r="C87" s="51"/>
      <c r="D87" s="52"/>
      <c r="E87" s="70" t="str">
        <f t="shared" si="1"/>
        <v/>
      </c>
      <c r="F87" s="1"/>
      <c r="G87" s="1"/>
      <c r="H87" s="71"/>
      <c r="I87" s="52"/>
      <c r="J87" s="51"/>
      <c r="K87" s="1"/>
      <c r="L87" s="53" t="str">
        <f t="shared" si="2"/>
        <v/>
      </c>
      <c r="M87" s="54" t="str">
        <f t="shared" si="3"/>
        <v/>
      </c>
      <c r="N87" s="67" t="str">
        <f t="shared" si="5"/>
        <v/>
      </c>
      <c r="O87" s="56">
        <f t="shared" si="6"/>
        <v>0</v>
      </c>
      <c r="P87" s="56">
        <f t="shared" si="7"/>
        <v>0</v>
      </c>
      <c r="Q87" s="65">
        <f t="shared" si="4"/>
        <v>0</v>
      </c>
      <c r="R87" s="1"/>
    </row>
    <row r="88">
      <c r="A88" s="1"/>
      <c r="B88" s="2"/>
      <c r="C88" s="51"/>
      <c r="D88" s="52"/>
      <c r="E88" s="70" t="str">
        <f t="shared" si="1"/>
        <v/>
      </c>
      <c r="F88" s="1"/>
      <c r="G88" s="1"/>
      <c r="H88" s="51"/>
      <c r="I88" s="52"/>
      <c r="J88" s="51"/>
      <c r="K88" s="1"/>
      <c r="L88" s="53" t="str">
        <f t="shared" si="2"/>
        <v/>
      </c>
      <c r="M88" s="54" t="str">
        <f t="shared" si="3"/>
        <v/>
      </c>
      <c r="N88" s="67" t="str">
        <f t="shared" si="5"/>
        <v/>
      </c>
      <c r="O88" s="56">
        <f t="shared" si="6"/>
        <v>0</v>
      </c>
      <c r="P88" s="56">
        <f t="shared" si="7"/>
        <v>0</v>
      </c>
      <c r="Q88" s="65">
        <f t="shared" si="4"/>
        <v>0</v>
      </c>
      <c r="R88" s="1"/>
    </row>
    <row r="89">
      <c r="A89" s="1"/>
      <c r="B89" s="2"/>
      <c r="C89" s="51"/>
      <c r="D89" s="52"/>
      <c r="E89" s="70" t="str">
        <f t="shared" si="1"/>
        <v/>
      </c>
      <c r="F89" s="1"/>
      <c r="G89" s="1"/>
      <c r="H89" s="51"/>
      <c r="I89" s="52"/>
      <c r="J89" s="51"/>
      <c r="K89" s="1"/>
      <c r="L89" s="53" t="str">
        <f t="shared" si="2"/>
        <v/>
      </c>
      <c r="M89" s="54" t="str">
        <f t="shared" si="3"/>
        <v/>
      </c>
      <c r="N89" s="67" t="str">
        <f t="shared" si="5"/>
        <v/>
      </c>
      <c r="O89" s="56">
        <f t="shared" si="6"/>
        <v>0</v>
      </c>
      <c r="P89" s="56">
        <f t="shared" si="7"/>
        <v>0</v>
      </c>
      <c r="Q89" s="65">
        <f t="shared" si="4"/>
        <v>0</v>
      </c>
      <c r="R89" s="1"/>
    </row>
    <row r="90">
      <c r="A90" s="1"/>
      <c r="B90" s="2"/>
      <c r="C90" s="71"/>
      <c r="D90" s="52"/>
      <c r="E90" s="70" t="str">
        <f t="shared" si="1"/>
        <v/>
      </c>
      <c r="F90" s="1"/>
      <c r="G90" s="1"/>
      <c r="H90" s="51"/>
      <c r="I90" s="52"/>
      <c r="J90" s="51"/>
      <c r="K90" s="1"/>
      <c r="L90" s="53" t="str">
        <f t="shared" si="2"/>
        <v/>
      </c>
      <c r="M90" s="54" t="str">
        <f t="shared" si="3"/>
        <v/>
      </c>
      <c r="N90" s="67" t="str">
        <f t="shared" si="5"/>
        <v/>
      </c>
      <c r="O90" s="56">
        <f t="shared" si="6"/>
        <v>0</v>
      </c>
      <c r="P90" s="56">
        <f t="shared" si="7"/>
        <v>0</v>
      </c>
      <c r="Q90" s="65">
        <f t="shared" si="4"/>
        <v>0</v>
      </c>
      <c r="R90" s="1"/>
    </row>
    <row r="91">
      <c r="A91" s="1"/>
      <c r="B91" s="2"/>
      <c r="C91" s="71"/>
      <c r="D91" s="52"/>
      <c r="E91" s="70" t="str">
        <f t="shared" si="1"/>
        <v/>
      </c>
      <c r="F91" s="1"/>
      <c r="G91" s="1"/>
      <c r="H91" s="51"/>
      <c r="I91" s="52"/>
      <c r="J91" s="51"/>
      <c r="K91" s="1"/>
      <c r="L91" s="53" t="str">
        <f t="shared" si="2"/>
        <v/>
      </c>
      <c r="M91" s="54" t="str">
        <f t="shared" si="3"/>
        <v/>
      </c>
      <c r="N91" s="67" t="str">
        <f t="shared" si="5"/>
        <v/>
      </c>
      <c r="O91" s="56">
        <f t="shared" si="6"/>
        <v>0</v>
      </c>
      <c r="P91" s="56">
        <f t="shared" si="7"/>
        <v>0</v>
      </c>
      <c r="Q91" s="65">
        <f t="shared" si="4"/>
        <v>0</v>
      </c>
      <c r="R91" s="1"/>
    </row>
    <row r="92">
      <c r="A92" s="1"/>
      <c r="B92" s="2"/>
      <c r="C92" s="51"/>
      <c r="D92" s="52"/>
      <c r="E92" s="70" t="str">
        <f t="shared" si="1"/>
        <v/>
      </c>
      <c r="F92" s="1"/>
      <c r="G92" s="1"/>
      <c r="H92" s="51"/>
      <c r="I92" s="52"/>
      <c r="J92" s="51"/>
      <c r="K92" s="1"/>
      <c r="L92" s="53" t="str">
        <f t="shared" si="2"/>
        <v/>
      </c>
      <c r="M92" s="54" t="str">
        <f t="shared" si="3"/>
        <v/>
      </c>
      <c r="N92" s="67" t="str">
        <f t="shared" si="5"/>
        <v/>
      </c>
      <c r="O92" s="56">
        <f t="shared" si="6"/>
        <v>0</v>
      </c>
      <c r="P92" s="56">
        <f t="shared" si="7"/>
        <v>0</v>
      </c>
      <c r="Q92" s="65">
        <f t="shared" si="4"/>
        <v>0</v>
      </c>
      <c r="R92" s="1"/>
    </row>
    <row r="93">
      <c r="A93" s="1"/>
      <c r="B93" s="2"/>
      <c r="C93" s="51"/>
      <c r="D93" s="52"/>
      <c r="E93" s="70" t="str">
        <f t="shared" si="1"/>
        <v/>
      </c>
      <c r="F93" s="1"/>
      <c r="G93" s="1"/>
      <c r="H93" s="51"/>
      <c r="I93" s="52"/>
      <c r="J93" s="51"/>
      <c r="K93" s="1"/>
      <c r="L93" s="53" t="str">
        <f t="shared" si="2"/>
        <v/>
      </c>
      <c r="M93" s="54" t="str">
        <f t="shared" si="3"/>
        <v/>
      </c>
      <c r="N93" s="67" t="str">
        <f t="shared" si="5"/>
        <v/>
      </c>
      <c r="O93" s="56">
        <f t="shared" si="6"/>
        <v>0</v>
      </c>
      <c r="P93" s="56">
        <f t="shared" si="7"/>
        <v>0</v>
      </c>
      <c r="Q93" s="65">
        <f t="shared" si="4"/>
        <v>0</v>
      </c>
      <c r="R93" s="1"/>
    </row>
    <row r="94">
      <c r="A94" s="1"/>
      <c r="B94" s="2"/>
      <c r="C94" s="51"/>
      <c r="D94" s="52"/>
      <c r="E94" s="70" t="str">
        <f t="shared" si="1"/>
        <v/>
      </c>
      <c r="F94" s="1"/>
      <c r="G94" s="1"/>
      <c r="H94" s="51"/>
      <c r="I94" s="52"/>
      <c r="J94" s="51"/>
      <c r="K94" s="1"/>
      <c r="L94" s="53" t="str">
        <f t="shared" si="2"/>
        <v/>
      </c>
      <c r="M94" s="54" t="str">
        <f t="shared" si="3"/>
        <v/>
      </c>
      <c r="N94" s="67" t="str">
        <f t="shared" si="5"/>
        <v/>
      </c>
      <c r="O94" s="56">
        <f t="shared" si="6"/>
        <v>0</v>
      </c>
      <c r="P94" s="56">
        <f t="shared" si="7"/>
        <v>0</v>
      </c>
      <c r="Q94" s="65">
        <f t="shared" si="4"/>
        <v>0</v>
      </c>
      <c r="R94" s="1"/>
    </row>
    <row r="95">
      <c r="A95" s="1"/>
      <c r="B95" s="2"/>
      <c r="C95" s="51"/>
      <c r="D95" s="52"/>
      <c r="E95" s="70" t="str">
        <f t="shared" si="1"/>
        <v/>
      </c>
      <c r="F95" s="1"/>
      <c r="G95" s="1"/>
      <c r="H95" s="51"/>
      <c r="I95" s="52"/>
      <c r="J95" s="51"/>
      <c r="K95" s="1"/>
      <c r="L95" s="53" t="str">
        <f t="shared" si="2"/>
        <v/>
      </c>
      <c r="M95" s="54" t="str">
        <f t="shared" si="3"/>
        <v/>
      </c>
      <c r="N95" s="67" t="str">
        <f t="shared" si="5"/>
        <v/>
      </c>
      <c r="O95" s="56">
        <f t="shared" si="6"/>
        <v>0</v>
      </c>
      <c r="P95" s="56">
        <f t="shared" si="7"/>
        <v>0</v>
      </c>
      <c r="Q95" s="65">
        <f t="shared" si="4"/>
        <v>0</v>
      </c>
      <c r="R95" s="1"/>
    </row>
    <row r="96">
      <c r="A96" s="1"/>
      <c r="B96" s="2"/>
      <c r="C96" s="51"/>
      <c r="D96" s="52"/>
      <c r="E96" s="70" t="str">
        <f t="shared" si="1"/>
        <v/>
      </c>
      <c r="F96" s="1"/>
      <c r="G96" s="1"/>
      <c r="H96" s="51"/>
      <c r="I96" s="52"/>
      <c r="J96" s="51"/>
      <c r="K96" s="1"/>
      <c r="L96" s="53" t="str">
        <f t="shared" si="2"/>
        <v/>
      </c>
      <c r="M96" s="54" t="str">
        <f t="shared" si="3"/>
        <v/>
      </c>
      <c r="N96" s="67" t="str">
        <f t="shared" si="5"/>
        <v/>
      </c>
      <c r="O96" s="56">
        <f t="shared" si="6"/>
        <v>0</v>
      </c>
      <c r="P96" s="56">
        <f t="shared" si="7"/>
        <v>0</v>
      </c>
      <c r="Q96" s="65">
        <f t="shared" si="4"/>
        <v>0</v>
      </c>
      <c r="R96" s="1"/>
    </row>
    <row r="97">
      <c r="A97" s="1"/>
      <c r="B97" s="2"/>
      <c r="C97" s="51"/>
      <c r="D97" s="52"/>
      <c r="E97" s="70" t="str">
        <f t="shared" si="1"/>
        <v/>
      </c>
      <c r="F97" s="1"/>
      <c r="G97" s="1"/>
      <c r="H97" s="71"/>
      <c r="I97" s="52"/>
      <c r="J97" s="51"/>
      <c r="K97" s="1"/>
      <c r="L97" s="53" t="str">
        <f t="shared" si="2"/>
        <v/>
      </c>
      <c r="M97" s="54" t="str">
        <f t="shared" si="3"/>
        <v/>
      </c>
      <c r="N97" s="67" t="str">
        <f t="shared" si="5"/>
        <v/>
      </c>
      <c r="O97" s="56">
        <f t="shared" si="6"/>
        <v>0</v>
      </c>
      <c r="P97" s="56">
        <f t="shared" si="7"/>
        <v>0</v>
      </c>
      <c r="Q97" s="65">
        <f t="shared" si="4"/>
        <v>0</v>
      </c>
      <c r="R97" s="1"/>
    </row>
    <row r="98">
      <c r="A98" s="1"/>
      <c r="B98" s="2"/>
      <c r="C98" s="51"/>
      <c r="D98" s="52"/>
      <c r="E98" s="70" t="str">
        <f t="shared" si="1"/>
        <v/>
      </c>
      <c r="F98" s="1"/>
      <c r="G98" s="1"/>
      <c r="H98" s="51"/>
      <c r="I98" s="52"/>
      <c r="J98" s="51"/>
      <c r="K98" s="1"/>
      <c r="L98" s="53" t="str">
        <f t="shared" si="2"/>
        <v/>
      </c>
      <c r="M98" s="54" t="str">
        <f t="shared" si="3"/>
        <v/>
      </c>
      <c r="N98" s="67" t="str">
        <f t="shared" si="5"/>
        <v/>
      </c>
      <c r="O98" s="56">
        <f t="shared" si="6"/>
        <v>0</v>
      </c>
      <c r="P98" s="56">
        <f t="shared" si="7"/>
        <v>0</v>
      </c>
      <c r="Q98" s="65">
        <f t="shared" si="4"/>
        <v>0</v>
      </c>
      <c r="R98" s="1"/>
    </row>
    <row r="99">
      <c r="A99" s="1"/>
      <c r="B99" s="2"/>
      <c r="C99" s="71"/>
      <c r="D99" s="52"/>
      <c r="E99" s="70" t="str">
        <f t="shared" si="1"/>
        <v/>
      </c>
      <c r="F99" s="1"/>
      <c r="G99" s="1"/>
      <c r="H99" s="51"/>
      <c r="I99" s="52"/>
      <c r="J99" s="51"/>
      <c r="K99" s="1"/>
      <c r="L99" s="53" t="str">
        <f t="shared" si="2"/>
        <v/>
      </c>
      <c r="M99" s="54" t="str">
        <f t="shared" si="3"/>
        <v/>
      </c>
      <c r="N99" s="67" t="str">
        <f t="shared" si="5"/>
        <v/>
      </c>
      <c r="O99" s="56">
        <f t="shared" si="6"/>
        <v>0</v>
      </c>
      <c r="P99" s="56">
        <f t="shared" si="7"/>
        <v>0</v>
      </c>
      <c r="Q99" s="65">
        <f t="shared" si="4"/>
        <v>0</v>
      </c>
      <c r="R99" s="1"/>
    </row>
    <row r="100">
      <c r="A100" s="1"/>
      <c r="B100" s="2"/>
      <c r="C100" s="51"/>
      <c r="D100" s="52"/>
      <c r="E100" s="70" t="str">
        <f t="shared" si="1"/>
        <v/>
      </c>
      <c r="F100" s="1"/>
      <c r="G100" s="1"/>
      <c r="H100" s="51"/>
      <c r="I100" s="52"/>
      <c r="J100" s="51"/>
      <c r="K100" s="1"/>
      <c r="L100" s="53" t="str">
        <f t="shared" si="2"/>
        <v/>
      </c>
      <c r="M100" s="54" t="str">
        <f t="shared" si="3"/>
        <v/>
      </c>
      <c r="N100" s="67" t="str">
        <f t="shared" si="5"/>
        <v/>
      </c>
      <c r="O100" s="56">
        <f t="shared" si="6"/>
        <v>0</v>
      </c>
      <c r="P100" s="56">
        <f t="shared" si="7"/>
        <v>0</v>
      </c>
      <c r="Q100" s="65">
        <f t="shared" si="4"/>
        <v>0</v>
      </c>
      <c r="R100" s="1"/>
    </row>
    <row r="101">
      <c r="A101" s="1"/>
      <c r="B101" s="2"/>
      <c r="C101" s="51"/>
      <c r="D101" s="52"/>
      <c r="E101" s="70" t="str">
        <f t="shared" si="1"/>
        <v/>
      </c>
      <c r="F101" s="1"/>
      <c r="G101" s="1"/>
      <c r="H101" s="51"/>
      <c r="I101" s="52"/>
      <c r="J101" s="51"/>
      <c r="K101" s="1"/>
      <c r="L101" s="53" t="str">
        <f t="shared" si="2"/>
        <v/>
      </c>
      <c r="M101" s="54" t="str">
        <f t="shared" si="3"/>
        <v/>
      </c>
      <c r="N101" s="67" t="str">
        <f t="shared" si="5"/>
        <v/>
      </c>
      <c r="O101" s="56">
        <f t="shared" si="6"/>
        <v>0</v>
      </c>
      <c r="P101" s="56">
        <f t="shared" si="7"/>
        <v>0</v>
      </c>
      <c r="Q101" s="65">
        <f t="shared" si="4"/>
        <v>0</v>
      </c>
      <c r="R101" s="1"/>
    </row>
    <row r="102">
      <c r="A102" s="1"/>
      <c r="B102" s="2"/>
      <c r="C102" s="51"/>
      <c r="D102" s="52"/>
      <c r="E102" s="70" t="str">
        <f t="shared" si="1"/>
        <v/>
      </c>
      <c r="F102" s="1"/>
      <c r="G102" s="1"/>
      <c r="H102" s="51"/>
      <c r="I102" s="52"/>
      <c r="J102" s="51"/>
      <c r="K102" s="1"/>
      <c r="L102" s="53" t="str">
        <f t="shared" si="2"/>
        <v/>
      </c>
      <c r="M102" s="54" t="str">
        <f t="shared" si="3"/>
        <v/>
      </c>
      <c r="N102" s="67" t="str">
        <f t="shared" si="5"/>
        <v/>
      </c>
      <c r="O102" s="56">
        <f t="shared" si="6"/>
        <v>0</v>
      </c>
      <c r="P102" s="56">
        <f t="shared" si="7"/>
        <v>0</v>
      </c>
      <c r="Q102" s="65">
        <f t="shared" si="4"/>
        <v>0</v>
      </c>
      <c r="R102" s="1"/>
    </row>
    <row r="103">
      <c r="A103" s="1"/>
      <c r="B103" s="2"/>
      <c r="C103" s="51"/>
      <c r="D103" s="52"/>
      <c r="E103" s="70" t="str">
        <f t="shared" si="1"/>
        <v/>
      </c>
      <c r="F103" s="1"/>
      <c r="G103" s="1"/>
      <c r="H103" s="71"/>
      <c r="I103" s="52"/>
      <c r="J103" s="51"/>
      <c r="K103" s="1"/>
      <c r="L103" s="53" t="str">
        <f t="shared" si="2"/>
        <v/>
      </c>
      <c r="M103" s="54" t="str">
        <f t="shared" si="3"/>
        <v/>
      </c>
      <c r="N103" s="67" t="str">
        <f t="shared" si="5"/>
        <v/>
      </c>
      <c r="O103" s="56">
        <f t="shared" si="6"/>
        <v>0</v>
      </c>
      <c r="P103" s="56">
        <f t="shared" si="7"/>
        <v>0</v>
      </c>
      <c r="Q103" s="65">
        <f t="shared" si="4"/>
        <v>0</v>
      </c>
      <c r="R103" s="1"/>
    </row>
    <row r="104">
      <c r="A104" s="1"/>
      <c r="B104" s="2"/>
      <c r="C104" s="51"/>
      <c r="D104" s="52"/>
      <c r="E104" s="70" t="str">
        <f t="shared" si="1"/>
        <v/>
      </c>
      <c r="F104" s="1"/>
      <c r="G104" s="1"/>
      <c r="H104" s="51"/>
      <c r="I104" s="52"/>
      <c r="J104" s="51"/>
      <c r="K104" s="1"/>
      <c r="L104" s="53" t="str">
        <f t="shared" si="2"/>
        <v/>
      </c>
      <c r="M104" s="54" t="str">
        <f t="shared" si="3"/>
        <v/>
      </c>
      <c r="N104" s="67" t="str">
        <f t="shared" si="5"/>
        <v/>
      </c>
      <c r="O104" s="56">
        <f t="shared" si="6"/>
        <v>0</v>
      </c>
      <c r="P104" s="56">
        <f t="shared" si="7"/>
        <v>0</v>
      </c>
      <c r="Q104" s="65">
        <f t="shared" si="4"/>
        <v>0</v>
      </c>
      <c r="R104" s="1"/>
    </row>
    <row r="105">
      <c r="A105" s="1"/>
      <c r="B105" s="2"/>
      <c r="C105" s="71"/>
      <c r="D105" s="52"/>
      <c r="E105" s="70" t="str">
        <f t="shared" si="1"/>
        <v/>
      </c>
      <c r="F105" s="1"/>
      <c r="G105" s="1"/>
      <c r="H105" s="71"/>
      <c r="I105" s="52"/>
      <c r="J105" s="51"/>
      <c r="K105" s="1"/>
      <c r="L105" s="53" t="str">
        <f t="shared" si="2"/>
        <v/>
      </c>
      <c r="M105" s="54" t="str">
        <f t="shared" si="3"/>
        <v/>
      </c>
      <c r="N105" s="67" t="str">
        <f t="shared" si="5"/>
        <v/>
      </c>
      <c r="O105" s="56">
        <f t="shared" si="6"/>
        <v>0</v>
      </c>
      <c r="P105" s="56">
        <f t="shared" si="7"/>
        <v>0</v>
      </c>
      <c r="Q105" s="65">
        <f t="shared" si="4"/>
        <v>0</v>
      </c>
      <c r="R105" s="1"/>
    </row>
    <row r="106">
      <c r="A106" s="1"/>
      <c r="B106" s="2"/>
      <c r="C106" s="51"/>
      <c r="D106" s="52"/>
      <c r="E106" s="70" t="str">
        <f t="shared" si="1"/>
        <v/>
      </c>
      <c r="F106" s="1"/>
      <c r="G106" s="1"/>
      <c r="H106" s="51"/>
      <c r="I106" s="52"/>
      <c r="J106" s="51"/>
      <c r="K106" s="1"/>
      <c r="L106" s="53" t="str">
        <f t="shared" si="2"/>
        <v/>
      </c>
      <c r="M106" s="54" t="str">
        <f t="shared" si="3"/>
        <v/>
      </c>
      <c r="N106" s="67" t="str">
        <f t="shared" si="5"/>
        <v/>
      </c>
      <c r="O106" s="56">
        <f t="shared" si="6"/>
        <v>0</v>
      </c>
      <c r="P106" s="56">
        <f t="shared" si="7"/>
        <v>0</v>
      </c>
      <c r="Q106" s="65">
        <f t="shared" si="4"/>
        <v>0</v>
      </c>
      <c r="R106" s="1"/>
    </row>
    <row r="107">
      <c r="A107" s="1"/>
      <c r="B107" s="2"/>
      <c r="C107" s="51"/>
      <c r="D107" s="52"/>
      <c r="E107" s="70" t="str">
        <f t="shared" si="1"/>
        <v/>
      </c>
      <c r="F107" s="1"/>
      <c r="G107" s="1"/>
      <c r="H107" s="51"/>
      <c r="I107" s="52"/>
      <c r="J107" s="51"/>
      <c r="K107" s="1"/>
      <c r="L107" s="53" t="str">
        <f t="shared" si="2"/>
        <v/>
      </c>
      <c r="M107" s="54" t="str">
        <f t="shared" si="3"/>
        <v/>
      </c>
      <c r="N107" s="67" t="str">
        <f t="shared" si="5"/>
        <v/>
      </c>
      <c r="O107" s="56">
        <f t="shared" si="6"/>
        <v>0</v>
      </c>
      <c r="P107" s="56">
        <f t="shared" si="7"/>
        <v>0</v>
      </c>
      <c r="Q107" s="65">
        <f t="shared" si="4"/>
        <v>0</v>
      </c>
      <c r="R107" s="1"/>
    </row>
    <row r="108">
      <c r="A108" s="1"/>
      <c r="B108" s="2"/>
      <c r="C108" s="51"/>
      <c r="D108" s="52"/>
      <c r="E108" s="70" t="str">
        <f t="shared" si="1"/>
        <v/>
      </c>
      <c r="F108" s="1"/>
      <c r="G108" s="1"/>
      <c r="H108" s="51"/>
      <c r="I108" s="52"/>
      <c r="J108" s="51"/>
      <c r="K108" s="1"/>
      <c r="L108" s="53" t="str">
        <f t="shared" si="2"/>
        <v/>
      </c>
      <c r="M108" s="54" t="str">
        <f t="shared" si="3"/>
        <v/>
      </c>
      <c r="N108" s="67" t="str">
        <f t="shared" si="5"/>
        <v/>
      </c>
      <c r="O108" s="56">
        <f t="shared" si="6"/>
        <v>0</v>
      </c>
      <c r="P108" s="56">
        <f t="shared" si="7"/>
        <v>0</v>
      </c>
      <c r="Q108" s="65">
        <f t="shared" si="4"/>
        <v>0</v>
      </c>
      <c r="R108" s="1"/>
    </row>
    <row r="109">
      <c r="A109" s="1"/>
      <c r="B109" s="2"/>
      <c r="C109" s="51"/>
      <c r="D109" s="52"/>
      <c r="E109" s="70" t="str">
        <f t="shared" si="1"/>
        <v/>
      </c>
      <c r="F109" s="1"/>
      <c r="G109" s="1"/>
      <c r="H109" s="51"/>
      <c r="I109" s="52"/>
      <c r="J109" s="51"/>
      <c r="K109" s="1"/>
      <c r="L109" s="53" t="str">
        <f t="shared" si="2"/>
        <v/>
      </c>
      <c r="M109" s="54" t="str">
        <f t="shared" si="3"/>
        <v/>
      </c>
      <c r="N109" s="67" t="str">
        <f t="shared" si="5"/>
        <v/>
      </c>
      <c r="O109" s="56">
        <f t="shared" si="6"/>
        <v>0</v>
      </c>
      <c r="P109" s="56">
        <f t="shared" si="7"/>
        <v>0</v>
      </c>
      <c r="Q109" s="65">
        <f t="shared" si="4"/>
        <v>0</v>
      </c>
      <c r="R109" s="1"/>
    </row>
    <row r="110">
      <c r="A110" s="1"/>
      <c r="B110" s="2"/>
      <c r="C110" s="51"/>
      <c r="D110" s="52"/>
      <c r="E110" s="70" t="str">
        <f t="shared" si="1"/>
        <v/>
      </c>
      <c r="F110" s="1"/>
      <c r="G110" s="1"/>
      <c r="H110" s="51"/>
      <c r="I110" s="52"/>
      <c r="J110" s="51"/>
      <c r="K110" s="1"/>
      <c r="L110" s="53" t="str">
        <f t="shared" si="2"/>
        <v/>
      </c>
      <c r="M110" s="54" t="str">
        <f t="shared" si="3"/>
        <v/>
      </c>
      <c r="N110" s="67" t="str">
        <f t="shared" si="5"/>
        <v/>
      </c>
      <c r="O110" s="56">
        <f t="shared" si="6"/>
        <v>0</v>
      </c>
      <c r="P110" s="56">
        <f t="shared" si="7"/>
        <v>0</v>
      </c>
      <c r="Q110" s="65">
        <f t="shared" si="4"/>
        <v>0</v>
      </c>
      <c r="R110" s="1"/>
    </row>
    <row r="111">
      <c r="A111" s="1"/>
      <c r="B111" s="2"/>
      <c r="C111" s="51"/>
      <c r="D111" s="52"/>
      <c r="E111" s="70" t="str">
        <f t="shared" si="1"/>
        <v/>
      </c>
      <c r="F111" s="1"/>
      <c r="G111" s="1"/>
      <c r="H111" s="71"/>
      <c r="I111" s="52"/>
      <c r="J111" s="51"/>
      <c r="K111" s="1"/>
      <c r="L111" s="53" t="str">
        <f t="shared" si="2"/>
        <v/>
      </c>
      <c r="M111" s="54" t="str">
        <f t="shared" si="3"/>
        <v/>
      </c>
      <c r="N111" s="67" t="str">
        <f t="shared" si="5"/>
        <v/>
      </c>
      <c r="O111" s="56">
        <f t="shared" si="6"/>
        <v>0</v>
      </c>
      <c r="P111" s="56">
        <f t="shared" si="7"/>
        <v>0</v>
      </c>
      <c r="Q111" s="65">
        <f t="shared" si="4"/>
        <v>0</v>
      </c>
      <c r="R111" s="1"/>
    </row>
    <row r="112">
      <c r="A112" s="1"/>
      <c r="B112" s="2"/>
      <c r="C112" s="51"/>
      <c r="D112" s="52"/>
      <c r="E112" s="70" t="str">
        <f t="shared" si="1"/>
        <v/>
      </c>
      <c r="F112" s="1"/>
      <c r="G112" s="1"/>
      <c r="H112" s="51"/>
      <c r="I112" s="52"/>
      <c r="J112" s="51"/>
      <c r="K112" s="1"/>
      <c r="L112" s="53" t="str">
        <f t="shared" si="2"/>
        <v/>
      </c>
      <c r="M112" s="54" t="str">
        <f t="shared" si="3"/>
        <v/>
      </c>
      <c r="N112" s="67" t="str">
        <f t="shared" si="5"/>
        <v/>
      </c>
      <c r="O112" s="56">
        <f t="shared" si="6"/>
        <v>0</v>
      </c>
      <c r="P112" s="56">
        <f t="shared" si="7"/>
        <v>0</v>
      </c>
      <c r="Q112" s="65">
        <f t="shared" si="4"/>
        <v>0</v>
      </c>
      <c r="R112" s="1"/>
    </row>
    <row r="113">
      <c r="A113" s="1"/>
      <c r="B113" s="2"/>
      <c r="C113" s="51"/>
      <c r="D113" s="52"/>
      <c r="E113" s="70" t="str">
        <f t="shared" si="1"/>
        <v/>
      </c>
      <c r="F113" s="1"/>
      <c r="G113" s="1"/>
      <c r="H113" s="51"/>
      <c r="I113" s="52"/>
      <c r="J113" s="51"/>
      <c r="K113" s="1"/>
      <c r="L113" s="53" t="str">
        <f t="shared" si="2"/>
        <v/>
      </c>
      <c r="M113" s="54" t="str">
        <f t="shared" si="3"/>
        <v/>
      </c>
      <c r="N113" s="67" t="str">
        <f t="shared" si="5"/>
        <v/>
      </c>
      <c r="O113" s="56">
        <f t="shared" si="6"/>
        <v>0</v>
      </c>
      <c r="P113" s="56">
        <f t="shared" si="7"/>
        <v>0</v>
      </c>
      <c r="Q113" s="65">
        <f t="shared" si="4"/>
        <v>0</v>
      </c>
      <c r="R113" s="1"/>
    </row>
    <row r="114">
      <c r="A114" s="1"/>
      <c r="B114" s="2"/>
      <c r="C114" s="71"/>
      <c r="D114" s="52"/>
      <c r="E114" s="70" t="str">
        <f t="shared" si="1"/>
        <v/>
      </c>
      <c r="F114" s="1"/>
      <c r="G114" s="1"/>
      <c r="H114" s="51"/>
      <c r="I114" s="52"/>
      <c r="J114" s="51"/>
      <c r="K114" s="1"/>
      <c r="L114" s="53" t="str">
        <f t="shared" si="2"/>
        <v/>
      </c>
      <c r="M114" s="54" t="str">
        <f t="shared" si="3"/>
        <v/>
      </c>
      <c r="N114" s="67" t="str">
        <f t="shared" si="5"/>
        <v/>
      </c>
      <c r="O114" s="56">
        <f t="shared" si="6"/>
        <v>0</v>
      </c>
      <c r="P114" s="56">
        <f t="shared" si="7"/>
        <v>0</v>
      </c>
      <c r="Q114" s="65">
        <f t="shared" si="4"/>
        <v>0</v>
      </c>
      <c r="R114" s="1"/>
    </row>
    <row r="115">
      <c r="A115" s="1"/>
      <c r="B115" s="2"/>
      <c r="C115" s="51"/>
      <c r="D115" s="52"/>
      <c r="E115" s="70" t="str">
        <f t="shared" si="1"/>
        <v/>
      </c>
      <c r="F115" s="1"/>
      <c r="G115" s="1"/>
      <c r="H115" s="51"/>
      <c r="I115" s="52"/>
      <c r="J115" s="51"/>
      <c r="K115" s="1"/>
      <c r="L115" s="53" t="str">
        <f t="shared" si="2"/>
        <v/>
      </c>
      <c r="M115" s="54" t="str">
        <f t="shared" si="3"/>
        <v/>
      </c>
      <c r="N115" s="67" t="str">
        <f t="shared" si="5"/>
        <v/>
      </c>
      <c r="O115" s="56">
        <f t="shared" si="6"/>
        <v>0</v>
      </c>
      <c r="P115" s="56">
        <f t="shared" si="7"/>
        <v>0</v>
      </c>
      <c r="Q115" s="65">
        <f t="shared" si="4"/>
        <v>0</v>
      </c>
      <c r="R115" s="1"/>
    </row>
    <row r="116">
      <c r="A116" s="1"/>
      <c r="B116" s="2"/>
      <c r="C116" s="71"/>
      <c r="D116" s="52"/>
      <c r="E116" s="70" t="str">
        <f t="shared" si="1"/>
        <v/>
      </c>
      <c r="F116" s="1"/>
      <c r="G116" s="1"/>
      <c r="H116" s="51"/>
      <c r="I116" s="52"/>
      <c r="J116" s="51"/>
      <c r="K116" s="1"/>
      <c r="L116" s="53" t="str">
        <f t="shared" si="2"/>
        <v/>
      </c>
      <c r="M116" s="54" t="str">
        <f t="shared" si="3"/>
        <v/>
      </c>
      <c r="N116" s="67" t="str">
        <f t="shared" si="5"/>
        <v/>
      </c>
      <c r="O116" s="56">
        <f t="shared" si="6"/>
        <v>0</v>
      </c>
      <c r="P116" s="56">
        <f t="shared" si="7"/>
        <v>0</v>
      </c>
      <c r="Q116" s="65">
        <f t="shared" si="4"/>
        <v>0</v>
      </c>
      <c r="R116" s="1"/>
    </row>
    <row r="117">
      <c r="A117" s="1"/>
      <c r="B117" s="2"/>
      <c r="C117" s="51"/>
      <c r="D117" s="52"/>
      <c r="E117" s="70" t="str">
        <f t="shared" si="1"/>
        <v/>
      </c>
      <c r="F117" s="1"/>
      <c r="G117" s="1"/>
      <c r="H117" s="51"/>
      <c r="I117" s="52"/>
      <c r="J117" s="51"/>
      <c r="K117" s="1"/>
      <c r="L117" s="53" t="str">
        <f t="shared" si="2"/>
        <v/>
      </c>
      <c r="M117" s="54" t="str">
        <f t="shared" si="3"/>
        <v/>
      </c>
      <c r="N117" s="67" t="str">
        <f t="shared" si="5"/>
        <v/>
      </c>
      <c r="O117" s="56">
        <f t="shared" si="6"/>
        <v>0</v>
      </c>
      <c r="P117" s="56">
        <f t="shared" si="7"/>
        <v>0</v>
      </c>
      <c r="Q117" s="65">
        <f t="shared" si="4"/>
        <v>0</v>
      </c>
      <c r="R117" s="1"/>
    </row>
    <row r="118">
      <c r="A118" s="1"/>
      <c r="B118" s="2"/>
      <c r="C118" s="51"/>
      <c r="D118" s="52"/>
      <c r="E118" s="70" t="str">
        <f t="shared" si="1"/>
        <v/>
      </c>
      <c r="F118" s="1"/>
      <c r="G118" s="1"/>
      <c r="H118" s="51"/>
      <c r="I118" s="50"/>
      <c r="J118" s="51"/>
      <c r="K118" s="1"/>
      <c r="L118" s="53" t="str">
        <f t="shared" si="2"/>
        <v/>
      </c>
      <c r="M118" s="54" t="str">
        <f t="shared" si="3"/>
        <v/>
      </c>
      <c r="N118" s="67" t="str">
        <f t="shared" si="5"/>
        <v/>
      </c>
      <c r="O118" s="56">
        <f t="shared" si="6"/>
        <v>0</v>
      </c>
      <c r="P118" s="56">
        <f t="shared" si="7"/>
        <v>0</v>
      </c>
      <c r="Q118" s="65">
        <f t="shared" si="4"/>
        <v>0</v>
      </c>
      <c r="R118" s="1"/>
    </row>
    <row r="119">
      <c r="A119" s="1"/>
      <c r="B119" s="2"/>
      <c r="C119" s="51"/>
      <c r="D119" s="52"/>
      <c r="E119" s="70" t="str">
        <f t="shared" si="1"/>
        <v/>
      </c>
      <c r="F119" s="1"/>
      <c r="G119" s="1"/>
      <c r="H119" s="51"/>
      <c r="I119" s="50"/>
      <c r="J119" s="51"/>
      <c r="K119" s="1"/>
      <c r="L119" s="53" t="str">
        <f t="shared" si="2"/>
        <v/>
      </c>
      <c r="M119" s="54" t="str">
        <f t="shared" si="3"/>
        <v/>
      </c>
      <c r="N119" s="67" t="str">
        <f t="shared" si="5"/>
        <v/>
      </c>
      <c r="O119" s="56">
        <f t="shared" si="6"/>
        <v>0</v>
      </c>
      <c r="P119" s="56">
        <f t="shared" si="7"/>
        <v>0</v>
      </c>
      <c r="Q119" s="65">
        <f t="shared" si="4"/>
        <v>0</v>
      </c>
      <c r="R119" s="1"/>
    </row>
    <row r="120">
      <c r="A120" s="1"/>
      <c r="B120" s="1"/>
      <c r="C120" s="51"/>
      <c r="D120" s="52"/>
      <c r="E120" s="70" t="str">
        <f t="shared" si="1"/>
        <v/>
      </c>
      <c r="F120" s="1"/>
      <c r="G120" s="1"/>
      <c r="H120" s="51"/>
      <c r="I120" s="50"/>
      <c r="J120" s="51"/>
      <c r="K120" s="1"/>
      <c r="L120" s="53" t="str">
        <f t="shared" si="2"/>
        <v/>
      </c>
      <c r="M120" s="54" t="str">
        <f t="shared" si="3"/>
        <v/>
      </c>
      <c r="N120" s="67" t="str">
        <f t="shared" si="5"/>
        <v/>
      </c>
      <c r="O120" s="56">
        <f t="shared" si="6"/>
        <v>0</v>
      </c>
      <c r="P120" s="56">
        <f t="shared" si="7"/>
        <v>0</v>
      </c>
      <c r="Q120" s="65">
        <f t="shared" si="4"/>
        <v>0</v>
      </c>
      <c r="R120" s="1"/>
    </row>
    <row r="121">
      <c r="A121" s="1"/>
      <c r="B121" s="1"/>
      <c r="C121" s="51"/>
      <c r="D121" s="52"/>
      <c r="E121" s="70" t="str">
        <f t="shared" si="1"/>
        <v/>
      </c>
      <c r="F121" s="1"/>
      <c r="G121" s="1"/>
      <c r="H121" s="51"/>
      <c r="I121" s="50"/>
      <c r="J121" s="51"/>
      <c r="K121" s="1"/>
      <c r="L121" s="53" t="str">
        <f t="shared" si="2"/>
        <v/>
      </c>
      <c r="M121" s="54" t="str">
        <f t="shared" si="3"/>
        <v/>
      </c>
      <c r="N121" s="67" t="str">
        <f t="shared" si="5"/>
        <v/>
      </c>
      <c r="O121" s="56">
        <f t="shared" si="6"/>
        <v>0</v>
      </c>
      <c r="P121" s="56">
        <f t="shared" si="7"/>
        <v>0</v>
      </c>
      <c r="Q121" s="65">
        <f t="shared" si="4"/>
        <v>0</v>
      </c>
      <c r="R121" s="1"/>
    </row>
    <row r="122">
      <c r="A122" s="1"/>
      <c r="B122" s="1"/>
      <c r="C122" s="71"/>
      <c r="D122" s="52"/>
      <c r="E122" s="70" t="str">
        <f t="shared" si="1"/>
        <v/>
      </c>
      <c r="F122" s="1"/>
      <c r="G122" s="1"/>
      <c r="H122" s="51"/>
      <c r="I122" s="50"/>
      <c r="J122" s="51"/>
      <c r="K122" s="1"/>
      <c r="L122" s="53" t="str">
        <f t="shared" si="2"/>
        <v/>
      </c>
      <c r="M122" s="54" t="str">
        <f t="shared" si="3"/>
        <v/>
      </c>
      <c r="N122" s="67" t="str">
        <f t="shared" si="5"/>
        <v/>
      </c>
      <c r="O122" s="56">
        <f t="shared" si="6"/>
        <v>0</v>
      </c>
      <c r="P122" s="56">
        <f t="shared" si="7"/>
        <v>0</v>
      </c>
      <c r="Q122" s="65">
        <f t="shared" si="4"/>
        <v>0</v>
      </c>
      <c r="R122" s="1"/>
    </row>
    <row r="123">
      <c r="A123" s="1"/>
      <c r="B123" s="1"/>
      <c r="C123" s="51"/>
      <c r="D123" s="52"/>
      <c r="E123" s="70" t="str">
        <f t="shared" si="1"/>
        <v/>
      </c>
      <c r="F123" s="1"/>
      <c r="G123" s="1"/>
      <c r="H123" s="51"/>
      <c r="I123" s="50"/>
      <c r="J123" s="51"/>
      <c r="K123" s="1"/>
      <c r="L123" s="53" t="str">
        <f t="shared" si="2"/>
        <v/>
      </c>
      <c r="M123" s="54" t="str">
        <f t="shared" si="3"/>
        <v/>
      </c>
      <c r="N123" s="67" t="str">
        <f t="shared" si="5"/>
        <v/>
      </c>
      <c r="O123" s="56">
        <f t="shared" si="6"/>
        <v>0</v>
      </c>
      <c r="P123" s="56">
        <f t="shared" si="7"/>
        <v>0</v>
      </c>
      <c r="Q123" s="65">
        <f t="shared" si="4"/>
        <v>0</v>
      </c>
      <c r="R123" s="1"/>
    </row>
    <row r="124">
      <c r="A124" s="1"/>
      <c r="B124" s="1"/>
      <c r="C124" s="51"/>
      <c r="D124" s="52"/>
      <c r="E124" s="70" t="str">
        <f t="shared" si="1"/>
        <v/>
      </c>
      <c r="F124" s="1"/>
      <c r="G124" s="1"/>
      <c r="H124" s="51"/>
      <c r="I124" s="50"/>
      <c r="J124" s="51"/>
      <c r="K124" s="1"/>
      <c r="L124" s="53" t="str">
        <f t="shared" si="2"/>
        <v/>
      </c>
      <c r="M124" s="54" t="str">
        <f t="shared" si="3"/>
        <v/>
      </c>
      <c r="N124" s="67" t="str">
        <f t="shared" si="5"/>
        <v/>
      </c>
      <c r="O124" s="56">
        <f t="shared" si="6"/>
        <v>0</v>
      </c>
      <c r="P124" s="56">
        <f t="shared" si="7"/>
        <v>0</v>
      </c>
      <c r="Q124" s="65">
        <f t="shared" si="4"/>
        <v>0</v>
      </c>
      <c r="R124" s="1"/>
    </row>
    <row r="125">
      <c r="A125" s="1"/>
      <c r="B125" s="1"/>
      <c r="C125" s="51"/>
      <c r="D125" s="52"/>
      <c r="E125" s="70" t="str">
        <f t="shared" si="1"/>
        <v/>
      </c>
      <c r="F125" s="1"/>
      <c r="G125" s="1"/>
      <c r="H125" s="51"/>
      <c r="I125" s="50"/>
      <c r="J125" s="51"/>
      <c r="K125" s="1"/>
      <c r="L125" s="53" t="str">
        <f t="shared" si="2"/>
        <v/>
      </c>
      <c r="M125" s="54" t="str">
        <f t="shared" si="3"/>
        <v/>
      </c>
      <c r="N125" s="67" t="str">
        <f t="shared" si="5"/>
        <v/>
      </c>
      <c r="O125" s="56">
        <f t="shared" si="6"/>
        <v>0</v>
      </c>
      <c r="P125" s="56">
        <f t="shared" si="7"/>
        <v>0</v>
      </c>
      <c r="Q125" s="65">
        <f t="shared" si="4"/>
        <v>0</v>
      </c>
      <c r="R125" s="1"/>
    </row>
    <row r="126">
      <c r="A126" s="1"/>
      <c r="B126" s="1"/>
      <c r="C126" s="51"/>
      <c r="D126" s="52"/>
      <c r="E126" s="70" t="str">
        <f t="shared" si="1"/>
        <v/>
      </c>
      <c r="F126" s="1"/>
      <c r="G126" s="1"/>
      <c r="H126" s="51"/>
      <c r="I126" s="50"/>
      <c r="J126" s="51"/>
      <c r="K126" s="1"/>
      <c r="L126" s="53" t="str">
        <f t="shared" si="2"/>
        <v/>
      </c>
      <c r="M126" s="54" t="str">
        <f t="shared" si="3"/>
        <v/>
      </c>
      <c r="N126" s="67" t="str">
        <f t="shared" si="5"/>
        <v/>
      </c>
      <c r="O126" s="56">
        <f t="shared" si="6"/>
        <v>0</v>
      </c>
      <c r="P126" s="56">
        <f t="shared" si="7"/>
        <v>0</v>
      </c>
      <c r="Q126" s="65">
        <f t="shared" si="4"/>
        <v>0</v>
      </c>
      <c r="R126" s="1"/>
    </row>
    <row r="127">
      <c r="A127" s="1"/>
      <c r="B127" s="1"/>
      <c r="C127" s="51"/>
      <c r="D127" s="52"/>
      <c r="E127" s="70" t="str">
        <f t="shared" si="1"/>
        <v/>
      </c>
      <c r="F127" s="1"/>
      <c r="G127" s="1"/>
      <c r="H127" s="51"/>
      <c r="I127" s="50"/>
      <c r="J127" s="51"/>
      <c r="K127" s="1"/>
      <c r="L127" s="53" t="str">
        <f t="shared" si="2"/>
        <v/>
      </c>
      <c r="M127" s="54" t="str">
        <f t="shared" si="3"/>
        <v/>
      </c>
      <c r="N127" s="67" t="str">
        <f t="shared" si="5"/>
        <v/>
      </c>
      <c r="O127" s="56">
        <f t="shared" si="6"/>
        <v>0</v>
      </c>
      <c r="P127" s="56">
        <f t="shared" si="7"/>
        <v>0</v>
      </c>
      <c r="Q127" s="65">
        <f t="shared" si="4"/>
        <v>0</v>
      </c>
      <c r="R127" s="1"/>
    </row>
    <row r="128">
      <c r="A128" s="1"/>
      <c r="B128" s="1"/>
      <c r="C128" s="51"/>
      <c r="D128" s="52"/>
      <c r="E128" s="70" t="str">
        <f t="shared" si="1"/>
        <v/>
      </c>
      <c r="F128" s="1"/>
      <c r="G128" s="1"/>
      <c r="H128" s="51"/>
      <c r="I128" s="50"/>
      <c r="J128" s="51"/>
      <c r="K128" s="1"/>
      <c r="L128" s="53" t="str">
        <f t="shared" si="2"/>
        <v/>
      </c>
      <c r="M128" s="54" t="str">
        <f t="shared" si="3"/>
        <v/>
      </c>
      <c r="N128" s="67" t="str">
        <f t="shared" si="5"/>
        <v/>
      </c>
      <c r="O128" s="56">
        <f t="shared" si="6"/>
        <v>0</v>
      </c>
      <c r="P128" s="56">
        <f t="shared" si="7"/>
        <v>0</v>
      </c>
      <c r="Q128" s="65">
        <f t="shared" si="4"/>
        <v>0</v>
      </c>
      <c r="R128" s="1"/>
    </row>
    <row r="129">
      <c r="A129" s="1"/>
      <c r="B129" s="1"/>
      <c r="C129" s="51"/>
      <c r="D129" s="52"/>
      <c r="E129" s="70" t="str">
        <f t="shared" si="1"/>
        <v/>
      </c>
      <c r="F129" s="1"/>
      <c r="G129" s="1"/>
      <c r="H129" s="51"/>
      <c r="I129" s="50"/>
      <c r="J129" s="51"/>
      <c r="K129" s="1"/>
      <c r="L129" s="53" t="str">
        <f t="shared" si="2"/>
        <v/>
      </c>
      <c r="M129" s="54" t="str">
        <f t="shared" si="3"/>
        <v/>
      </c>
      <c r="N129" s="67" t="str">
        <f t="shared" si="5"/>
        <v/>
      </c>
      <c r="O129" s="56">
        <f t="shared" si="6"/>
        <v>0</v>
      </c>
      <c r="P129" s="56">
        <f t="shared" si="7"/>
        <v>0</v>
      </c>
      <c r="Q129" s="65">
        <f t="shared" si="4"/>
        <v>0</v>
      </c>
      <c r="R129" s="1"/>
    </row>
    <row r="130">
      <c r="A130" s="1"/>
      <c r="B130" s="1"/>
      <c r="C130" s="51"/>
      <c r="D130" s="50"/>
      <c r="E130" s="70" t="str">
        <f t="shared" si="1"/>
        <v/>
      </c>
      <c r="F130" s="1"/>
      <c r="G130" s="1"/>
      <c r="H130" s="51"/>
      <c r="I130" s="50"/>
      <c r="J130" s="51"/>
      <c r="K130" s="1"/>
      <c r="L130" s="53" t="str">
        <f t="shared" si="2"/>
        <v/>
      </c>
      <c r="M130" s="54" t="str">
        <f t="shared" si="3"/>
        <v/>
      </c>
      <c r="N130" s="67" t="str">
        <f t="shared" si="5"/>
        <v/>
      </c>
      <c r="O130" s="56">
        <f t="shared" si="6"/>
        <v>0</v>
      </c>
      <c r="P130" s="56">
        <f t="shared" si="7"/>
        <v>0</v>
      </c>
      <c r="Q130" s="65">
        <f t="shared" si="4"/>
        <v>0</v>
      </c>
      <c r="R130" s="1"/>
    </row>
    <row r="131">
      <c r="A131" s="1"/>
      <c r="B131" s="1"/>
      <c r="C131" s="51"/>
      <c r="D131" s="50"/>
      <c r="E131" s="70" t="str">
        <f t="shared" si="1"/>
        <v/>
      </c>
      <c r="F131" s="1"/>
      <c r="G131" s="1"/>
      <c r="H131" s="51"/>
      <c r="I131" s="50"/>
      <c r="J131" s="51"/>
      <c r="K131" s="1"/>
      <c r="L131" s="53" t="str">
        <f t="shared" si="2"/>
        <v/>
      </c>
      <c r="M131" s="54" t="str">
        <f t="shared" si="3"/>
        <v/>
      </c>
      <c r="N131" s="67" t="str">
        <f t="shared" si="5"/>
        <v/>
      </c>
      <c r="O131" s="56">
        <f t="shared" si="6"/>
        <v>0</v>
      </c>
      <c r="P131" s="56">
        <f t="shared" si="7"/>
        <v>0</v>
      </c>
      <c r="Q131" s="65">
        <f t="shared" si="4"/>
        <v>0</v>
      </c>
      <c r="R131" s="1"/>
    </row>
    <row r="132">
      <c r="A132" s="1"/>
      <c r="B132" s="1"/>
      <c r="C132" s="51"/>
      <c r="D132" s="50"/>
      <c r="E132" s="70" t="str">
        <f t="shared" si="1"/>
        <v/>
      </c>
      <c r="F132" s="1"/>
      <c r="G132" s="1"/>
      <c r="H132" s="51"/>
      <c r="I132" s="50"/>
      <c r="J132" s="51"/>
      <c r="K132" s="1"/>
      <c r="L132" s="53" t="str">
        <f t="shared" si="2"/>
        <v/>
      </c>
      <c r="M132" s="54" t="str">
        <f t="shared" si="3"/>
        <v/>
      </c>
      <c r="N132" s="67" t="str">
        <f t="shared" si="5"/>
        <v/>
      </c>
      <c r="O132" s="56">
        <f t="shared" si="6"/>
        <v>0</v>
      </c>
      <c r="P132" s="56">
        <f t="shared" si="7"/>
        <v>0</v>
      </c>
      <c r="Q132" s="65">
        <f t="shared" si="4"/>
        <v>0</v>
      </c>
      <c r="R132" s="1"/>
    </row>
    <row r="133">
      <c r="A133" s="1"/>
      <c r="B133" s="1"/>
      <c r="C133" s="51"/>
      <c r="D133" s="50"/>
      <c r="E133" s="70" t="str">
        <f t="shared" si="1"/>
        <v/>
      </c>
      <c r="F133" s="1"/>
      <c r="G133" s="1"/>
      <c r="H133" s="51"/>
      <c r="I133" s="50"/>
      <c r="J133" s="51"/>
      <c r="K133" s="1"/>
      <c r="L133" s="53" t="str">
        <f t="shared" si="2"/>
        <v/>
      </c>
      <c r="M133" s="54" t="str">
        <f t="shared" si="3"/>
        <v/>
      </c>
      <c r="N133" s="67" t="str">
        <f t="shared" si="5"/>
        <v/>
      </c>
      <c r="O133" s="56">
        <f t="shared" si="6"/>
        <v>0</v>
      </c>
      <c r="P133" s="56">
        <f t="shared" si="7"/>
        <v>0</v>
      </c>
      <c r="Q133" s="65">
        <f t="shared" si="4"/>
        <v>0</v>
      </c>
      <c r="R133" s="1"/>
    </row>
    <row r="134">
      <c r="A134" s="1"/>
      <c r="B134" s="1"/>
      <c r="C134" s="51"/>
      <c r="D134" s="50"/>
      <c r="E134" s="70" t="str">
        <f t="shared" si="1"/>
        <v/>
      </c>
      <c r="F134" s="1"/>
      <c r="G134" s="1"/>
      <c r="H134" s="51"/>
      <c r="I134" s="50"/>
      <c r="J134" s="51"/>
      <c r="K134" s="1"/>
      <c r="L134" s="53" t="str">
        <f t="shared" si="2"/>
        <v/>
      </c>
      <c r="M134" s="54" t="str">
        <f t="shared" si="3"/>
        <v/>
      </c>
      <c r="N134" s="67" t="str">
        <f t="shared" si="5"/>
        <v/>
      </c>
      <c r="O134" s="56">
        <f t="shared" si="6"/>
        <v>0</v>
      </c>
      <c r="P134" s="56">
        <f t="shared" si="7"/>
        <v>0</v>
      </c>
      <c r="Q134" s="65">
        <f t="shared" si="4"/>
        <v>0</v>
      </c>
      <c r="R134" s="1"/>
    </row>
    <row r="135">
      <c r="A135" s="1"/>
      <c r="B135" s="1"/>
      <c r="C135" s="51"/>
      <c r="D135" s="50"/>
      <c r="E135" s="70" t="str">
        <f t="shared" si="1"/>
        <v/>
      </c>
      <c r="F135" s="1"/>
      <c r="G135" s="1"/>
      <c r="H135" s="51"/>
      <c r="I135" s="50"/>
      <c r="J135" s="51"/>
      <c r="K135" s="1"/>
      <c r="L135" s="53" t="str">
        <f t="shared" si="2"/>
        <v/>
      </c>
      <c r="M135" s="54" t="str">
        <f t="shared" si="3"/>
        <v/>
      </c>
      <c r="N135" s="67" t="str">
        <f t="shared" si="5"/>
        <v/>
      </c>
      <c r="O135" s="56">
        <f t="shared" si="6"/>
        <v>0</v>
      </c>
      <c r="P135" s="56">
        <f t="shared" si="7"/>
        <v>0</v>
      </c>
      <c r="Q135" s="65">
        <f t="shared" si="4"/>
        <v>0</v>
      </c>
      <c r="R135" s="1"/>
    </row>
    <row r="136">
      <c r="A136" s="1"/>
      <c r="B136" s="1"/>
      <c r="C136" s="51"/>
      <c r="D136" s="50"/>
      <c r="E136" s="70" t="str">
        <f t="shared" si="1"/>
        <v/>
      </c>
      <c r="F136" s="1"/>
      <c r="G136" s="1"/>
      <c r="H136" s="51"/>
      <c r="I136" s="50"/>
      <c r="J136" s="51"/>
      <c r="K136" s="1"/>
      <c r="L136" s="53" t="str">
        <f t="shared" si="2"/>
        <v/>
      </c>
      <c r="M136" s="54" t="str">
        <f t="shared" si="3"/>
        <v/>
      </c>
      <c r="N136" s="67" t="str">
        <f t="shared" si="5"/>
        <v/>
      </c>
      <c r="O136" s="56">
        <f t="shared" si="6"/>
        <v>0</v>
      </c>
      <c r="P136" s="56">
        <f t="shared" si="7"/>
        <v>0</v>
      </c>
      <c r="Q136" s="65">
        <f t="shared" si="4"/>
        <v>0</v>
      </c>
      <c r="R136" s="1"/>
    </row>
    <row r="137">
      <c r="A137" s="1"/>
      <c r="B137" s="1"/>
      <c r="C137" s="51"/>
      <c r="D137" s="50"/>
      <c r="E137" s="70" t="str">
        <f t="shared" si="1"/>
        <v/>
      </c>
      <c r="F137" s="1"/>
      <c r="G137" s="1"/>
      <c r="H137" s="51"/>
      <c r="I137" s="50"/>
      <c r="J137" s="51"/>
      <c r="K137" s="1"/>
      <c r="L137" s="53" t="str">
        <f t="shared" si="2"/>
        <v/>
      </c>
      <c r="M137" s="54" t="str">
        <f t="shared" si="3"/>
        <v/>
      </c>
      <c r="N137" s="67" t="str">
        <f t="shared" si="5"/>
        <v/>
      </c>
      <c r="O137" s="56">
        <f t="shared" si="6"/>
        <v>0</v>
      </c>
      <c r="P137" s="56">
        <f t="shared" si="7"/>
        <v>0</v>
      </c>
      <c r="Q137" s="65">
        <f t="shared" si="4"/>
        <v>0</v>
      </c>
      <c r="R137" s="1"/>
    </row>
    <row r="138">
      <c r="A138" s="1"/>
      <c r="B138" s="1"/>
      <c r="C138" s="51"/>
      <c r="D138" s="50"/>
      <c r="E138" s="70" t="str">
        <f t="shared" si="1"/>
        <v/>
      </c>
      <c r="F138" s="1"/>
      <c r="G138" s="1"/>
      <c r="H138" s="51"/>
      <c r="I138" s="50"/>
      <c r="J138" s="51"/>
      <c r="K138" s="1"/>
      <c r="L138" s="53" t="str">
        <f t="shared" si="2"/>
        <v/>
      </c>
      <c r="M138" s="54" t="str">
        <f t="shared" si="3"/>
        <v/>
      </c>
      <c r="N138" s="67" t="str">
        <f t="shared" si="5"/>
        <v/>
      </c>
      <c r="O138" s="56">
        <f t="shared" si="6"/>
        <v>0</v>
      </c>
      <c r="P138" s="56">
        <f t="shared" si="7"/>
        <v>0</v>
      </c>
      <c r="Q138" s="65">
        <f t="shared" si="4"/>
        <v>0</v>
      </c>
      <c r="R138" s="1"/>
    </row>
    <row r="139">
      <c r="A139" s="1"/>
      <c r="B139" s="1"/>
      <c r="C139" s="51"/>
      <c r="D139" s="50"/>
      <c r="E139" s="70" t="str">
        <f t="shared" si="1"/>
        <v/>
      </c>
      <c r="F139" s="1"/>
      <c r="G139" s="1"/>
      <c r="H139" s="51"/>
      <c r="I139" s="50"/>
      <c r="J139" s="51"/>
      <c r="K139" s="1"/>
      <c r="L139" s="53" t="str">
        <f t="shared" si="2"/>
        <v/>
      </c>
      <c r="M139" s="54" t="str">
        <f t="shared" si="3"/>
        <v/>
      </c>
      <c r="N139" s="67" t="str">
        <f t="shared" si="5"/>
        <v/>
      </c>
      <c r="O139" s="56">
        <f t="shared" si="6"/>
        <v>0</v>
      </c>
      <c r="P139" s="56">
        <f t="shared" si="7"/>
        <v>0</v>
      </c>
      <c r="Q139" s="65">
        <f t="shared" si="4"/>
        <v>0</v>
      </c>
      <c r="R139" s="1"/>
    </row>
    <row r="140">
      <c r="A140" s="1"/>
      <c r="B140" s="1"/>
      <c r="C140" s="51"/>
      <c r="D140" s="50"/>
      <c r="E140" s="70" t="str">
        <f t="shared" si="1"/>
        <v/>
      </c>
      <c r="F140" s="1"/>
      <c r="G140" s="1"/>
      <c r="H140" s="51"/>
      <c r="I140" s="50"/>
      <c r="J140" s="51"/>
      <c r="K140" s="1"/>
      <c r="L140" s="53" t="str">
        <f t="shared" si="2"/>
        <v/>
      </c>
      <c r="M140" s="54" t="str">
        <f t="shared" si="3"/>
        <v/>
      </c>
      <c r="N140" s="67" t="str">
        <f t="shared" si="5"/>
        <v/>
      </c>
      <c r="O140" s="56">
        <f t="shared" si="6"/>
        <v>0</v>
      </c>
      <c r="P140" s="56">
        <f t="shared" si="7"/>
        <v>0</v>
      </c>
      <c r="Q140" s="65">
        <f t="shared" si="4"/>
        <v>0</v>
      </c>
      <c r="R140" s="1"/>
    </row>
    <row r="141">
      <c r="A141" s="1"/>
      <c r="B141" s="1"/>
      <c r="C141" s="51"/>
      <c r="D141" s="50"/>
      <c r="E141" s="70" t="str">
        <f t="shared" si="1"/>
        <v/>
      </c>
      <c r="F141" s="1"/>
      <c r="G141" s="1"/>
      <c r="H141" s="1"/>
      <c r="I141" s="1"/>
      <c r="J141" s="1"/>
      <c r="K141" s="1"/>
      <c r="L141" s="53" t="str">
        <f t="shared" si="2"/>
        <v/>
      </c>
      <c r="M141" s="54" t="str">
        <f t="shared" si="3"/>
        <v/>
      </c>
      <c r="N141" s="67" t="str">
        <f t="shared" si="5"/>
        <v/>
      </c>
      <c r="O141" s="56">
        <f t="shared" si="6"/>
        <v>0</v>
      </c>
      <c r="P141" s="56">
        <f t="shared" si="7"/>
        <v>0</v>
      </c>
      <c r="Q141" s="65">
        <f t="shared" si="4"/>
        <v>0</v>
      </c>
      <c r="R141" s="1"/>
    </row>
    <row r="142">
      <c r="A142" s="1"/>
      <c r="B142" s="1"/>
      <c r="C142" s="51"/>
      <c r="D142" s="50"/>
      <c r="E142" s="70" t="str">
        <f t="shared" si="1"/>
        <v/>
      </c>
      <c r="F142" s="1"/>
      <c r="G142" s="1"/>
      <c r="H142" s="1"/>
      <c r="I142" s="1"/>
      <c r="J142" s="1"/>
      <c r="K142" s="1"/>
      <c r="L142" s="53" t="str">
        <f t="shared" si="2"/>
        <v/>
      </c>
      <c r="M142" s="54" t="str">
        <f t="shared" si="3"/>
        <v/>
      </c>
      <c r="N142" s="67" t="str">
        <f t="shared" si="5"/>
        <v/>
      </c>
      <c r="O142" s="56">
        <f t="shared" si="6"/>
        <v>0</v>
      </c>
      <c r="P142" s="56">
        <f t="shared" si="7"/>
        <v>0</v>
      </c>
      <c r="Q142" s="65">
        <f t="shared" si="4"/>
        <v>0</v>
      </c>
      <c r="R142" s="1"/>
    </row>
    <row r="143">
      <c r="A143" s="1"/>
      <c r="B143" s="1"/>
      <c r="C143" s="51"/>
      <c r="D143" s="50"/>
      <c r="E143" s="70" t="str">
        <f t="shared" si="1"/>
        <v/>
      </c>
      <c r="F143" s="1"/>
      <c r="G143" s="1"/>
      <c r="H143" s="1"/>
      <c r="I143" s="1"/>
      <c r="J143" s="1"/>
      <c r="K143" s="1"/>
      <c r="L143" s="53" t="str">
        <f t="shared" si="2"/>
        <v/>
      </c>
      <c r="M143" s="54" t="str">
        <f t="shared" si="3"/>
        <v/>
      </c>
      <c r="N143" s="67" t="str">
        <f t="shared" si="5"/>
        <v/>
      </c>
      <c r="O143" s="56">
        <f t="shared" si="6"/>
        <v>0</v>
      </c>
      <c r="P143" s="56">
        <f t="shared" si="7"/>
        <v>0</v>
      </c>
      <c r="Q143" s="65">
        <f t="shared" si="4"/>
        <v>0</v>
      </c>
      <c r="R143" s="1"/>
    </row>
    <row r="144">
      <c r="A144" s="1"/>
      <c r="B144" s="1"/>
      <c r="C144" s="51"/>
      <c r="D144" s="50"/>
      <c r="E144" s="70" t="str">
        <f t="shared" si="1"/>
        <v/>
      </c>
      <c r="F144" s="1"/>
      <c r="G144" s="1"/>
      <c r="H144" s="1"/>
      <c r="I144" s="1"/>
      <c r="J144" s="1"/>
      <c r="K144" s="1"/>
      <c r="L144" s="53" t="str">
        <f t="shared" si="2"/>
        <v/>
      </c>
      <c r="M144" s="54" t="str">
        <f t="shared" si="3"/>
        <v/>
      </c>
      <c r="N144" s="67" t="str">
        <f t="shared" si="5"/>
        <v/>
      </c>
      <c r="O144" s="56">
        <f t="shared" si="6"/>
        <v>0</v>
      </c>
      <c r="P144" s="56">
        <f t="shared" si="7"/>
        <v>0</v>
      </c>
      <c r="Q144" s="65">
        <f t="shared" si="4"/>
        <v>0</v>
      </c>
      <c r="R144" s="1"/>
    </row>
    <row r="145">
      <c r="A145" s="1"/>
      <c r="B145" s="1"/>
      <c r="C145" s="51"/>
      <c r="D145" s="50"/>
      <c r="E145" s="70" t="str">
        <f t="shared" si="1"/>
        <v/>
      </c>
      <c r="F145" s="1"/>
      <c r="G145" s="1"/>
      <c r="H145" s="1"/>
      <c r="I145" s="1"/>
      <c r="J145" s="1"/>
      <c r="K145" s="1"/>
      <c r="L145" s="53" t="str">
        <f t="shared" si="2"/>
        <v/>
      </c>
      <c r="M145" s="54" t="str">
        <f t="shared" si="3"/>
        <v/>
      </c>
      <c r="N145" s="67" t="str">
        <f t="shared" si="5"/>
        <v/>
      </c>
      <c r="O145" s="56">
        <f t="shared" si="6"/>
        <v>0</v>
      </c>
      <c r="P145" s="56">
        <f t="shared" si="7"/>
        <v>0</v>
      </c>
      <c r="Q145" s="65">
        <f t="shared" si="4"/>
        <v>0</v>
      </c>
      <c r="R145" s="1"/>
    </row>
    <row r="146">
      <c r="A146" s="1"/>
      <c r="B146" s="1"/>
      <c r="C146" s="51"/>
      <c r="D146" s="50"/>
      <c r="E146" s="70" t="str">
        <f t="shared" si="1"/>
        <v/>
      </c>
      <c r="F146" s="1"/>
      <c r="G146" s="1"/>
      <c r="H146" s="1"/>
      <c r="I146" s="1"/>
      <c r="J146" s="1"/>
      <c r="K146" s="1"/>
      <c r="L146" s="53" t="str">
        <f t="shared" si="2"/>
        <v/>
      </c>
      <c r="M146" s="54" t="str">
        <f t="shared" si="3"/>
        <v/>
      </c>
      <c r="N146" s="67" t="str">
        <f t="shared" si="5"/>
        <v/>
      </c>
      <c r="O146" s="56">
        <f t="shared" si="6"/>
        <v>0</v>
      </c>
      <c r="P146" s="56">
        <f t="shared" si="7"/>
        <v>0</v>
      </c>
      <c r="Q146" s="65">
        <f t="shared" si="4"/>
        <v>0</v>
      </c>
      <c r="R146" s="1"/>
    </row>
    <row r="147">
      <c r="A147" s="1"/>
      <c r="B147" s="1"/>
      <c r="C147" s="51"/>
      <c r="D147" s="50"/>
      <c r="E147" s="70" t="str">
        <f t="shared" si="1"/>
        <v/>
      </c>
      <c r="F147" s="1"/>
      <c r="G147" s="1"/>
      <c r="H147" s="1"/>
      <c r="I147" s="1"/>
      <c r="J147" s="1"/>
      <c r="K147" s="1"/>
      <c r="L147" s="53" t="str">
        <f t="shared" si="2"/>
        <v/>
      </c>
      <c r="M147" s="54" t="str">
        <f t="shared" si="3"/>
        <v/>
      </c>
      <c r="N147" s="67" t="str">
        <f t="shared" si="5"/>
        <v/>
      </c>
      <c r="O147" s="56">
        <f t="shared" si="6"/>
        <v>0</v>
      </c>
      <c r="P147" s="56">
        <f t="shared" si="7"/>
        <v>0</v>
      </c>
      <c r="Q147" s="65">
        <f t="shared" si="4"/>
        <v>0</v>
      </c>
      <c r="R147" s="1"/>
    </row>
    <row r="148">
      <c r="A148" s="1"/>
      <c r="B148" s="1"/>
      <c r="C148" s="51"/>
      <c r="D148" s="50"/>
      <c r="E148" s="70" t="str">
        <f t="shared" si="1"/>
        <v/>
      </c>
      <c r="F148" s="1"/>
      <c r="G148" s="1"/>
      <c r="H148" s="1"/>
      <c r="I148" s="1"/>
      <c r="J148" s="1"/>
      <c r="K148" s="1"/>
      <c r="L148" s="53" t="str">
        <f t="shared" si="2"/>
        <v/>
      </c>
      <c r="M148" s="54" t="str">
        <f t="shared" si="3"/>
        <v/>
      </c>
      <c r="N148" s="67" t="str">
        <f t="shared" si="5"/>
        <v/>
      </c>
      <c r="O148" s="56">
        <f t="shared" si="6"/>
        <v>0</v>
      </c>
      <c r="P148" s="56">
        <f t="shared" si="7"/>
        <v>0</v>
      </c>
      <c r="Q148" s="65">
        <f t="shared" si="4"/>
        <v>0</v>
      </c>
      <c r="R148" s="1"/>
    </row>
    <row r="149">
      <c r="A149" s="1"/>
      <c r="B149" s="1"/>
      <c r="C149" s="51"/>
      <c r="D149" s="50"/>
      <c r="E149" s="70" t="str">
        <f t="shared" si="1"/>
        <v/>
      </c>
      <c r="F149" s="1"/>
      <c r="G149" s="1"/>
      <c r="H149" s="1"/>
      <c r="I149" s="1"/>
      <c r="J149" s="1"/>
      <c r="K149" s="1"/>
      <c r="L149" s="53" t="str">
        <f t="shared" si="2"/>
        <v/>
      </c>
      <c r="M149" s="54" t="str">
        <f t="shared" si="3"/>
        <v/>
      </c>
      <c r="N149" s="67" t="str">
        <f t="shared" si="5"/>
        <v/>
      </c>
      <c r="O149" s="56">
        <f t="shared" si="6"/>
        <v>0</v>
      </c>
      <c r="P149" s="56">
        <f t="shared" si="7"/>
        <v>0</v>
      </c>
      <c r="Q149" s="65">
        <f t="shared" si="4"/>
        <v>0</v>
      </c>
      <c r="R149" s="1"/>
    </row>
    <row r="150">
      <c r="A150" s="1"/>
      <c r="B150" s="1"/>
      <c r="C150" s="51"/>
      <c r="D150" s="50"/>
      <c r="E150" s="70" t="str">
        <f t="shared" si="1"/>
        <v/>
      </c>
      <c r="F150" s="1"/>
      <c r="G150" s="1"/>
      <c r="H150" s="1"/>
      <c r="I150" s="1"/>
      <c r="J150" s="1"/>
      <c r="K150" s="1"/>
      <c r="L150" s="53" t="str">
        <f t="shared" si="2"/>
        <v/>
      </c>
      <c r="M150" s="54" t="str">
        <f t="shared" si="3"/>
        <v/>
      </c>
      <c r="N150" s="67" t="str">
        <f t="shared" si="5"/>
        <v/>
      </c>
      <c r="O150" s="56">
        <f t="shared" si="6"/>
        <v>0</v>
      </c>
      <c r="P150" s="56">
        <f t="shared" si="7"/>
        <v>0</v>
      </c>
      <c r="Q150" s="65">
        <f t="shared" si="4"/>
        <v>0</v>
      </c>
      <c r="R150" s="1"/>
    </row>
    <row r="151">
      <c r="A151" s="1"/>
      <c r="B151" s="1"/>
      <c r="C151" s="71"/>
      <c r="D151" s="50"/>
      <c r="E151" s="70" t="str">
        <f t="shared" si="1"/>
        <v/>
      </c>
      <c r="F151" s="1"/>
      <c r="G151" s="1"/>
      <c r="H151" s="1"/>
      <c r="I151" s="1"/>
      <c r="J151" s="1"/>
      <c r="K151" s="1"/>
      <c r="L151" s="53" t="str">
        <f t="shared" si="2"/>
        <v/>
      </c>
      <c r="M151" s="54" t="str">
        <f t="shared" si="3"/>
        <v/>
      </c>
      <c r="N151" s="67" t="str">
        <f t="shared" si="5"/>
        <v/>
      </c>
      <c r="O151" s="56">
        <f t="shared" si="6"/>
        <v>0</v>
      </c>
      <c r="P151" s="56">
        <f t="shared" si="7"/>
        <v>0</v>
      </c>
      <c r="Q151" s="65">
        <f t="shared" si="4"/>
        <v>0</v>
      </c>
      <c r="R151" s="1"/>
    </row>
    <row r="152">
      <c r="A152" s="1"/>
      <c r="B152" s="1"/>
      <c r="C152" s="51"/>
      <c r="D152" s="50"/>
      <c r="E152" s="70" t="str">
        <f t="shared" si="1"/>
        <v/>
      </c>
      <c r="F152" s="1"/>
      <c r="G152" s="1"/>
      <c r="H152" s="1"/>
      <c r="I152" s="1"/>
      <c r="J152" s="1"/>
      <c r="K152" s="1"/>
      <c r="L152" s="53" t="str">
        <f t="shared" si="2"/>
        <v/>
      </c>
      <c r="M152" s="54" t="str">
        <f t="shared" si="3"/>
        <v/>
      </c>
      <c r="N152" s="67" t="str">
        <f t="shared" si="5"/>
        <v/>
      </c>
      <c r="O152" s="56">
        <f t="shared" si="6"/>
        <v>0</v>
      </c>
      <c r="P152" s="56">
        <f t="shared" si="7"/>
        <v>0</v>
      </c>
      <c r="Q152" s="65">
        <f t="shared" si="4"/>
        <v>0</v>
      </c>
      <c r="R152" s="1"/>
    </row>
    <row r="153">
      <c r="A153" s="1"/>
      <c r="B153" s="1"/>
      <c r="C153" s="71"/>
      <c r="D153" s="50"/>
      <c r="E153" s="70" t="str">
        <f t="shared" si="1"/>
        <v/>
      </c>
      <c r="F153" s="1"/>
      <c r="G153" s="1"/>
      <c r="H153" s="1"/>
      <c r="I153" s="1"/>
      <c r="J153" s="1"/>
      <c r="K153" s="1"/>
      <c r="L153" s="53" t="str">
        <f t="shared" si="2"/>
        <v/>
      </c>
      <c r="M153" s="54" t="str">
        <f t="shared" si="3"/>
        <v/>
      </c>
      <c r="N153" s="67" t="str">
        <f t="shared" si="5"/>
        <v/>
      </c>
      <c r="O153" s="56">
        <f t="shared" si="6"/>
        <v>0</v>
      </c>
      <c r="P153" s="56">
        <f t="shared" si="7"/>
        <v>0</v>
      </c>
      <c r="Q153" s="65">
        <f t="shared" si="4"/>
        <v>0</v>
      </c>
      <c r="R153" s="1"/>
    </row>
    <row r="154">
      <c r="A154" s="1"/>
      <c r="B154" s="1"/>
      <c r="C154" s="51"/>
      <c r="D154" s="50"/>
      <c r="E154" s="70" t="str">
        <f t="shared" si="1"/>
        <v/>
      </c>
      <c r="F154" s="1"/>
      <c r="G154" s="1"/>
      <c r="H154" s="1"/>
      <c r="I154" s="1"/>
      <c r="J154" s="1"/>
      <c r="K154" s="1"/>
      <c r="L154" s="53" t="str">
        <f t="shared" si="2"/>
        <v/>
      </c>
      <c r="M154" s="54" t="str">
        <f t="shared" si="3"/>
        <v/>
      </c>
      <c r="N154" s="67" t="str">
        <f t="shared" si="5"/>
        <v/>
      </c>
      <c r="O154" s="56">
        <f t="shared" si="6"/>
        <v>0</v>
      </c>
      <c r="P154" s="56">
        <f t="shared" si="7"/>
        <v>0</v>
      </c>
      <c r="Q154" s="65">
        <f t="shared" si="4"/>
        <v>0</v>
      </c>
      <c r="R154" s="1"/>
    </row>
    <row r="155">
      <c r="A155" s="50"/>
      <c r="B155" s="50"/>
      <c r="C155" s="51"/>
      <c r="D155" s="50"/>
      <c r="E155" s="70" t="str">
        <f t="shared" si="1"/>
        <v/>
      </c>
      <c r="F155" s="1"/>
      <c r="G155" s="1"/>
      <c r="H155" s="1"/>
      <c r="I155" s="1"/>
      <c r="J155" s="1"/>
      <c r="K155" s="1"/>
      <c r="L155" s="53" t="str">
        <f t="shared" si="2"/>
        <v/>
      </c>
      <c r="M155" s="54" t="str">
        <f t="shared" si="3"/>
        <v/>
      </c>
      <c r="N155" s="67" t="str">
        <f t="shared" si="5"/>
        <v/>
      </c>
      <c r="O155" s="56">
        <f t="shared" si="6"/>
        <v>0</v>
      </c>
      <c r="P155" s="56">
        <f t="shared" si="7"/>
        <v>0</v>
      </c>
      <c r="Q155" s="65">
        <f t="shared" si="4"/>
        <v>0</v>
      </c>
      <c r="R155" s="1"/>
    </row>
    <row r="156">
      <c r="A156" s="50"/>
      <c r="B156" s="50"/>
      <c r="C156" s="51"/>
      <c r="D156" s="50"/>
      <c r="E156" s="70" t="str">
        <f t="shared" si="1"/>
        <v/>
      </c>
      <c r="F156" s="1"/>
      <c r="G156" s="1"/>
      <c r="H156" s="1"/>
      <c r="I156" s="1"/>
      <c r="J156" s="1"/>
      <c r="K156" s="1"/>
      <c r="L156" s="53" t="str">
        <f t="shared" si="2"/>
        <v/>
      </c>
      <c r="M156" s="54" t="str">
        <f t="shared" si="3"/>
        <v/>
      </c>
      <c r="N156" s="67" t="str">
        <f t="shared" si="5"/>
        <v/>
      </c>
      <c r="O156" s="56">
        <f t="shared" si="6"/>
        <v>0</v>
      </c>
      <c r="P156" s="56">
        <f t="shared" si="7"/>
        <v>0</v>
      </c>
      <c r="Q156" s="65">
        <f t="shared" si="4"/>
        <v>0</v>
      </c>
      <c r="R156" s="1"/>
    </row>
    <row r="157">
      <c r="A157" s="50"/>
      <c r="B157" s="50"/>
      <c r="C157" s="51"/>
      <c r="D157" s="50"/>
      <c r="E157" s="70" t="str">
        <f t="shared" si="1"/>
        <v/>
      </c>
      <c r="F157" s="1"/>
      <c r="G157" s="1"/>
      <c r="H157" s="1"/>
      <c r="I157" s="1"/>
      <c r="J157" s="1"/>
      <c r="K157" s="1"/>
      <c r="L157" s="53" t="str">
        <f t="shared" si="2"/>
        <v/>
      </c>
      <c r="M157" s="54" t="str">
        <f t="shared" si="3"/>
        <v/>
      </c>
      <c r="N157" s="67" t="str">
        <f t="shared" si="5"/>
        <v/>
      </c>
      <c r="O157" s="56">
        <f t="shared" si="6"/>
        <v>0</v>
      </c>
      <c r="P157" s="56">
        <f t="shared" si="7"/>
        <v>0</v>
      </c>
      <c r="Q157" s="65">
        <f t="shared" si="4"/>
        <v>0</v>
      </c>
      <c r="R157" s="1"/>
    </row>
    <row r="158">
      <c r="A158" s="50"/>
      <c r="B158" s="50"/>
      <c r="C158" s="51"/>
      <c r="D158" s="50"/>
      <c r="E158" s="70" t="str">
        <f t="shared" si="1"/>
        <v/>
      </c>
      <c r="F158" s="1"/>
      <c r="G158" s="1"/>
      <c r="H158" s="1"/>
      <c r="I158" s="1"/>
      <c r="J158" s="1"/>
      <c r="K158" s="1"/>
      <c r="L158" s="53" t="str">
        <f t="shared" si="2"/>
        <v/>
      </c>
      <c r="M158" s="54" t="str">
        <f t="shared" si="3"/>
        <v/>
      </c>
      <c r="N158" s="67" t="str">
        <f t="shared" si="5"/>
        <v/>
      </c>
      <c r="O158" s="56">
        <f t="shared" si="6"/>
        <v>0</v>
      </c>
      <c r="P158" s="56">
        <f t="shared" si="7"/>
        <v>0</v>
      </c>
      <c r="Q158" s="65">
        <f t="shared" si="4"/>
        <v>0</v>
      </c>
      <c r="R158" s="1"/>
    </row>
    <row r="159">
      <c r="A159" s="1"/>
      <c r="B159" s="1"/>
      <c r="C159" s="51"/>
      <c r="D159" s="50"/>
      <c r="E159" s="70" t="str">
        <f t="shared" si="1"/>
        <v/>
      </c>
      <c r="F159" s="1"/>
      <c r="G159" s="1"/>
      <c r="H159" s="1"/>
      <c r="I159" s="1"/>
      <c r="J159" s="1"/>
      <c r="K159" s="1"/>
      <c r="L159" s="53" t="str">
        <f t="shared" si="2"/>
        <v/>
      </c>
      <c r="M159" s="54" t="str">
        <f t="shared" si="3"/>
        <v/>
      </c>
      <c r="N159" s="67" t="str">
        <f t="shared" si="5"/>
        <v/>
      </c>
      <c r="O159" s="56">
        <f t="shared" si="6"/>
        <v>0</v>
      </c>
      <c r="P159" s="56">
        <f t="shared" si="7"/>
        <v>0</v>
      </c>
      <c r="Q159" s="65">
        <f t="shared" si="4"/>
        <v>0</v>
      </c>
      <c r="R159" s="1"/>
    </row>
    <row r="160">
      <c r="A160" s="1"/>
      <c r="B160" s="1"/>
      <c r="C160" s="51"/>
      <c r="D160" s="50"/>
      <c r="E160" s="70" t="str">
        <f t="shared" si="1"/>
        <v/>
      </c>
      <c r="F160" s="1"/>
      <c r="G160" s="1"/>
      <c r="H160" s="1"/>
      <c r="I160" s="1"/>
      <c r="J160" s="1"/>
      <c r="K160" s="1"/>
      <c r="L160" s="53" t="str">
        <f t="shared" si="2"/>
        <v/>
      </c>
      <c r="M160" s="54" t="str">
        <f t="shared" si="3"/>
        <v/>
      </c>
      <c r="N160" s="67" t="str">
        <f t="shared" si="5"/>
        <v/>
      </c>
      <c r="O160" s="56">
        <f t="shared" si="6"/>
        <v>0</v>
      </c>
      <c r="P160" s="56">
        <f t="shared" si="7"/>
        <v>0</v>
      </c>
      <c r="Q160" s="65">
        <f t="shared" si="4"/>
        <v>0</v>
      </c>
      <c r="R160" s="1"/>
    </row>
    <row r="161">
      <c r="A161" s="1"/>
      <c r="B161" s="1"/>
      <c r="C161" s="51"/>
      <c r="D161" s="50"/>
      <c r="E161" s="70" t="str">
        <f t="shared" si="1"/>
        <v/>
      </c>
      <c r="F161" s="1"/>
      <c r="G161" s="1"/>
      <c r="H161" s="1"/>
      <c r="I161" s="1"/>
      <c r="J161" s="1"/>
      <c r="K161" s="1"/>
      <c r="L161" s="53" t="str">
        <f t="shared" si="2"/>
        <v/>
      </c>
      <c r="M161" s="54" t="str">
        <f t="shared" si="3"/>
        <v/>
      </c>
      <c r="N161" s="67" t="str">
        <f t="shared" si="5"/>
        <v/>
      </c>
      <c r="O161" s="56">
        <f t="shared" si="6"/>
        <v>0</v>
      </c>
      <c r="P161" s="56">
        <f t="shared" si="7"/>
        <v>0</v>
      </c>
      <c r="Q161" s="65">
        <f t="shared" si="4"/>
        <v>0</v>
      </c>
      <c r="R161" s="1"/>
    </row>
    <row r="162">
      <c r="A162" s="1"/>
      <c r="B162" s="1"/>
      <c r="C162" s="51"/>
      <c r="D162" s="50"/>
      <c r="E162" s="70" t="str">
        <f t="shared" si="1"/>
        <v/>
      </c>
      <c r="F162" s="1"/>
      <c r="G162" s="1"/>
      <c r="H162" s="1"/>
      <c r="I162" s="1"/>
      <c r="J162" s="1"/>
      <c r="K162" s="1"/>
      <c r="L162" s="53" t="str">
        <f t="shared" si="2"/>
        <v/>
      </c>
      <c r="M162" s="54" t="str">
        <f t="shared" si="3"/>
        <v/>
      </c>
      <c r="N162" s="67" t="str">
        <f t="shared" si="5"/>
        <v/>
      </c>
      <c r="O162" s="56">
        <f t="shared" si="6"/>
        <v>0</v>
      </c>
      <c r="P162" s="56">
        <f t="shared" si="7"/>
        <v>0</v>
      </c>
      <c r="Q162" s="65">
        <f t="shared" si="4"/>
        <v>0</v>
      </c>
      <c r="R162" s="1"/>
    </row>
    <row r="163">
      <c r="A163" s="1"/>
      <c r="B163" s="1"/>
      <c r="C163" s="51"/>
      <c r="D163" s="50"/>
      <c r="E163" s="70" t="str">
        <f t="shared" si="1"/>
        <v/>
      </c>
      <c r="F163" s="1"/>
      <c r="G163" s="1"/>
      <c r="H163" s="1"/>
      <c r="I163" s="1"/>
      <c r="J163" s="1"/>
      <c r="K163" s="1"/>
      <c r="L163" s="53" t="str">
        <f t="shared" si="2"/>
        <v/>
      </c>
      <c r="M163" s="54" t="str">
        <f t="shared" si="3"/>
        <v/>
      </c>
      <c r="N163" s="67" t="str">
        <f t="shared" si="5"/>
        <v/>
      </c>
      <c r="O163" s="56">
        <f t="shared" si="6"/>
        <v>0</v>
      </c>
      <c r="P163" s="56">
        <f t="shared" si="7"/>
        <v>0</v>
      </c>
      <c r="Q163" s="65">
        <f t="shared" si="4"/>
        <v>0</v>
      </c>
      <c r="R163" s="1"/>
    </row>
    <row r="164">
      <c r="A164" s="1"/>
      <c r="B164" s="1"/>
      <c r="C164" s="51"/>
      <c r="D164" s="50"/>
      <c r="E164" s="70" t="str">
        <f t="shared" si="1"/>
        <v/>
      </c>
      <c r="F164" s="1"/>
      <c r="G164" s="1"/>
      <c r="H164" s="1"/>
      <c r="I164" s="1"/>
      <c r="J164" s="1"/>
      <c r="K164" s="1"/>
      <c r="L164" s="53" t="str">
        <f t="shared" si="2"/>
        <v/>
      </c>
      <c r="M164" s="54" t="str">
        <f t="shared" si="3"/>
        <v/>
      </c>
      <c r="N164" s="67" t="str">
        <f t="shared" si="5"/>
        <v/>
      </c>
      <c r="O164" s="56">
        <f t="shared" si="6"/>
        <v>0</v>
      </c>
      <c r="P164" s="56">
        <f t="shared" si="7"/>
        <v>0</v>
      </c>
      <c r="Q164" s="65">
        <f t="shared" si="4"/>
        <v>0</v>
      </c>
      <c r="R164" s="1"/>
    </row>
    <row r="165">
      <c r="A165" s="1"/>
      <c r="B165" s="1"/>
      <c r="C165" s="51"/>
      <c r="D165" s="50"/>
      <c r="E165" s="70" t="str">
        <f t="shared" si="1"/>
        <v/>
      </c>
      <c r="F165" s="1"/>
      <c r="G165" s="1"/>
      <c r="H165" s="1"/>
      <c r="I165" s="1"/>
      <c r="J165" s="1"/>
      <c r="K165" s="1"/>
      <c r="L165" s="53" t="str">
        <f t="shared" si="2"/>
        <v/>
      </c>
      <c r="M165" s="54" t="str">
        <f t="shared" si="3"/>
        <v/>
      </c>
      <c r="N165" s="67" t="str">
        <f t="shared" si="5"/>
        <v/>
      </c>
      <c r="O165" s="56">
        <f t="shared" si="6"/>
        <v>0</v>
      </c>
      <c r="P165" s="56">
        <f t="shared" si="7"/>
        <v>0</v>
      </c>
      <c r="Q165" s="65">
        <f t="shared" si="4"/>
        <v>0</v>
      </c>
      <c r="R165" s="1"/>
    </row>
    <row r="166">
      <c r="A166" s="1"/>
      <c r="B166" s="1"/>
      <c r="C166" s="51"/>
      <c r="D166" s="50"/>
      <c r="E166" s="70" t="str">
        <f t="shared" si="1"/>
        <v/>
      </c>
      <c r="F166" s="1"/>
      <c r="G166" s="1"/>
      <c r="H166" s="1"/>
      <c r="I166" s="1"/>
      <c r="J166" s="1"/>
      <c r="K166" s="1"/>
      <c r="L166" s="53" t="str">
        <f t="shared" si="2"/>
        <v/>
      </c>
      <c r="M166" s="54" t="str">
        <f t="shared" si="3"/>
        <v/>
      </c>
      <c r="N166" s="67" t="str">
        <f t="shared" si="5"/>
        <v/>
      </c>
      <c r="O166" s="56">
        <f t="shared" si="6"/>
        <v>0</v>
      </c>
      <c r="P166" s="56">
        <f t="shared" si="7"/>
        <v>0</v>
      </c>
      <c r="Q166" s="65">
        <f t="shared" si="4"/>
        <v>0</v>
      </c>
      <c r="R166" s="1"/>
    </row>
    <row r="167">
      <c r="A167" s="1"/>
      <c r="B167" s="1"/>
      <c r="C167" s="51"/>
      <c r="D167" s="50"/>
      <c r="E167" s="70" t="str">
        <f t="shared" si="1"/>
        <v/>
      </c>
      <c r="F167" s="1"/>
      <c r="G167" s="1"/>
      <c r="H167" s="1"/>
      <c r="I167" s="1"/>
      <c r="J167" s="1"/>
      <c r="K167" s="1"/>
      <c r="L167" s="53" t="str">
        <f t="shared" si="2"/>
        <v/>
      </c>
      <c r="M167" s="54" t="str">
        <f t="shared" si="3"/>
        <v/>
      </c>
      <c r="N167" s="81" t="str">
        <f t="shared" si="5"/>
        <v/>
      </c>
      <c r="O167" s="56">
        <f t="shared" si="6"/>
        <v>0</v>
      </c>
      <c r="P167" s="56">
        <f t="shared" si="7"/>
        <v>0</v>
      </c>
      <c r="Q167" s="65">
        <f t="shared" si="4"/>
        <v>0</v>
      </c>
      <c r="R167" s="1"/>
    </row>
    <row r="168">
      <c r="A168" s="1"/>
      <c r="B168" s="1"/>
      <c r="C168" s="51"/>
      <c r="D168" s="50"/>
      <c r="E168" s="70" t="str">
        <f t="shared" si="1"/>
        <v/>
      </c>
      <c r="F168" s="1"/>
      <c r="G168" s="1"/>
      <c r="H168" s="1"/>
      <c r="I168" s="1"/>
      <c r="J168" s="1"/>
      <c r="K168" s="1"/>
      <c r="L168" s="53" t="str">
        <f t="shared" si="2"/>
        <v/>
      </c>
      <c r="M168" s="54" t="str">
        <f t="shared" si="3"/>
        <v/>
      </c>
      <c r="N168" s="81" t="str">
        <f t="shared" si="5"/>
        <v/>
      </c>
      <c r="O168" s="56">
        <f t="shared" si="6"/>
        <v>0</v>
      </c>
      <c r="P168" s="56">
        <f t="shared" si="7"/>
        <v>0</v>
      </c>
      <c r="Q168" s="65">
        <f t="shared" si="4"/>
        <v>0</v>
      </c>
      <c r="R168" s="1"/>
    </row>
    <row r="169">
      <c r="A169" s="1"/>
      <c r="B169" s="1"/>
      <c r="C169" s="51"/>
      <c r="D169" s="50"/>
      <c r="E169" s="70" t="str">
        <f t="shared" si="1"/>
        <v/>
      </c>
      <c r="F169" s="1"/>
      <c r="G169" s="1"/>
      <c r="H169" s="1"/>
      <c r="I169" s="1"/>
      <c r="J169" s="1"/>
      <c r="K169" s="1"/>
      <c r="L169" s="53" t="str">
        <f t="shared" si="2"/>
        <v/>
      </c>
      <c r="M169" s="54" t="str">
        <f t="shared" si="3"/>
        <v/>
      </c>
      <c r="N169" s="81" t="str">
        <f t="shared" si="5"/>
        <v/>
      </c>
      <c r="O169" s="56">
        <f t="shared" si="6"/>
        <v>0</v>
      </c>
      <c r="P169" s="56">
        <f t="shared" si="7"/>
        <v>0</v>
      </c>
      <c r="Q169" s="65">
        <f t="shared" si="4"/>
        <v>0</v>
      </c>
      <c r="R169" s="1"/>
    </row>
    <row r="170">
      <c r="A170" s="1"/>
      <c r="B170" s="1"/>
      <c r="C170" s="51"/>
      <c r="D170" s="50"/>
      <c r="E170" s="70" t="str">
        <f t="shared" si="1"/>
        <v/>
      </c>
      <c r="F170" s="1"/>
      <c r="G170" s="1"/>
      <c r="H170" s="1"/>
      <c r="I170" s="1"/>
      <c r="J170" s="1"/>
      <c r="K170" s="1"/>
      <c r="L170" s="53" t="str">
        <f t="shared" si="2"/>
        <v/>
      </c>
      <c r="M170" s="54" t="str">
        <f t="shared" si="3"/>
        <v/>
      </c>
      <c r="N170" s="81" t="str">
        <f t="shared" si="5"/>
        <v/>
      </c>
      <c r="O170" s="56">
        <f t="shared" si="6"/>
        <v>0</v>
      </c>
      <c r="P170" s="56">
        <f t="shared" si="7"/>
        <v>0</v>
      </c>
      <c r="Q170" s="65">
        <f t="shared" si="4"/>
        <v>0</v>
      </c>
      <c r="R170" s="1"/>
    </row>
    <row r="171">
      <c r="A171" s="1"/>
      <c r="B171" s="1"/>
      <c r="C171" s="51"/>
      <c r="D171" s="50"/>
      <c r="E171" s="70" t="str">
        <f t="shared" si="1"/>
        <v/>
      </c>
      <c r="F171" s="1"/>
      <c r="G171" s="1"/>
      <c r="H171" s="1"/>
      <c r="I171" s="1"/>
      <c r="J171" s="1"/>
      <c r="K171" s="1"/>
      <c r="L171" s="53" t="str">
        <f t="shared" si="2"/>
        <v/>
      </c>
      <c r="M171" s="54" t="str">
        <f t="shared" si="3"/>
        <v/>
      </c>
      <c r="N171" s="81" t="str">
        <f t="shared" si="5"/>
        <v/>
      </c>
      <c r="O171" s="56">
        <f t="shared" si="6"/>
        <v>0</v>
      </c>
      <c r="P171" s="56">
        <f t="shared" si="7"/>
        <v>0</v>
      </c>
      <c r="Q171" s="65">
        <f t="shared" si="4"/>
        <v>0</v>
      </c>
      <c r="R171" s="1"/>
    </row>
    <row r="172">
      <c r="A172" s="1"/>
      <c r="B172" s="1"/>
      <c r="C172" s="51"/>
      <c r="D172" s="50"/>
      <c r="E172" s="70" t="str">
        <f t="shared" si="1"/>
        <v/>
      </c>
      <c r="F172" s="1"/>
      <c r="G172" s="1"/>
      <c r="H172" s="1"/>
      <c r="I172" s="1"/>
      <c r="J172" s="1"/>
      <c r="K172" s="1"/>
      <c r="L172" s="53" t="str">
        <f t="shared" si="2"/>
        <v/>
      </c>
      <c r="M172" s="54" t="str">
        <f t="shared" si="3"/>
        <v/>
      </c>
      <c r="N172" s="81" t="str">
        <f t="shared" si="5"/>
        <v/>
      </c>
      <c r="O172" s="56">
        <f t="shared" si="6"/>
        <v>0</v>
      </c>
      <c r="P172" s="56">
        <f t="shared" si="7"/>
        <v>0</v>
      </c>
      <c r="Q172" s="65">
        <f t="shared" si="4"/>
        <v>0</v>
      </c>
      <c r="R172" s="1"/>
    </row>
    <row r="173">
      <c r="A173" s="1"/>
      <c r="B173" s="1"/>
      <c r="C173" s="51"/>
      <c r="D173" s="50"/>
      <c r="E173" s="70" t="str">
        <f t="shared" si="1"/>
        <v/>
      </c>
      <c r="F173" s="1"/>
      <c r="G173" s="1"/>
      <c r="H173" s="1"/>
      <c r="I173" s="1"/>
      <c r="J173" s="1"/>
      <c r="K173" s="1"/>
      <c r="L173" s="53" t="str">
        <f t="shared" si="2"/>
        <v/>
      </c>
      <c r="M173" s="54" t="str">
        <f t="shared" si="3"/>
        <v/>
      </c>
      <c r="N173" s="81" t="str">
        <f t="shared" si="5"/>
        <v/>
      </c>
      <c r="O173" s="56">
        <f t="shared" si="6"/>
        <v>0</v>
      </c>
      <c r="P173" s="56">
        <f t="shared" si="7"/>
        <v>0</v>
      </c>
      <c r="Q173" s="65">
        <f t="shared" si="4"/>
        <v>0</v>
      </c>
      <c r="R173" s="1"/>
    </row>
    <row r="174">
      <c r="A174" s="1"/>
      <c r="B174" s="1"/>
      <c r="C174" s="51"/>
      <c r="D174" s="50"/>
      <c r="E174" s="70" t="str">
        <f t="shared" si="1"/>
        <v/>
      </c>
      <c r="F174" s="1"/>
      <c r="G174" s="1"/>
      <c r="H174" s="1"/>
      <c r="I174" s="1"/>
      <c r="J174" s="1"/>
      <c r="K174" s="1"/>
      <c r="L174" s="53" t="str">
        <f t="shared" si="2"/>
        <v/>
      </c>
      <c r="M174" s="54" t="str">
        <f t="shared" si="3"/>
        <v/>
      </c>
      <c r="N174" s="81" t="str">
        <f t="shared" si="5"/>
        <v/>
      </c>
      <c r="O174" s="56">
        <f t="shared" si="6"/>
        <v>0</v>
      </c>
      <c r="P174" s="56">
        <f t="shared" si="7"/>
        <v>0</v>
      </c>
      <c r="Q174" s="65">
        <f t="shared" si="4"/>
        <v>0</v>
      </c>
      <c r="R174" s="1"/>
    </row>
    <row r="175">
      <c r="A175" s="1"/>
      <c r="B175" s="1"/>
      <c r="C175" s="51"/>
      <c r="D175" s="50"/>
      <c r="E175" s="70" t="str">
        <f t="shared" si="1"/>
        <v/>
      </c>
      <c r="F175" s="1"/>
      <c r="G175" s="1"/>
      <c r="H175" s="1"/>
      <c r="I175" s="1"/>
      <c r="J175" s="1"/>
      <c r="K175" s="1"/>
      <c r="L175" s="53" t="str">
        <f t="shared" si="2"/>
        <v/>
      </c>
      <c r="M175" s="54" t="str">
        <f t="shared" si="3"/>
        <v/>
      </c>
      <c r="N175" s="81" t="str">
        <f t="shared" si="5"/>
        <v/>
      </c>
      <c r="O175" s="56">
        <f t="shared" si="6"/>
        <v>0</v>
      </c>
      <c r="P175" s="56">
        <f t="shared" si="7"/>
        <v>0</v>
      </c>
      <c r="Q175" s="65">
        <f t="shared" si="4"/>
        <v>0</v>
      </c>
      <c r="R175" s="1"/>
    </row>
    <row r="176">
      <c r="A176" s="1"/>
      <c r="B176" s="1"/>
      <c r="C176" s="51"/>
      <c r="D176" s="50"/>
      <c r="E176" s="70" t="str">
        <f t="shared" si="1"/>
        <v/>
      </c>
      <c r="F176" s="1"/>
      <c r="G176" s="1"/>
      <c r="H176" s="1"/>
      <c r="I176" s="1"/>
      <c r="J176" s="1"/>
      <c r="K176" s="1"/>
      <c r="L176" s="53" t="str">
        <f t="shared" si="2"/>
        <v/>
      </c>
      <c r="M176" s="54" t="str">
        <f t="shared" si="3"/>
        <v/>
      </c>
      <c r="N176" s="81" t="str">
        <f t="shared" si="5"/>
        <v/>
      </c>
      <c r="O176" s="56">
        <f t="shared" si="6"/>
        <v>0</v>
      </c>
      <c r="P176" s="56">
        <f t="shared" si="7"/>
        <v>0</v>
      </c>
      <c r="Q176" s="65">
        <f t="shared" si="4"/>
        <v>0</v>
      </c>
      <c r="R176" s="1"/>
    </row>
    <row r="177">
      <c r="A177" s="1"/>
      <c r="B177" s="1"/>
      <c r="C177" s="51"/>
      <c r="D177" s="50"/>
      <c r="E177" s="70" t="str">
        <f t="shared" si="1"/>
        <v/>
      </c>
      <c r="F177" s="1"/>
      <c r="G177" s="1"/>
      <c r="H177" s="1"/>
      <c r="I177" s="1"/>
      <c r="J177" s="1"/>
      <c r="K177" s="1"/>
      <c r="L177" s="53" t="str">
        <f t="shared" si="2"/>
        <v/>
      </c>
      <c r="M177" s="54" t="str">
        <f t="shared" si="3"/>
        <v/>
      </c>
      <c r="N177" s="81" t="str">
        <f t="shared" si="5"/>
        <v/>
      </c>
      <c r="O177" s="56">
        <f t="shared" si="6"/>
        <v>0</v>
      </c>
      <c r="P177" s="56">
        <f t="shared" si="7"/>
        <v>0</v>
      </c>
      <c r="Q177" s="65">
        <f t="shared" si="4"/>
        <v>0</v>
      </c>
      <c r="R177" s="1"/>
    </row>
    <row r="178">
      <c r="A178" s="1"/>
      <c r="B178" s="1"/>
      <c r="C178" s="51"/>
      <c r="D178" s="50"/>
      <c r="E178" s="70" t="str">
        <f t="shared" si="1"/>
        <v/>
      </c>
      <c r="F178" s="1"/>
      <c r="G178" s="1"/>
      <c r="H178" s="1"/>
      <c r="I178" s="1"/>
      <c r="J178" s="1"/>
      <c r="K178" s="1"/>
      <c r="L178" s="53" t="str">
        <f t="shared" si="2"/>
        <v/>
      </c>
      <c r="M178" s="54" t="str">
        <f t="shared" si="3"/>
        <v/>
      </c>
      <c r="N178" s="81" t="str">
        <f t="shared" si="5"/>
        <v/>
      </c>
      <c r="O178" s="56">
        <f t="shared" si="6"/>
        <v>0</v>
      </c>
      <c r="P178" s="56">
        <f t="shared" si="7"/>
        <v>0</v>
      </c>
      <c r="Q178" s="65">
        <f t="shared" si="4"/>
        <v>0</v>
      </c>
      <c r="R178" s="1"/>
    </row>
    <row r="179">
      <c r="A179" s="1"/>
      <c r="B179" s="1"/>
      <c r="C179" s="51"/>
      <c r="D179" s="50"/>
      <c r="E179" s="70" t="str">
        <f t="shared" si="1"/>
        <v/>
      </c>
      <c r="F179" s="1"/>
      <c r="G179" s="1"/>
      <c r="H179" s="1"/>
      <c r="I179" s="1"/>
      <c r="J179" s="1"/>
      <c r="K179" s="1"/>
      <c r="L179" s="53" t="str">
        <f t="shared" si="2"/>
        <v/>
      </c>
      <c r="M179" s="54" t="str">
        <f t="shared" si="3"/>
        <v/>
      </c>
      <c r="N179" s="81" t="str">
        <f t="shared" si="5"/>
        <v/>
      </c>
      <c r="O179" s="56">
        <f t="shared" si="6"/>
        <v>0</v>
      </c>
      <c r="P179" s="56">
        <f t="shared" si="7"/>
        <v>0</v>
      </c>
      <c r="Q179" s="65">
        <f t="shared" si="4"/>
        <v>0</v>
      </c>
      <c r="R179" s="1"/>
    </row>
    <row r="180">
      <c r="A180" s="1"/>
      <c r="B180" s="1"/>
      <c r="C180" s="51"/>
      <c r="D180" s="50"/>
      <c r="E180" s="70" t="str">
        <f t="shared" si="1"/>
        <v/>
      </c>
      <c r="F180" s="1"/>
      <c r="G180" s="1"/>
      <c r="H180" s="1"/>
      <c r="I180" s="1"/>
      <c r="J180" s="1"/>
      <c r="K180" s="1"/>
      <c r="L180" s="53" t="str">
        <f t="shared" si="2"/>
        <v/>
      </c>
      <c r="M180" s="54" t="str">
        <f t="shared" si="3"/>
        <v/>
      </c>
      <c r="N180" s="81" t="str">
        <f t="shared" si="5"/>
        <v/>
      </c>
      <c r="O180" s="56">
        <f t="shared" si="6"/>
        <v>0</v>
      </c>
      <c r="P180" s="56">
        <f t="shared" si="7"/>
        <v>0</v>
      </c>
      <c r="Q180" s="65">
        <f t="shared" si="4"/>
        <v>0</v>
      </c>
      <c r="R180" s="1"/>
    </row>
    <row r="181">
      <c r="A181" s="1"/>
      <c r="B181" s="1"/>
      <c r="C181" s="51"/>
      <c r="D181" s="50"/>
      <c r="E181" s="70" t="str">
        <f t="shared" si="1"/>
        <v/>
      </c>
      <c r="F181" s="1"/>
      <c r="G181" s="1"/>
      <c r="H181" s="1"/>
      <c r="I181" s="1"/>
      <c r="J181" s="1"/>
      <c r="K181" s="1"/>
      <c r="L181" s="53" t="str">
        <f t="shared" si="2"/>
        <v/>
      </c>
      <c r="M181" s="54" t="str">
        <f t="shared" si="3"/>
        <v/>
      </c>
      <c r="N181" s="81" t="str">
        <f t="shared" si="5"/>
        <v/>
      </c>
      <c r="O181" s="56">
        <f t="shared" si="6"/>
        <v>0</v>
      </c>
      <c r="P181" s="56">
        <f t="shared" si="7"/>
        <v>0</v>
      </c>
      <c r="Q181" s="65">
        <f t="shared" si="4"/>
        <v>0</v>
      </c>
      <c r="R181" s="1"/>
    </row>
    <row r="182">
      <c r="A182" s="1"/>
      <c r="B182" s="1"/>
      <c r="C182" s="51"/>
      <c r="D182" s="50"/>
      <c r="E182" s="70" t="str">
        <f t="shared" si="1"/>
        <v/>
      </c>
      <c r="F182" s="1"/>
      <c r="G182" s="1"/>
      <c r="H182" s="1"/>
      <c r="I182" s="1"/>
      <c r="J182" s="1"/>
      <c r="K182" s="1"/>
      <c r="L182" s="53" t="str">
        <f t="shared" si="2"/>
        <v/>
      </c>
      <c r="M182" s="54" t="str">
        <f t="shared" si="3"/>
        <v/>
      </c>
      <c r="N182" s="81" t="str">
        <f t="shared" si="5"/>
        <v/>
      </c>
      <c r="O182" s="56">
        <f t="shared" si="6"/>
        <v>0</v>
      </c>
      <c r="P182" s="56">
        <f t="shared" si="7"/>
        <v>0</v>
      </c>
      <c r="Q182" s="65">
        <f t="shared" si="4"/>
        <v>0</v>
      </c>
      <c r="R182" s="1"/>
    </row>
    <row r="183">
      <c r="A183" s="1"/>
      <c r="B183" s="1"/>
      <c r="C183" s="51"/>
      <c r="D183" s="50"/>
      <c r="E183" s="70" t="str">
        <f t="shared" si="1"/>
        <v/>
      </c>
      <c r="F183" s="1"/>
      <c r="G183" s="1"/>
      <c r="H183" s="1"/>
      <c r="I183" s="1"/>
      <c r="J183" s="1"/>
      <c r="K183" s="1"/>
      <c r="L183" s="53" t="str">
        <f t="shared" si="2"/>
        <v/>
      </c>
      <c r="M183" s="54" t="str">
        <f t="shared" si="3"/>
        <v/>
      </c>
      <c r="N183" s="81" t="str">
        <f t="shared" si="5"/>
        <v/>
      </c>
      <c r="O183" s="56">
        <f t="shared" si="6"/>
        <v>0</v>
      </c>
      <c r="P183" s="56">
        <f t="shared" si="7"/>
        <v>0</v>
      </c>
      <c r="Q183" s="65">
        <f t="shared" si="4"/>
        <v>0</v>
      </c>
      <c r="R183" s="1"/>
    </row>
    <row r="184">
      <c r="A184" s="1"/>
      <c r="B184" s="1"/>
      <c r="C184" s="51"/>
      <c r="D184" s="50"/>
      <c r="E184" s="70" t="str">
        <f t="shared" si="1"/>
        <v/>
      </c>
      <c r="F184" s="1"/>
      <c r="G184" s="1"/>
      <c r="H184" s="1"/>
      <c r="I184" s="1"/>
      <c r="J184" s="1"/>
      <c r="K184" s="1"/>
      <c r="L184" s="53" t="str">
        <f t="shared" si="2"/>
        <v/>
      </c>
      <c r="M184" s="54" t="str">
        <f t="shared" si="3"/>
        <v/>
      </c>
      <c r="N184" s="81" t="str">
        <f t="shared" si="5"/>
        <v/>
      </c>
      <c r="O184" s="56">
        <f t="shared" si="6"/>
        <v>0</v>
      </c>
      <c r="P184" s="56">
        <f t="shared" si="7"/>
        <v>0</v>
      </c>
      <c r="Q184" s="65">
        <f t="shared" si="4"/>
        <v>0</v>
      </c>
      <c r="R184" s="1"/>
    </row>
    <row r="185">
      <c r="A185" s="1"/>
      <c r="B185" s="1"/>
      <c r="C185" s="51"/>
      <c r="D185" s="50"/>
      <c r="E185" s="70" t="str">
        <f t="shared" si="1"/>
        <v/>
      </c>
      <c r="F185" s="1"/>
      <c r="G185" s="1"/>
      <c r="H185" s="1"/>
      <c r="I185" s="1"/>
      <c r="J185" s="1"/>
      <c r="K185" s="1"/>
      <c r="L185" s="53" t="str">
        <f t="shared" si="2"/>
        <v/>
      </c>
      <c r="M185" s="54" t="str">
        <f t="shared" si="3"/>
        <v/>
      </c>
      <c r="N185" s="81" t="str">
        <f t="shared" si="5"/>
        <v/>
      </c>
      <c r="O185" s="56">
        <f t="shared" si="6"/>
        <v>0</v>
      </c>
      <c r="P185" s="56">
        <f t="shared" si="7"/>
        <v>0</v>
      </c>
      <c r="Q185" s="65">
        <f t="shared" si="4"/>
        <v>0</v>
      </c>
      <c r="R185" s="1"/>
    </row>
    <row r="186">
      <c r="A186" s="1"/>
      <c r="B186" s="1"/>
      <c r="C186" s="51"/>
      <c r="D186" s="50"/>
      <c r="E186" s="70" t="str">
        <f t="shared" si="1"/>
        <v/>
      </c>
      <c r="F186" s="1"/>
      <c r="G186" s="1"/>
      <c r="H186" s="1"/>
      <c r="I186" s="1"/>
      <c r="J186" s="1"/>
      <c r="K186" s="1"/>
      <c r="L186" s="53" t="str">
        <f t="shared" si="2"/>
        <v/>
      </c>
      <c r="M186" s="54" t="str">
        <f t="shared" si="3"/>
        <v/>
      </c>
      <c r="N186" s="81" t="str">
        <f t="shared" si="5"/>
        <v/>
      </c>
      <c r="O186" s="56">
        <f t="shared" si="6"/>
        <v>0</v>
      </c>
      <c r="P186" s="56">
        <f t="shared" si="7"/>
        <v>0</v>
      </c>
      <c r="Q186" s="65">
        <f t="shared" si="4"/>
        <v>0</v>
      </c>
      <c r="R186" s="1"/>
    </row>
    <row r="187">
      <c r="A187" s="1"/>
      <c r="B187" s="1"/>
      <c r="C187" s="51"/>
      <c r="D187" s="50"/>
      <c r="E187" s="70" t="str">
        <f t="shared" si="1"/>
        <v/>
      </c>
      <c r="F187" s="1"/>
      <c r="G187" s="1"/>
      <c r="H187" s="1"/>
      <c r="I187" s="1"/>
      <c r="J187" s="1"/>
      <c r="K187" s="1"/>
      <c r="L187" s="53" t="str">
        <f t="shared" si="2"/>
        <v/>
      </c>
      <c r="M187" s="54" t="str">
        <f t="shared" si="3"/>
        <v/>
      </c>
      <c r="N187" s="81" t="str">
        <f t="shared" si="5"/>
        <v/>
      </c>
      <c r="O187" s="56">
        <f t="shared" si="6"/>
        <v>0</v>
      </c>
      <c r="P187" s="56">
        <f t="shared" si="7"/>
        <v>0</v>
      </c>
      <c r="Q187" s="65">
        <f t="shared" si="4"/>
        <v>0</v>
      </c>
      <c r="R187" s="1"/>
    </row>
    <row r="188">
      <c r="A188" s="1"/>
      <c r="B188" s="1"/>
      <c r="C188" s="51"/>
      <c r="D188" s="50"/>
      <c r="E188" s="70" t="str">
        <f t="shared" si="1"/>
        <v/>
      </c>
      <c r="F188" s="1"/>
      <c r="G188" s="1"/>
      <c r="H188" s="1"/>
      <c r="I188" s="1"/>
      <c r="J188" s="1"/>
      <c r="K188" s="1"/>
      <c r="L188" s="53" t="str">
        <f t="shared" si="2"/>
        <v/>
      </c>
      <c r="M188" s="54" t="str">
        <f t="shared" si="3"/>
        <v/>
      </c>
      <c r="N188" s="81" t="str">
        <f t="shared" si="5"/>
        <v/>
      </c>
      <c r="O188" s="56">
        <f t="shared" si="6"/>
        <v>0</v>
      </c>
      <c r="P188" s="56">
        <f t="shared" si="7"/>
        <v>0</v>
      </c>
      <c r="Q188" s="65">
        <f t="shared" si="4"/>
        <v>0</v>
      </c>
      <c r="R188" s="1"/>
    </row>
    <row r="189">
      <c r="A189" s="1"/>
      <c r="B189" s="1"/>
      <c r="C189" s="71"/>
      <c r="D189" s="50"/>
      <c r="E189" s="70" t="str">
        <f t="shared" si="1"/>
        <v/>
      </c>
      <c r="F189" s="1"/>
      <c r="G189" s="1"/>
      <c r="H189" s="1"/>
      <c r="I189" s="1"/>
      <c r="J189" s="1"/>
      <c r="K189" s="1"/>
      <c r="L189" s="53" t="str">
        <f t="shared" si="2"/>
        <v/>
      </c>
      <c r="M189" s="54" t="str">
        <f t="shared" si="3"/>
        <v/>
      </c>
      <c r="N189" s="81" t="str">
        <f t="shared" si="5"/>
        <v/>
      </c>
      <c r="O189" s="56">
        <f t="shared" si="6"/>
        <v>0</v>
      </c>
      <c r="P189" s="56">
        <f t="shared" si="7"/>
        <v>0</v>
      </c>
      <c r="Q189" s="65">
        <f t="shared" si="4"/>
        <v>0</v>
      </c>
      <c r="R189" s="1"/>
    </row>
    <row r="190">
      <c r="A190" s="1"/>
      <c r="B190" s="1"/>
      <c r="C190" s="51"/>
      <c r="D190" s="50"/>
      <c r="E190" s="70" t="str">
        <f t="shared" si="1"/>
        <v/>
      </c>
      <c r="F190" s="1"/>
      <c r="G190" s="1"/>
      <c r="H190" s="1"/>
      <c r="I190" s="1"/>
      <c r="J190" s="1"/>
      <c r="K190" s="1"/>
      <c r="L190" s="53" t="str">
        <f t="shared" si="2"/>
        <v/>
      </c>
      <c r="M190" s="54" t="str">
        <f t="shared" si="3"/>
        <v/>
      </c>
      <c r="N190" s="81" t="str">
        <f t="shared" si="5"/>
        <v/>
      </c>
      <c r="O190" s="56">
        <f t="shared" si="6"/>
        <v>0</v>
      </c>
      <c r="P190" s="56">
        <f t="shared" si="7"/>
        <v>0</v>
      </c>
      <c r="Q190" s="65">
        <f t="shared" si="4"/>
        <v>0</v>
      </c>
      <c r="R190" s="1"/>
    </row>
    <row r="191">
      <c r="A191" s="1"/>
      <c r="B191" s="1"/>
      <c r="C191" s="51"/>
      <c r="D191" s="50"/>
      <c r="E191" s="70" t="str">
        <f t="shared" si="1"/>
        <v/>
      </c>
      <c r="F191" s="1"/>
      <c r="G191" s="1"/>
      <c r="H191" s="1"/>
      <c r="I191" s="1"/>
      <c r="J191" s="1"/>
      <c r="K191" s="1"/>
      <c r="L191" s="53" t="str">
        <f t="shared" si="2"/>
        <v/>
      </c>
      <c r="M191" s="54" t="str">
        <f t="shared" si="3"/>
        <v/>
      </c>
      <c r="N191" s="81" t="str">
        <f t="shared" si="5"/>
        <v/>
      </c>
      <c r="O191" s="56">
        <f t="shared" si="6"/>
        <v>0</v>
      </c>
      <c r="P191" s="56">
        <f t="shared" si="7"/>
        <v>0</v>
      </c>
      <c r="Q191" s="65">
        <f t="shared" si="4"/>
        <v>0</v>
      </c>
      <c r="R191" s="1"/>
    </row>
    <row r="192">
      <c r="A192" s="1"/>
      <c r="B192" s="1"/>
      <c r="C192" s="51"/>
      <c r="D192" s="50"/>
      <c r="E192" s="70" t="str">
        <f t="shared" si="1"/>
        <v/>
      </c>
      <c r="F192" s="1"/>
      <c r="G192" s="1"/>
      <c r="H192" s="1"/>
      <c r="I192" s="1"/>
      <c r="J192" s="1"/>
      <c r="K192" s="1"/>
      <c r="L192" s="53" t="str">
        <f t="shared" si="2"/>
        <v/>
      </c>
      <c r="M192" s="54" t="str">
        <f t="shared" si="3"/>
        <v/>
      </c>
      <c r="N192" s="81" t="str">
        <f t="shared" si="5"/>
        <v/>
      </c>
      <c r="O192" s="56">
        <f t="shared" si="6"/>
        <v>0</v>
      </c>
      <c r="P192" s="56">
        <f t="shared" si="7"/>
        <v>0</v>
      </c>
      <c r="Q192" s="65">
        <f t="shared" si="4"/>
        <v>0</v>
      </c>
      <c r="R192" s="1"/>
    </row>
    <row r="193">
      <c r="A193" s="1"/>
      <c r="B193" s="1"/>
      <c r="C193" s="51"/>
      <c r="D193" s="50"/>
      <c r="E193" s="70" t="str">
        <f t="shared" si="1"/>
        <v/>
      </c>
      <c r="F193" s="1"/>
      <c r="G193" s="1"/>
      <c r="H193" s="1"/>
      <c r="I193" s="1"/>
      <c r="J193" s="1"/>
      <c r="K193" s="1"/>
      <c r="L193" s="53" t="str">
        <f t="shared" si="2"/>
        <v/>
      </c>
      <c r="M193" s="54" t="str">
        <f t="shared" si="3"/>
        <v/>
      </c>
      <c r="N193" s="81" t="str">
        <f t="shared" si="5"/>
        <v/>
      </c>
      <c r="O193" s="56">
        <f t="shared" si="6"/>
        <v>0</v>
      </c>
      <c r="P193" s="56">
        <f t="shared" si="7"/>
        <v>0</v>
      </c>
      <c r="Q193" s="65">
        <f t="shared" si="4"/>
        <v>0</v>
      </c>
      <c r="R193" s="1"/>
    </row>
    <row r="194">
      <c r="A194" s="1"/>
      <c r="B194" s="1"/>
      <c r="C194" s="71"/>
      <c r="D194" s="50"/>
      <c r="E194" s="70" t="str">
        <f t="shared" si="1"/>
        <v/>
      </c>
      <c r="F194" s="1"/>
      <c r="G194" s="1"/>
      <c r="H194" s="1"/>
      <c r="I194" s="1"/>
      <c r="J194" s="1"/>
      <c r="K194" s="1"/>
      <c r="L194" s="53" t="str">
        <f t="shared" si="2"/>
        <v/>
      </c>
      <c r="M194" s="54" t="str">
        <f t="shared" si="3"/>
        <v/>
      </c>
      <c r="N194" s="81" t="str">
        <f t="shared" si="5"/>
        <v/>
      </c>
      <c r="O194" s="56">
        <f t="shared" si="6"/>
        <v>0</v>
      </c>
      <c r="P194" s="56">
        <f t="shared" si="7"/>
        <v>0</v>
      </c>
      <c r="Q194" s="65">
        <f t="shared" si="4"/>
        <v>0</v>
      </c>
      <c r="R194" s="1"/>
    </row>
    <row r="195">
      <c r="A195" s="1"/>
      <c r="B195" s="1"/>
      <c r="C195" s="51"/>
      <c r="D195" s="50"/>
      <c r="E195" s="70" t="str">
        <f t="shared" si="1"/>
        <v/>
      </c>
      <c r="F195" s="1"/>
      <c r="G195" s="1"/>
      <c r="H195" s="1"/>
      <c r="I195" s="1"/>
      <c r="J195" s="1"/>
      <c r="K195" s="1"/>
      <c r="L195" s="53" t="str">
        <f t="shared" si="2"/>
        <v/>
      </c>
      <c r="M195" s="54" t="str">
        <f t="shared" si="3"/>
        <v/>
      </c>
      <c r="N195" s="81" t="str">
        <f t="shared" si="5"/>
        <v/>
      </c>
      <c r="O195" s="56">
        <f t="shared" si="6"/>
        <v>0</v>
      </c>
      <c r="P195" s="56">
        <f t="shared" si="7"/>
        <v>0</v>
      </c>
      <c r="Q195" s="65">
        <f t="shared" si="4"/>
        <v>0</v>
      </c>
      <c r="R195" s="1"/>
    </row>
    <row r="196">
      <c r="A196" s="1"/>
      <c r="B196" s="1"/>
      <c r="C196" s="51"/>
      <c r="D196" s="50"/>
      <c r="E196" s="70" t="str">
        <f t="shared" si="1"/>
        <v/>
      </c>
      <c r="F196" s="1"/>
      <c r="G196" s="1"/>
      <c r="H196" s="1"/>
      <c r="I196" s="1"/>
      <c r="J196" s="1"/>
      <c r="K196" s="1"/>
      <c r="L196" s="53" t="str">
        <f t="shared" si="2"/>
        <v/>
      </c>
      <c r="M196" s="54" t="str">
        <f t="shared" si="3"/>
        <v/>
      </c>
      <c r="N196" s="81" t="str">
        <f t="shared" si="5"/>
        <v/>
      </c>
      <c r="O196" s="56">
        <f t="shared" si="6"/>
        <v>0</v>
      </c>
      <c r="P196" s="56">
        <f t="shared" si="7"/>
        <v>0</v>
      </c>
      <c r="Q196" s="65">
        <f t="shared" si="4"/>
        <v>0</v>
      </c>
      <c r="R196" s="1"/>
    </row>
    <row r="197">
      <c r="A197" s="1"/>
      <c r="B197" s="1"/>
      <c r="C197" s="51"/>
      <c r="D197" s="50"/>
      <c r="E197" s="70" t="str">
        <f t="shared" si="1"/>
        <v/>
      </c>
      <c r="F197" s="1"/>
      <c r="G197" s="1"/>
      <c r="H197" s="1"/>
      <c r="I197" s="1"/>
      <c r="J197" s="1"/>
      <c r="K197" s="1"/>
      <c r="L197" s="53" t="str">
        <f t="shared" si="2"/>
        <v/>
      </c>
      <c r="M197" s="54" t="str">
        <f t="shared" si="3"/>
        <v/>
      </c>
      <c r="N197" s="81" t="str">
        <f t="shared" si="5"/>
        <v/>
      </c>
      <c r="O197" s="56">
        <f t="shared" si="6"/>
        <v>0</v>
      </c>
      <c r="P197" s="56">
        <f t="shared" si="7"/>
        <v>0</v>
      </c>
      <c r="Q197" s="65">
        <f t="shared" si="4"/>
        <v>0</v>
      </c>
      <c r="R197" s="1"/>
    </row>
    <row r="198">
      <c r="A198" s="1"/>
      <c r="B198" s="1"/>
      <c r="C198" s="51"/>
      <c r="D198" s="50"/>
      <c r="E198" s="70" t="str">
        <f t="shared" si="1"/>
        <v/>
      </c>
      <c r="F198" s="1"/>
      <c r="G198" s="1"/>
      <c r="H198" s="1"/>
      <c r="I198" s="1"/>
      <c r="J198" s="1"/>
      <c r="K198" s="1"/>
      <c r="L198" s="53" t="str">
        <f t="shared" si="2"/>
        <v/>
      </c>
      <c r="M198" s="54" t="str">
        <f t="shared" si="3"/>
        <v/>
      </c>
      <c r="N198" s="81" t="str">
        <f t="shared" si="5"/>
        <v/>
      </c>
      <c r="O198" s="56">
        <f t="shared" si="6"/>
        <v>0</v>
      </c>
      <c r="P198" s="56">
        <f t="shared" si="7"/>
        <v>0</v>
      </c>
      <c r="Q198" s="65">
        <f t="shared" si="4"/>
        <v>0</v>
      </c>
      <c r="R198" s="1"/>
    </row>
    <row r="199">
      <c r="A199" s="1"/>
      <c r="B199" s="1"/>
      <c r="C199" s="51"/>
      <c r="D199" s="50"/>
      <c r="E199" s="70" t="str">
        <f t="shared" si="1"/>
        <v/>
      </c>
      <c r="F199" s="1"/>
      <c r="G199" s="1"/>
      <c r="H199" s="1"/>
      <c r="I199" s="1"/>
      <c r="J199" s="1"/>
      <c r="K199" s="1"/>
      <c r="L199" s="53" t="str">
        <f t="shared" si="2"/>
        <v/>
      </c>
      <c r="M199" s="54" t="str">
        <f t="shared" si="3"/>
        <v/>
      </c>
      <c r="N199" s="81" t="str">
        <f t="shared" si="5"/>
        <v/>
      </c>
      <c r="O199" s="56">
        <f t="shared" si="6"/>
        <v>0</v>
      </c>
      <c r="P199" s="56">
        <f t="shared" si="7"/>
        <v>0</v>
      </c>
      <c r="Q199" s="65">
        <f t="shared" si="4"/>
        <v>0</v>
      </c>
      <c r="R199" s="1"/>
    </row>
    <row r="200">
      <c r="A200" s="1"/>
      <c r="B200" s="1"/>
      <c r="C200" s="51"/>
      <c r="D200" s="50"/>
      <c r="E200" s="70" t="str">
        <f t="shared" si="1"/>
        <v/>
      </c>
      <c r="F200" s="1"/>
      <c r="G200" s="1"/>
      <c r="H200" s="1"/>
      <c r="I200" s="1"/>
      <c r="J200" s="1"/>
      <c r="K200" s="1"/>
      <c r="L200" s="53" t="str">
        <f t="shared" si="2"/>
        <v/>
      </c>
      <c r="M200" s="54" t="str">
        <f t="shared" si="3"/>
        <v/>
      </c>
      <c r="N200" s="81" t="str">
        <f t="shared" si="5"/>
        <v/>
      </c>
      <c r="O200" s="56">
        <f t="shared" si="6"/>
        <v>0</v>
      </c>
      <c r="P200" s="56">
        <f t="shared" si="7"/>
        <v>0</v>
      </c>
      <c r="Q200" s="65">
        <f t="shared" si="4"/>
        <v>0</v>
      </c>
      <c r="R200" s="1"/>
    </row>
    <row r="201">
      <c r="A201" s="1"/>
      <c r="B201" s="1"/>
      <c r="C201" s="51"/>
      <c r="D201" s="50"/>
      <c r="E201" s="70" t="str">
        <f t="shared" si="1"/>
        <v/>
      </c>
      <c r="F201" s="1"/>
      <c r="G201" s="1"/>
      <c r="H201" s="1"/>
      <c r="I201" s="1"/>
      <c r="J201" s="1"/>
      <c r="K201" s="1"/>
      <c r="L201" s="53" t="str">
        <f t="shared" si="2"/>
        <v/>
      </c>
      <c r="M201" s="54" t="str">
        <f t="shared" si="3"/>
        <v/>
      </c>
      <c r="N201" s="81" t="str">
        <f t="shared" si="5"/>
        <v/>
      </c>
      <c r="O201" s="56">
        <f t="shared" si="6"/>
        <v>0</v>
      </c>
      <c r="P201" s="56">
        <f t="shared" si="7"/>
        <v>0</v>
      </c>
      <c r="Q201" s="65">
        <f t="shared" si="4"/>
        <v>0</v>
      </c>
      <c r="R201" s="1"/>
    </row>
    <row r="202">
      <c r="A202" s="1"/>
      <c r="B202" s="1"/>
      <c r="C202" s="51"/>
      <c r="D202" s="50"/>
      <c r="E202" s="70" t="str">
        <f t="shared" si="1"/>
        <v/>
      </c>
      <c r="F202" s="1"/>
      <c r="G202" s="1"/>
      <c r="H202" s="1"/>
      <c r="I202" s="1"/>
      <c r="J202" s="1"/>
      <c r="K202" s="1"/>
      <c r="L202" s="53" t="str">
        <f t="shared" si="2"/>
        <v/>
      </c>
      <c r="M202" s="54" t="str">
        <f t="shared" si="3"/>
        <v/>
      </c>
      <c r="N202" s="81" t="str">
        <f t="shared" si="5"/>
        <v/>
      </c>
      <c r="O202" s="56">
        <f t="shared" si="6"/>
        <v>0</v>
      </c>
      <c r="P202" s="56">
        <f t="shared" si="7"/>
        <v>0</v>
      </c>
      <c r="Q202" s="65">
        <f t="shared" si="4"/>
        <v>0</v>
      </c>
      <c r="R202" s="1"/>
    </row>
    <row r="203">
      <c r="A203" s="1"/>
      <c r="B203" s="1"/>
      <c r="C203" s="51"/>
      <c r="D203" s="50"/>
      <c r="E203" s="70" t="str">
        <f t="shared" si="1"/>
        <v/>
      </c>
      <c r="F203" s="1"/>
      <c r="G203" s="1"/>
      <c r="H203" s="1"/>
      <c r="I203" s="1"/>
      <c r="J203" s="1"/>
      <c r="K203" s="1"/>
      <c r="L203" s="53" t="str">
        <f t="shared" si="2"/>
        <v/>
      </c>
      <c r="M203" s="54" t="str">
        <f t="shared" si="3"/>
        <v/>
      </c>
      <c r="N203" s="81" t="str">
        <f t="shared" si="5"/>
        <v/>
      </c>
      <c r="O203" s="56">
        <f t="shared" si="6"/>
        <v>0</v>
      </c>
      <c r="P203" s="56">
        <f t="shared" si="7"/>
        <v>0</v>
      </c>
      <c r="Q203" s="65">
        <f t="shared" si="4"/>
        <v>0</v>
      </c>
      <c r="R203" s="1"/>
    </row>
    <row r="204">
      <c r="A204" s="1"/>
      <c r="B204" s="1"/>
      <c r="C204" s="51"/>
      <c r="D204" s="50"/>
      <c r="E204" s="70" t="str">
        <f t="shared" si="1"/>
        <v/>
      </c>
      <c r="F204" s="1"/>
      <c r="G204" s="1"/>
      <c r="H204" s="1"/>
      <c r="I204" s="1"/>
      <c r="J204" s="1"/>
      <c r="K204" s="1"/>
      <c r="L204" s="53" t="str">
        <f t="shared" si="2"/>
        <v/>
      </c>
      <c r="M204" s="54" t="str">
        <f t="shared" si="3"/>
        <v/>
      </c>
      <c r="N204" s="81" t="str">
        <f t="shared" si="5"/>
        <v/>
      </c>
      <c r="O204" s="56">
        <f t="shared" si="6"/>
        <v>0</v>
      </c>
      <c r="P204" s="56">
        <f t="shared" si="7"/>
        <v>0</v>
      </c>
      <c r="Q204" s="65">
        <f t="shared" si="4"/>
        <v>0</v>
      </c>
      <c r="R204" s="1"/>
    </row>
    <row r="205">
      <c r="A205" s="1"/>
      <c r="B205" s="1"/>
      <c r="C205" s="51"/>
      <c r="D205" s="50"/>
      <c r="E205" s="70" t="str">
        <f t="shared" si="1"/>
        <v/>
      </c>
      <c r="F205" s="1"/>
      <c r="G205" s="1"/>
      <c r="H205" s="1"/>
      <c r="I205" s="1"/>
      <c r="J205" s="1"/>
      <c r="K205" s="1"/>
      <c r="L205" s="53" t="str">
        <f t="shared" si="2"/>
        <v/>
      </c>
      <c r="M205" s="54" t="str">
        <f t="shared" si="3"/>
        <v/>
      </c>
      <c r="N205" s="81" t="str">
        <f t="shared" si="5"/>
        <v/>
      </c>
      <c r="O205" s="56">
        <f t="shared" si="6"/>
        <v>0</v>
      </c>
      <c r="P205" s="56">
        <f t="shared" si="7"/>
        <v>0</v>
      </c>
      <c r="Q205" s="65">
        <f t="shared" si="4"/>
        <v>0</v>
      </c>
      <c r="R205" s="1"/>
    </row>
    <row r="206">
      <c r="A206" s="1"/>
      <c r="B206" s="1"/>
      <c r="C206" s="51"/>
      <c r="D206" s="50"/>
      <c r="E206" s="70" t="str">
        <f t="shared" si="1"/>
        <v/>
      </c>
      <c r="F206" s="1"/>
      <c r="G206" s="1"/>
      <c r="H206" s="1"/>
      <c r="I206" s="1"/>
      <c r="J206" s="1"/>
      <c r="K206" s="1"/>
      <c r="L206" s="53" t="str">
        <f t="shared" si="2"/>
        <v/>
      </c>
      <c r="M206" s="54" t="str">
        <f t="shared" si="3"/>
        <v/>
      </c>
      <c r="N206" s="81" t="str">
        <f t="shared" si="5"/>
        <v/>
      </c>
      <c r="O206" s="56">
        <f t="shared" si="6"/>
        <v>0</v>
      </c>
      <c r="P206" s="56">
        <f t="shared" si="7"/>
        <v>0</v>
      </c>
      <c r="Q206" s="65">
        <f t="shared" si="4"/>
        <v>0</v>
      </c>
      <c r="R206" s="1"/>
    </row>
    <row r="207">
      <c r="A207" s="1"/>
      <c r="B207" s="1"/>
      <c r="C207" s="51"/>
      <c r="D207" s="50"/>
      <c r="E207" s="70" t="str">
        <f t="shared" si="1"/>
        <v/>
      </c>
      <c r="F207" s="1"/>
      <c r="G207" s="1"/>
      <c r="H207" s="1"/>
      <c r="I207" s="1"/>
      <c r="J207" s="1"/>
      <c r="K207" s="1"/>
      <c r="L207" s="53" t="str">
        <f t="shared" si="2"/>
        <v/>
      </c>
      <c r="M207" s="54" t="str">
        <f t="shared" si="3"/>
        <v/>
      </c>
      <c r="N207" s="81" t="str">
        <f t="shared" si="5"/>
        <v/>
      </c>
      <c r="O207" s="56">
        <f t="shared" si="6"/>
        <v>0</v>
      </c>
      <c r="P207" s="56">
        <f t="shared" si="7"/>
        <v>0</v>
      </c>
      <c r="Q207" s="65">
        <f t="shared" si="4"/>
        <v>0</v>
      </c>
      <c r="R207" s="1"/>
    </row>
    <row r="208">
      <c r="A208" s="1"/>
      <c r="B208" s="1"/>
      <c r="C208" s="51"/>
      <c r="D208" s="50"/>
      <c r="E208" s="70" t="str">
        <f t="shared" si="1"/>
        <v/>
      </c>
      <c r="F208" s="1"/>
      <c r="G208" s="1"/>
      <c r="H208" s="1"/>
      <c r="I208" s="1"/>
      <c r="J208" s="1"/>
      <c r="K208" s="1"/>
      <c r="L208" s="53" t="str">
        <f t="shared" si="2"/>
        <v/>
      </c>
      <c r="M208" s="54" t="str">
        <f t="shared" si="3"/>
        <v/>
      </c>
      <c r="N208" s="81" t="str">
        <f t="shared" si="5"/>
        <v/>
      </c>
      <c r="O208" s="56">
        <f t="shared" si="6"/>
        <v>0</v>
      </c>
      <c r="P208" s="56">
        <f t="shared" si="7"/>
        <v>0</v>
      </c>
      <c r="Q208" s="65">
        <f t="shared" si="4"/>
        <v>0</v>
      </c>
      <c r="R208" s="1"/>
    </row>
    <row r="209">
      <c r="A209" s="1"/>
      <c r="B209" s="1"/>
      <c r="C209" s="51"/>
      <c r="D209" s="50"/>
      <c r="E209" s="70" t="str">
        <f t="shared" si="1"/>
        <v/>
      </c>
      <c r="F209" s="1"/>
      <c r="G209" s="1"/>
      <c r="H209" s="1"/>
      <c r="I209" s="1"/>
      <c r="J209" s="1"/>
      <c r="K209" s="1"/>
      <c r="L209" s="53" t="str">
        <f t="shared" si="2"/>
        <v/>
      </c>
      <c r="M209" s="54" t="str">
        <f t="shared" si="3"/>
        <v/>
      </c>
      <c r="N209" s="81" t="str">
        <f t="shared" si="5"/>
        <v/>
      </c>
      <c r="O209" s="56">
        <f t="shared" si="6"/>
        <v>0</v>
      </c>
      <c r="P209" s="56">
        <f t="shared" si="7"/>
        <v>0</v>
      </c>
      <c r="Q209" s="65">
        <f t="shared" si="4"/>
        <v>0</v>
      </c>
      <c r="R209" s="1"/>
    </row>
    <row r="210">
      <c r="A210" s="1"/>
      <c r="B210" s="1"/>
      <c r="C210" s="51"/>
      <c r="D210" s="50"/>
      <c r="E210" s="70" t="str">
        <f t="shared" si="1"/>
        <v/>
      </c>
      <c r="F210" s="1"/>
      <c r="G210" s="1"/>
      <c r="H210" s="1"/>
      <c r="I210" s="1"/>
      <c r="J210" s="1"/>
      <c r="K210" s="1"/>
      <c r="L210" s="53" t="str">
        <f t="shared" si="2"/>
        <v/>
      </c>
      <c r="M210" s="54" t="str">
        <f t="shared" si="3"/>
        <v/>
      </c>
      <c r="N210" s="81" t="str">
        <f t="shared" si="5"/>
        <v/>
      </c>
      <c r="O210" s="56">
        <f t="shared" si="6"/>
        <v>0</v>
      </c>
      <c r="P210" s="56">
        <f t="shared" si="7"/>
        <v>0</v>
      </c>
      <c r="Q210" s="65">
        <f t="shared" si="4"/>
        <v>0</v>
      </c>
      <c r="R210" s="1"/>
    </row>
    <row r="211">
      <c r="A211" s="1"/>
      <c r="B211" s="1"/>
      <c r="C211" s="51"/>
      <c r="D211" s="50"/>
      <c r="E211" s="70" t="str">
        <f t="shared" si="1"/>
        <v/>
      </c>
      <c r="F211" s="1"/>
      <c r="G211" s="1"/>
      <c r="H211" s="1"/>
      <c r="I211" s="1"/>
      <c r="J211" s="1"/>
      <c r="K211" s="1"/>
      <c r="L211" s="53" t="str">
        <f t="shared" si="2"/>
        <v/>
      </c>
      <c r="M211" s="54" t="str">
        <f t="shared" si="3"/>
        <v/>
      </c>
      <c r="N211" s="81" t="str">
        <f t="shared" si="5"/>
        <v/>
      </c>
      <c r="O211" s="56">
        <f t="shared" si="6"/>
        <v>0</v>
      </c>
      <c r="P211" s="56">
        <f t="shared" si="7"/>
        <v>0</v>
      </c>
      <c r="Q211" s="65">
        <f t="shared" si="4"/>
        <v>0</v>
      </c>
      <c r="R211" s="1"/>
    </row>
    <row r="212">
      <c r="A212" s="1"/>
      <c r="B212" s="1"/>
      <c r="C212" s="51"/>
      <c r="D212" s="50"/>
      <c r="E212" s="70" t="str">
        <f t="shared" si="1"/>
        <v/>
      </c>
      <c r="F212" s="1"/>
      <c r="G212" s="1"/>
      <c r="H212" s="1"/>
      <c r="I212" s="1"/>
      <c r="J212" s="1"/>
      <c r="K212" s="1"/>
      <c r="L212" s="53" t="str">
        <f t="shared" si="2"/>
        <v/>
      </c>
      <c r="M212" s="54" t="str">
        <f t="shared" si="3"/>
        <v/>
      </c>
      <c r="N212" s="81" t="str">
        <f t="shared" si="5"/>
        <v/>
      </c>
      <c r="O212" s="56">
        <f t="shared" si="6"/>
        <v>0</v>
      </c>
      <c r="P212" s="56">
        <f t="shared" si="7"/>
        <v>0</v>
      </c>
      <c r="Q212" s="65">
        <f t="shared" si="4"/>
        <v>0</v>
      </c>
      <c r="R212" s="1"/>
    </row>
    <row r="213">
      <c r="A213" s="1"/>
      <c r="B213" s="1"/>
      <c r="C213" s="51"/>
      <c r="D213" s="50"/>
      <c r="E213" s="70" t="str">
        <f t="shared" si="1"/>
        <v/>
      </c>
      <c r="F213" s="1"/>
      <c r="G213" s="1"/>
      <c r="H213" s="1"/>
      <c r="I213" s="1"/>
      <c r="J213" s="1"/>
      <c r="K213" s="1"/>
      <c r="L213" s="53" t="str">
        <f t="shared" si="2"/>
        <v/>
      </c>
      <c r="M213" s="54" t="str">
        <f t="shared" si="3"/>
        <v/>
      </c>
      <c r="N213" s="81" t="str">
        <f t="shared" si="5"/>
        <v/>
      </c>
      <c r="O213" s="56">
        <f t="shared" si="6"/>
        <v>0</v>
      </c>
      <c r="P213" s="56">
        <f t="shared" si="7"/>
        <v>0</v>
      </c>
      <c r="Q213" s="65">
        <f t="shared" si="4"/>
        <v>0</v>
      </c>
      <c r="R213" s="1"/>
    </row>
    <row r="214">
      <c r="A214" s="1"/>
      <c r="B214" s="1"/>
      <c r="C214" s="51"/>
      <c r="D214" s="50"/>
      <c r="E214" s="70" t="str">
        <f t="shared" si="1"/>
        <v/>
      </c>
      <c r="F214" s="1"/>
      <c r="G214" s="1"/>
      <c r="H214" s="1"/>
      <c r="I214" s="1"/>
      <c r="J214" s="1"/>
      <c r="K214" s="1"/>
      <c r="L214" s="53" t="str">
        <f t="shared" si="2"/>
        <v/>
      </c>
      <c r="M214" s="54" t="str">
        <f t="shared" si="3"/>
        <v/>
      </c>
      <c r="N214" s="81" t="str">
        <f t="shared" si="5"/>
        <v/>
      </c>
      <c r="O214" s="56">
        <f t="shared" si="6"/>
        <v>0</v>
      </c>
      <c r="P214" s="56">
        <f t="shared" si="7"/>
        <v>0</v>
      </c>
      <c r="Q214" s="65">
        <f t="shared" si="4"/>
        <v>0</v>
      </c>
      <c r="R214" s="1"/>
    </row>
    <row r="215">
      <c r="A215" s="1"/>
      <c r="B215" s="1"/>
      <c r="C215" s="51"/>
      <c r="D215" s="50"/>
      <c r="E215" s="70" t="str">
        <f t="shared" si="1"/>
        <v/>
      </c>
      <c r="F215" s="1"/>
      <c r="G215" s="1"/>
      <c r="H215" s="1"/>
      <c r="I215" s="1"/>
      <c r="J215" s="1"/>
      <c r="K215" s="1"/>
      <c r="L215" s="53" t="str">
        <f t="shared" si="2"/>
        <v/>
      </c>
      <c r="M215" s="54" t="str">
        <f t="shared" si="3"/>
        <v/>
      </c>
      <c r="N215" s="81" t="str">
        <f t="shared" si="5"/>
        <v/>
      </c>
      <c r="O215" s="56">
        <f t="shared" si="6"/>
        <v>0</v>
      </c>
      <c r="P215" s="56">
        <f t="shared" si="7"/>
        <v>0</v>
      </c>
      <c r="Q215" s="65">
        <f t="shared" si="4"/>
        <v>0</v>
      </c>
      <c r="R215" s="1"/>
    </row>
    <row r="216">
      <c r="A216" s="1"/>
      <c r="B216" s="1"/>
      <c r="C216" s="51"/>
      <c r="D216" s="50"/>
      <c r="E216" s="70" t="str">
        <f t="shared" si="1"/>
        <v/>
      </c>
      <c r="F216" s="1"/>
      <c r="G216" s="1"/>
      <c r="H216" s="1"/>
      <c r="I216" s="1"/>
      <c r="J216" s="1"/>
      <c r="K216" s="1"/>
      <c r="L216" s="53" t="str">
        <f t="shared" si="2"/>
        <v/>
      </c>
      <c r="M216" s="54" t="str">
        <f t="shared" si="3"/>
        <v/>
      </c>
      <c r="N216" s="81" t="str">
        <f t="shared" si="5"/>
        <v/>
      </c>
      <c r="O216" s="56">
        <f t="shared" si="6"/>
        <v>0</v>
      </c>
      <c r="P216" s="56">
        <f t="shared" si="7"/>
        <v>0</v>
      </c>
      <c r="Q216" s="65">
        <f t="shared" si="4"/>
        <v>0</v>
      </c>
      <c r="R216" s="1"/>
    </row>
    <row r="217">
      <c r="A217" s="1"/>
      <c r="B217" s="1"/>
      <c r="C217" s="51"/>
      <c r="D217" s="50"/>
      <c r="E217" s="70" t="str">
        <f t="shared" si="1"/>
        <v/>
      </c>
      <c r="F217" s="1"/>
      <c r="G217" s="1"/>
      <c r="H217" s="1"/>
      <c r="I217" s="1"/>
      <c r="J217" s="1"/>
      <c r="K217" s="1"/>
      <c r="L217" s="53" t="str">
        <f t="shared" si="2"/>
        <v/>
      </c>
      <c r="M217" s="54" t="str">
        <f t="shared" si="3"/>
        <v/>
      </c>
      <c r="N217" s="81" t="str">
        <f t="shared" si="5"/>
        <v/>
      </c>
      <c r="O217" s="56">
        <f t="shared" si="6"/>
        <v>0</v>
      </c>
      <c r="P217" s="56">
        <f t="shared" si="7"/>
        <v>0</v>
      </c>
      <c r="Q217" s="65">
        <f t="shared" si="4"/>
        <v>0</v>
      </c>
      <c r="R217" s="1"/>
    </row>
    <row r="218">
      <c r="A218" s="1"/>
      <c r="B218" s="1"/>
      <c r="C218" s="51"/>
      <c r="D218" s="50"/>
      <c r="E218" s="70" t="str">
        <f t="shared" si="1"/>
        <v/>
      </c>
      <c r="F218" s="1"/>
      <c r="G218" s="1"/>
      <c r="H218" s="1"/>
      <c r="I218" s="1"/>
      <c r="J218" s="1"/>
      <c r="K218" s="1"/>
      <c r="L218" s="53" t="str">
        <f t="shared" si="2"/>
        <v/>
      </c>
      <c r="M218" s="54" t="str">
        <f t="shared" si="3"/>
        <v/>
      </c>
      <c r="N218" s="81" t="str">
        <f t="shared" si="5"/>
        <v/>
      </c>
      <c r="O218" s="56">
        <f t="shared" si="6"/>
        <v>0</v>
      </c>
      <c r="P218" s="56">
        <f t="shared" si="7"/>
        <v>0</v>
      </c>
      <c r="Q218" s="65">
        <f t="shared" si="4"/>
        <v>0</v>
      </c>
      <c r="R218" s="1"/>
    </row>
    <row r="219">
      <c r="A219" s="1"/>
      <c r="B219" s="1"/>
      <c r="C219" s="51"/>
      <c r="D219" s="50"/>
      <c r="E219" s="70" t="str">
        <f t="shared" si="1"/>
        <v/>
      </c>
      <c r="F219" s="1"/>
      <c r="G219" s="1"/>
      <c r="H219" s="1"/>
      <c r="I219" s="1"/>
      <c r="J219" s="1"/>
      <c r="K219" s="1"/>
      <c r="L219" s="53" t="str">
        <f t="shared" si="2"/>
        <v/>
      </c>
      <c r="M219" s="54" t="str">
        <f t="shared" si="3"/>
        <v/>
      </c>
      <c r="N219" s="81" t="str">
        <f t="shared" si="5"/>
        <v/>
      </c>
      <c r="O219" s="56">
        <f t="shared" si="6"/>
        <v>0</v>
      </c>
      <c r="P219" s="56">
        <f t="shared" si="7"/>
        <v>0</v>
      </c>
      <c r="Q219" s="65">
        <f t="shared" si="4"/>
        <v>0</v>
      </c>
      <c r="R219" s="1"/>
    </row>
    <row r="220">
      <c r="A220" s="1"/>
      <c r="B220" s="1"/>
      <c r="C220" s="51"/>
      <c r="D220" s="50"/>
      <c r="E220" s="70" t="str">
        <f t="shared" si="1"/>
        <v/>
      </c>
      <c r="F220" s="1"/>
      <c r="G220" s="1"/>
      <c r="H220" s="1"/>
      <c r="I220" s="1"/>
      <c r="J220" s="1"/>
      <c r="K220" s="1"/>
      <c r="L220" s="53" t="str">
        <f t="shared" si="2"/>
        <v/>
      </c>
      <c r="M220" s="54" t="str">
        <f t="shared" si="3"/>
        <v/>
      </c>
      <c r="N220" s="81" t="str">
        <f t="shared" si="5"/>
        <v/>
      </c>
      <c r="O220" s="56">
        <f t="shared" si="6"/>
        <v>0</v>
      </c>
      <c r="P220" s="56">
        <f t="shared" si="7"/>
        <v>0</v>
      </c>
      <c r="Q220" s="65">
        <f t="shared" si="4"/>
        <v>0</v>
      </c>
      <c r="R220" s="1"/>
    </row>
    <row r="221">
      <c r="A221" s="1"/>
      <c r="B221" s="1"/>
      <c r="C221" s="51"/>
      <c r="D221" s="50"/>
      <c r="E221" s="70" t="str">
        <f t="shared" si="1"/>
        <v/>
      </c>
      <c r="F221" s="1"/>
      <c r="G221" s="1"/>
      <c r="H221" s="1"/>
      <c r="I221" s="1"/>
      <c r="J221" s="1"/>
      <c r="K221" s="1"/>
      <c r="L221" s="53" t="str">
        <f t="shared" si="2"/>
        <v/>
      </c>
      <c r="M221" s="54" t="str">
        <f t="shared" si="3"/>
        <v/>
      </c>
      <c r="N221" s="81" t="str">
        <f t="shared" si="5"/>
        <v/>
      </c>
      <c r="O221" s="56">
        <f t="shared" si="6"/>
        <v>0</v>
      </c>
      <c r="P221" s="56">
        <f t="shared" si="7"/>
        <v>0</v>
      </c>
      <c r="Q221" s="65">
        <f t="shared" si="4"/>
        <v>0</v>
      </c>
      <c r="R221" s="1"/>
    </row>
    <row r="222">
      <c r="A222" s="1"/>
      <c r="B222" s="1"/>
      <c r="C222" s="51"/>
      <c r="D222" s="50"/>
      <c r="E222" s="70" t="str">
        <f t="shared" si="1"/>
        <v/>
      </c>
      <c r="F222" s="1"/>
      <c r="G222" s="1"/>
      <c r="H222" s="1"/>
      <c r="I222" s="1"/>
      <c r="J222" s="1"/>
      <c r="K222" s="1"/>
      <c r="L222" s="53" t="str">
        <f t="shared" si="2"/>
        <v/>
      </c>
      <c r="M222" s="54" t="str">
        <f t="shared" si="3"/>
        <v/>
      </c>
      <c r="N222" s="81" t="str">
        <f t="shared" si="5"/>
        <v/>
      </c>
      <c r="O222" s="56">
        <f t="shared" si="6"/>
        <v>0</v>
      </c>
      <c r="P222" s="56">
        <f t="shared" si="7"/>
        <v>0</v>
      </c>
      <c r="Q222" s="65">
        <f t="shared" si="4"/>
        <v>0</v>
      </c>
      <c r="R222" s="1"/>
    </row>
    <row r="223">
      <c r="A223" s="1"/>
      <c r="B223" s="1"/>
      <c r="C223" s="51"/>
      <c r="D223" s="50"/>
      <c r="E223" s="70" t="str">
        <f t="shared" si="1"/>
        <v/>
      </c>
      <c r="F223" s="1"/>
      <c r="G223" s="1"/>
      <c r="H223" s="1"/>
      <c r="I223" s="1"/>
      <c r="J223" s="1"/>
      <c r="K223" s="1"/>
      <c r="L223" s="53" t="str">
        <f t="shared" si="2"/>
        <v/>
      </c>
      <c r="M223" s="54" t="str">
        <f t="shared" si="3"/>
        <v/>
      </c>
      <c r="N223" s="81" t="str">
        <f t="shared" si="5"/>
        <v/>
      </c>
      <c r="O223" s="56">
        <f t="shared" si="6"/>
        <v>0</v>
      </c>
      <c r="P223" s="56">
        <f t="shared" si="7"/>
        <v>0</v>
      </c>
      <c r="Q223" s="65">
        <f t="shared" si="4"/>
        <v>0</v>
      </c>
      <c r="R223" s="1"/>
    </row>
    <row r="224">
      <c r="A224" s="1"/>
      <c r="B224" s="1"/>
      <c r="C224" s="51"/>
      <c r="D224" s="50"/>
      <c r="E224" s="70" t="str">
        <f t="shared" si="1"/>
        <v/>
      </c>
      <c r="F224" s="1"/>
      <c r="G224" s="1"/>
      <c r="H224" s="1"/>
      <c r="I224" s="1"/>
      <c r="J224" s="1"/>
      <c r="K224" s="1"/>
      <c r="L224" s="53" t="str">
        <f t="shared" si="2"/>
        <v/>
      </c>
      <c r="M224" s="54" t="str">
        <f t="shared" si="3"/>
        <v/>
      </c>
      <c r="N224" s="81" t="str">
        <f t="shared" si="5"/>
        <v/>
      </c>
      <c r="O224" s="56">
        <f t="shared" si="6"/>
        <v>0</v>
      </c>
      <c r="P224" s="56">
        <f t="shared" si="7"/>
        <v>0</v>
      </c>
      <c r="Q224" s="65">
        <f t="shared" si="4"/>
        <v>0</v>
      </c>
      <c r="R224" s="1"/>
    </row>
    <row r="225">
      <c r="A225" s="1"/>
      <c r="B225" s="1"/>
      <c r="C225" s="51"/>
      <c r="D225" s="50"/>
      <c r="E225" s="70" t="str">
        <f t="shared" si="1"/>
        <v/>
      </c>
      <c r="F225" s="1"/>
      <c r="G225" s="1"/>
      <c r="H225" s="1"/>
      <c r="I225" s="1"/>
      <c r="J225" s="1"/>
      <c r="K225" s="1"/>
      <c r="L225" s="53" t="str">
        <f t="shared" si="2"/>
        <v/>
      </c>
      <c r="M225" s="54" t="str">
        <f t="shared" si="3"/>
        <v/>
      </c>
      <c r="N225" s="81" t="str">
        <f t="shared" si="5"/>
        <v/>
      </c>
      <c r="O225" s="56">
        <f t="shared" si="6"/>
        <v>0</v>
      </c>
      <c r="P225" s="56">
        <f t="shared" si="7"/>
        <v>0</v>
      </c>
      <c r="Q225" s="65">
        <f t="shared" si="4"/>
        <v>0</v>
      </c>
      <c r="R225" s="1"/>
    </row>
    <row r="226">
      <c r="A226" s="1"/>
      <c r="B226" s="1"/>
      <c r="C226" s="51"/>
      <c r="D226" s="50"/>
      <c r="E226" s="70" t="str">
        <f t="shared" si="1"/>
        <v/>
      </c>
      <c r="F226" s="1"/>
      <c r="G226" s="1"/>
      <c r="H226" s="1"/>
      <c r="I226" s="1"/>
      <c r="J226" s="1"/>
      <c r="K226" s="1"/>
      <c r="L226" s="53" t="str">
        <f t="shared" si="2"/>
        <v/>
      </c>
      <c r="M226" s="54" t="str">
        <f t="shared" si="3"/>
        <v/>
      </c>
      <c r="N226" s="81" t="str">
        <f t="shared" si="5"/>
        <v/>
      </c>
      <c r="O226" s="56">
        <f t="shared" si="6"/>
        <v>0</v>
      </c>
      <c r="P226" s="56">
        <f t="shared" si="7"/>
        <v>0</v>
      </c>
      <c r="Q226" s="65">
        <f t="shared" si="4"/>
        <v>0</v>
      </c>
      <c r="R226" s="1"/>
    </row>
    <row r="227">
      <c r="A227" s="1"/>
      <c r="B227" s="1"/>
      <c r="C227" s="51"/>
      <c r="D227" s="50"/>
      <c r="E227" s="70" t="str">
        <f t="shared" si="1"/>
        <v/>
      </c>
      <c r="F227" s="1"/>
      <c r="G227" s="1"/>
      <c r="H227" s="1"/>
      <c r="I227" s="1"/>
      <c r="J227" s="1"/>
      <c r="K227" s="1"/>
      <c r="L227" s="53" t="str">
        <f t="shared" si="2"/>
        <v/>
      </c>
      <c r="M227" s="54" t="str">
        <f t="shared" si="3"/>
        <v/>
      </c>
      <c r="N227" s="81" t="str">
        <f t="shared" si="5"/>
        <v/>
      </c>
      <c r="O227" s="56">
        <f t="shared" si="6"/>
        <v>0</v>
      </c>
      <c r="P227" s="56">
        <f t="shared" si="7"/>
        <v>0</v>
      </c>
      <c r="Q227" s="65">
        <f t="shared" si="4"/>
        <v>0</v>
      </c>
      <c r="R227" s="1"/>
    </row>
    <row r="228">
      <c r="A228" s="1"/>
      <c r="B228" s="1"/>
      <c r="C228" s="51"/>
      <c r="D228" s="50"/>
      <c r="E228" s="70" t="str">
        <f t="shared" si="1"/>
        <v/>
      </c>
      <c r="F228" s="1"/>
      <c r="G228" s="1"/>
      <c r="H228" s="1"/>
      <c r="I228" s="1"/>
      <c r="J228" s="1"/>
      <c r="K228" s="1"/>
      <c r="L228" s="53" t="str">
        <f t="shared" si="2"/>
        <v/>
      </c>
      <c r="M228" s="54" t="str">
        <f t="shared" si="3"/>
        <v/>
      </c>
      <c r="N228" s="81" t="str">
        <f t="shared" si="5"/>
        <v/>
      </c>
      <c r="O228" s="56">
        <f t="shared" si="6"/>
        <v>0</v>
      </c>
      <c r="P228" s="56">
        <f t="shared" si="7"/>
        <v>0</v>
      </c>
      <c r="Q228" s="65">
        <f t="shared" si="4"/>
        <v>0</v>
      </c>
      <c r="R228" s="1"/>
    </row>
    <row r="229">
      <c r="A229" s="1"/>
      <c r="B229" s="1"/>
      <c r="C229" s="51"/>
      <c r="D229" s="50"/>
      <c r="E229" s="70" t="str">
        <f t="shared" si="1"/>
        <v/>
      </c>
      <c r="F229" s="1"/>
      <c r="G229" s="1"/>
      <c r="H229" s="1"/>
      <c r="I229" s="1"/>
      <c r="J229" s="1"/>
      <c r="K229" s="1"/>
      <c r="L229" s="53" t="str">
        <f t="shared" si="2"/>
        <v/>
      </c>
      <c r="M229" s="54" t="str">
        <f t="shared" si="3"/>
        <v/>
      </c>
      <c r="N229" s="81" t="str">
        <f t="shared" si="5"/>
        <v/>
      </c>
      <c r="O229" s="56">
        <f t="shared" si="6"/>
        <v>0</v>
      </c>
      <c r="P229" s="56">
        <f t="shared" si="7"/>
        <v>0</v>
      </c>
      <c r="Q229" s="65">
        <f t="shared" si="4"/>
        <v>0</v>
      </c>
      <c r="R229" s="1"/>
    </row>
    <row r="230">
      <c r="A230" s="1"/>
      <c r="B230" s="1"/>
      <c r="C230" s="51"/>
      <c r="D230" s="50"/>
      <c r="E230" s="70" t="str">
        <f t="shared" si="1"/>
        <v/>
      </c>
      <c r="F230" s="1"/>
      <c r="G230" s="1"/>
      <c r="H230" s="1"/>
      <c r="I230" s="1"/>
      <c r="J230" s="1"/>
      <c r="K230" s="1"/>
      <c r="L230" s="53" t="str">
        <f t="shared" si="2"/>
        <v/>
      </c>
      <c r="M230" s="54" t="str">
        <f t="shared" si="3"/>
        <v/>
      </c>
      <c r="N230" s="81" t="str">
        <f t="shared" si="5"/>
        <v/>
      </c>
      <c r="O230" s="56">
        <f t="shared" si="6"/>
        <v>0</v>
      </c>
      <c r="P230" s="56">
        <f t="shared" si="7"/>
        <v>0</v>
      </c>
      <c r="Q230" s="65">
        <f t="shared" si="4"/>
        <v>0</v>
      </c>
      <c r="R230" s="1"/>
    </row>
    <row r="231">
      <c r="A231" s="1"/>
      <c r="B231" s="1"/>
      <c r="C231" s="51"/>
      <c r="D231" s="50"/>
      <c r="E231" s="70" t="str">
        <f t="shared" si="1"/>
        <v/>
      </c>
      <c r="F231" s="1"/>
      <c r="G231" s="1"/>
      <c r="H231" s="1"/>
      <c r="I231" s="1"/>
      <c r="J231" s="1"/>
      <c r="K231" s="1"/>
      <c r="L231" s="53" t="str">
        <f t="shared" si="2"/>
        <v/>
      </c>
      <c r="M231" s="54" t="str">
        <f t="shared" si="3"/>
        <v/>
      </c>
      <c r="N231" s="81" t="str">
        <f t="shared" si="5"/>
        <v/>
      </c>
      <c r="O231" s="56">
        <f t="shared" si="6"/>
        <v>0</v>
      </c>
      <c r="P231" s="56">
        <f t="shared" si="7"/>
        <v>0</v>
      </c>
      <c r="Q231" s="65">
        <f t="shared" si="4"/>
        <v>0</v>
      </c>
      <c r="R231" s="1"/>
    </row>
    <row r="232">
      <c r="A232" s="1"/>
      <c r="B232" s="1"/>
      <c r="C232" s="51"/>
      <c r="D232" s="50"/>
      <c r="E232" s="70" t="str">
        <f t="shared" si="1"/>
        <v/>
      </c>
      <c r="F232" s="1"/>
      <c r="G232" s="1"/>
      <c r="H232" s="1"/>
      <c r="I232" s="1"/>
      <c r="J232" s="1"/>
      <c r="K232" s="1"/>
      <c r="L232" s="53" t="str">
        <f t="shared" si="2"/>
        <v/>
      </c>
      <c r="M232" s="54" t="str">
        <f t="shared" si="3"/>
        <v/>
      </c>
      <c r="N232" s="81" t="str">
        <f t="shared" si="5"/>
        <v/>
      </c>
      <c r="O232" s="56">
        <f t="shared" si="6"/>
        <v>0</v>
      </c>
      <c r="P232" s="56">
        <f t="shared" si="7"/>
        <v>0</v>
      </c>
      <c r="Q232" s="65">
        <f t="shared" si="4"/>
        <v>0</v>
      </c>
      <c r="R232" s="1"/>
    </row>
    <row r="233">
      <c r="A233" s="1"/>
      <c r="B233" s="1"/>
      <c r="C233" s="51"/>
      <c r="D233" s="50"/>
      <c r="E233" s="70" t="str">
        <f t="shared" si="1"/>
        <v/>
      </c>
      <c r="F233" s="1"/>
      <c r="G233" s="1"/>
      <c r="H233" s="1"/>
      <c r="I233" s="1"/>
      <c r="J233" s="1"/>
      <c r="K233" s="1"/>
      <c r="L233" s="53" t="str">
        <f t="shared" si="2"/>
        <v/>
      </c>
      <c r="M233" s="54" t="str">
        <f t="shared" si="3"/>
        <v/>
      </c>
      <c r="N233" s="81" t="str">
        <f t="shared" si="5"/>
        <v/>
      </c>
      <c r="O233" s="56">
        <f t="shared" si="6"/>
        <v>0</v>
      </c>
      <c r="P233" s="56">
        <f t="shared" si="7"/>
        <v>0</v>
      </c>
      <c r="Q233" s="65">
        <f t="shared" si="4"/>
        <v>0</v>
      </c>
      <c r="R233" s="1"/>
    </row>
    <row r="234">
      <c r="A234" s="1"/>
      <c r="B234" s="1"/>
      <c r="C234" s="51"/>
      <c r="D234" s="50"/>
      <c r="E234" s="70" t="str">
        <f t="shared" si="1"/>
        <v/>
      </c>
      <c r="F234" s="1"/>
      <c r="G234" s="1"/>
      <c r="H234" s="1"/>
      <c r="I234" s="1"/>
      <c r="J234" s="1"/>
      <c r="K234" s="1"/>
      <c r="L234" s="53" t="str">
        <f t="shared" si="2"/>
        <v/>
      </c>
      <c r="M234" s="54" t="str">
        <f t="shared" si="3"/>
        <v/>
      </c>
      <c r="N234" s="81" t="str">
        <f t="shared" si="5"/>
        <v/>
      </c>
      <c r="O234" s="56">
        <f t="shared" si="6"/>
        <v>0</v>
      </c>
      <c r="P234" s="56">
        <f t="shared" si="7"/>
        <v>0</v>
      </c>
      <c r="Q234" s="65">
        <f t="shared" si="4"/>
        <v>0</v>
      </c>
      <c r="R234" s="1"/>
    </row>
    <row r="235">
      <c r="A235" s="1"/>
      <c r="B235" s="1"/>
      <c r="C235" s="51"/>
      <c r="D235" s="50"/>
      <c r="E235" s="70" t="str">
        <f t="shared" si="1"/>
        <v/>
      </c>
      <c r="F235" s="1"/>
      <c r="G235" s="1"/>
      <c r="H235" s="1"/>
      <c r="I235" s="1"/>
      <c r="J235" s="1"/>
      <c r="K235" s="1"/>
      <c r="L235" s="53" t="str">
        <f t="shared" si="2"/>
        <v/>
      </c>
      <c r="M235" s="54" t="str">
        <f t="shared" si="3"/>
        <v/>
      </c>
      <c r="N235" s="81" t="str">
        <f t="shared" si="5"/>
        <v/>
      </c>
      <c r="O235" s="56">
        <f t="shared" si="6"/>
        <v>0</v>
      </c>
      <c r="P235" s="56">
        <f t="shared" si="7"/>
        <v>0</v>
      </c>
      <c r="Q235" s="65">
        <f t="shared" si="4"/>
        <v>0</v>
      </c>
      <c r="R235" s="1"/>
    </row>
    <row r="236">
      <c r="A236" s="1"/>
      <c r="B236" s="1"/>
      <c r="C236" s="51"/>
      <c r="D236" s="50"/>
      <c r="E236" s="70" t="str">
        <f t="shared" si="1"/>
        <v/>
      </c>
      <c r="F236" s="1"/>
      <c r="G236" s="1"/>
      <c r="H236" s="1"/>
      <c r="I236" s="1"/>
      <c r="J236" s="1"/>
      <c r="K236" s="1"/>
      <c r="L236" s="53" t="str">
        <f t="shared" si="2"/>
        <v/>
      </c>
      <c r="M236" s="54" t="str">
        <f t="shared" si="3"/>
        <v/>
      </c>
      <c r="N236" s="81" t="str">
        <f t="shared" si="5"/>
        <v/>
      </c>
      <c r="O236" s="56">
        <f t="shared" si="6"/>
        <v>0</v>
      </c>
      <c r="P236" s="56">
        <f t="shared" si="7"/>
        <v>0</v>
      </c>
      <c r="Q236" s="65">
        <f t="shared" si="4"/>
        <v>0</v>
      </c>
      <c r="R236" s="1"/>
    </row>
    <row r="237">
      <c r="A237" s="1"/>
      <c r="B237" s="1"/>
      <c r="C237" s="51"/>
      <c r="D237" s="50"/>
      <c r="E237" s="70" t="str">
        <f t="shared" si="1"/>
        <v/>
      </c>
      <c r="F237" s="1"/>
      <c r="G237" s="1"/>
      <c r="H237" s="1"/>
      <c r="I237" s="1"/>
      <c r="J237" s="1"/>
      <c r="K237" s="1"/>
      <c r="L237" s="53" t="str">
        <f t="shared" si="2"/>
        <v/>
      </c>
      <c r="M237" s="54" t="str">
        <f t="shared" si="3"/>
        <v/>
      </c>
      <c r="N237" s="81" t="str">
        <f t="shared" si="5"/>
        <v/>
      </c>
      <c r="O237" s="56">
        <f t="shared" si="6"/>
        <v>0</v>
      </c>
      <c r="P237" s="56">
        <f t="shared" si="7"/>
        <v>0</v>
      </c>
      <c r="Q237" s="65">
        <f t="shared" si="4"/>
        <v>0</v>
      </c>
      <c r="R237" s="1"/>
    </row>
    <row r="238">
      <c r="A238" s="1"/>
      <c r="B238" s="1"/>
      <c r="C238" s="51"/>
      <c r="D238" s="50"/>
      <c r="E238" s="70" t="str">
        <f t="shared" si="1"/>
        <v/>
      </c>
      <c r="F238" s="1"/>
      <c r="G238" s="1"/>
      <c r="H238" s="1"/>
      <c r="I238" s="1"/>
      <c r="J238" s="1"/>
      <c r="K238" s="1"/>
      <c r="L238" s="53" t="str">
        <f t="shared" si="2"/>
        <v/>
      </c>
      <c r="M238" s="54" t="str">
        <f t="shared" si="3"/>
        <v/>
      </c>
      <c r="N238" s="81" t="str">
        <f t="shared" si="5"/>
        <v/>
      </c>
      <c r="O238" s="56">
        <f t="shared" si="6"/>
        <v>0</v>
      </c>
      <c r="P238" s="56">
        <f t="shared" si="7"/>
        <v>0</v>
      </c>
      <c r="Q238" s="65">
        <f t="shared" si="4"/>
        <v>0</v>
      </c>
      <c r="R238" s="1"/>
    </row>
    <row r="239">
      <c r="A239" s="1"/>
      <c r="B239" s="1"/>
      <c r="C239" s="51"/>
      <c r="D239" s="50"/>
      <c r="E239" s="70" t="str">
        <f t="shared" si="1"/>
        <v/>
      </c>
      <c r="F239" s="1"/>
      <c r="G239" s="1"/>
      <c r="H239" s="1"/>
      <c r="I239" s="1"/>
      <c r="J239" s="1"/>
      <c r="K239" s="1"/>
      <c r="L239" s="53" t="str">
        <f t="shared" si="2"/>
        <v/>
      </c>
      <c r="M239" s="54" t="str">
        <f t="shared" si="3"/>
        <v/>
      </c>
      <c r="N239" s="81" t="str">
        <f t="shared" si="5"/>
        <v/>
      </c>
      <c r="O239" s="56">
        <f t="shared" si="6"/>
        <v>0</v>
      </c>
      <c r="P239" s="56">
        <f t="shared" si="7"/>
        <v>0</v>
      </c>
      <c r="Q239" s="65">
        <f t="shared" si="4"/>
        <v>0</v>
      </c>
      <c r="R239" s="1"/>
    </row>
    <row r="240">
      <c r="A240" s="1"/>
      <c r="B240" s="1"/>
      <c r="C240" s="51"/>
      <c r="D240" s="50"/>
      <c r="E240" s="70" t="str">
        <f t="shared" si="1"/>
        <v/>
      </c>
      <c r="F240" s="1"/>
      <c r="G240" s="1"/>
      <c r="H240" s="1"/>
      <c r="I240" s="1"/>
      <c r="J240" s="1"/>
      <c r="K240" s="1"/>
      <c r="L240" s="53" t="str">
        <f t="shared" si="2"/>
        <v/>
      </c>
      <c r="M240" s="54" t="str">
        <f t="shared" si="3"/>
        <v/>
      </c>
      <c r="N240" s="81" t="str">
        <f t="shared" si="5"/>
        <v/>
      </c>
      <c r="O240" s="56">
        <f t="shared" si="6"/>
        <v>0</v>
      </c>
      <c r="P240" s="56">
        <f t="shared" si="7"/>
        <v>0</v>
      </c>
      <c r="Q240" s="65">
        <f t="shared" si="4"/>
        <v>0</v>
      </c>
      <c r="R240" s="1"/>
    </row>
    <row r="241">
      <c r="A241" s="1"/>
      <c r="B241" s="1"/>
      <c r="C241" s="51"/>
      <c r="D241" s="50"/>
      <c r="E241" s="70" t="str">
        <f t="shared" si="1"/>
        <v/>
      </c>
      <c r="F241" s="1"/>
      <c r="G241" s="1"/>
      <c r="H241" s="1"/>
      <c r="I241" s="1"/>
      <c r="J241" s="1"/>
      <c r="K241" s="1"/>
      <c r="L241" s="53" t="str">
        <f t="shared" si="2"/>
        <v/>
      </c>
      <c r="M241" s="54" t="str">
        <f t="shared" si="3"/>
        <v/>
      </c>
      <c r="N241" s="81" t="str">
        <f t="shared" si="5"/>
        <v/>
      </c>
      <c r="O241" s="56">
        <f t="shared" si="6"/>
        <v>0</v>
      </c>
      <c r="P241" s="56">
        <f t="shared" si="7"/>
        <v>0</v>
      </c>
      <c r="Q241" s="65">
        <f t="shared" si="4"/>
        <v>0</v>
      </c>
      <c r="R241" s="1"/>
    </row>
    <row r="242">
      <c r="A242" s="1"/>
      <c r="B242" s="1"/>
      <c r="C242" s="51"/>
      <c r="D242" s="50"/>
      <c r="E242" s="70" t="str">
        <f t="shared" si="1"/>
        <v/>
      </c>
      <c r="F242" s="1"/>
      <c r="G242" s="1"/>
      <c r="H242" s="1"/>
      <c r="I242" s="1"/>
      <c r="J242" s="1"/>
      <c r="K242" s="1"/>
      <c r="L242" s="53" t="str">
        <f t="shared" si="2"/>
        <v/>
      </c>
      <c r="M242" s="54" t="str">
        <f t="shared" si="3"/>
        <v/>
      </c>
      <c r="N242" s="81" t="str">
        <f t="shared" si="5"/>
        <v/>
      </c>
      <c r="O242" s="56">
        <f t="shared" si="6"/>
        <v>0</v>
      </c>
      <c r="P242" s="56">
        <f t="shared" si="7"/>
        <v>0</v>
      </c>
      <c r="Q242" s="65">
        <f t="shared" si="4"/>
        <v>0</v>
      </c>
      <c r="R242" s="1"/>
    </row>
    <row r="243">
      <c r="A243" s="1"/>
      <c r="B243" s="1"/>
      <c r="C243" s="51"/>
      <c r="D243" s="50"/>
      <c r="E243" s="70" t="str">
        <f t="shared" si="1"/>
        <v/>
      </c>
      <c r="F243" s="1"/>
      <c r="G243" s="1"/>
      <c r="H243" s="1"/>
      <c r="I243" s="1"/>
      <c r="J243" s="1"/>
      <c r="K243" s="1"/>
      <c r="L243" s="53" t="str">
        <f t="shared" si="2"/>
        <v/>
      </c>
      <c r="M243" s="54" t="str">
        <f t="shared" si="3"/>
        <v/>
      </c>
      <c r="N243" s="81" t="str">
        <f t="shared" si="5"/>
        <v/>
      </c>
      <c r="O243" s="56">
        <f t="shared" si="6"/>
        <v>0</v>
      </c>
      <c r="P243" s="56">
        <f t="shared" si="7"/>
        <v>0</v>
      </c>
      <c r="Q243" s="65">
        <f t="shared" si="4"/>
        <v>0</v>
      </c>
      <c r="R243" s="1"/>
    </row>
    <row r="244">
      <c r="A244" s="1"/>
      <c r="B244" s="1"/>
      <c r="C244" s="51"/>
      <c r="D244" s="50"/>
      <c r="E244" s="70" t="str">
        <f t="shared" si="1"/>
        <v/>
      </c>
      <c r="F244" s="1"/>
      <c r="G244" s="1"/>
      <c r="H244" s="1"/>
      <c r="I244" s="1"/>
      <c r="J244" s="1"/>
      <c r="K244" s="1"/>
      <c r="L244" s="53" t="str">
        <f t="shared" si="2"/>
        <v/>
      </c>
      <c r="M244" s="54" t="str">
        <f t="shared" si="3"/>
        <v/>
      </c>
      <c r="N244" s="81" t="str">
        <f t="shared" si="5"/>
        <v/>
      </c>
      <c r="O244" s="56">
        <f t="shared" si="6"/>
        <v>0</v>
      </c>
      <c r="P244" s="56">
        <f t="shared" si="7"/>
        <v>0</v>
      </c>
      <c r="Q244" s="65">
        <f t="shared" si="4"/>
        <v>0</v>
      </c>
      <c r="R244" s="1"/>
    </row>
    <row r="245">
      <c r="A245" s="1"/>
      <c r="B245" s="1"/>
      <c r="C245" s="51"/>
      <c r="D245" s="50"/>
      <c r="E245" s="70" t="str">
        <f t="shared" si="1"/>
        <v/>
      </c>
      <c r="F245" s="1"/>
      <c r="G245" s="1"/>
      <c r="H245" s="1"/>
      <c r="I245" s="1"/>
      <c r="J245" s="1"/>
      <c r="K245" s="1"/>
      <c r="L245" s="53" t="str">
        <f t="shared" si="2"/>
        <v/>
      </c>
      <c r="M245" s="54" t="str">
        <f t="shared" si="3"/>
        <v/>
      </c>
      <c r="N245" s="81" t="str">
        <f t="shared" si="5"/>
        <v/>
      </c>
      <c r="O245" s="56">
        <f t="shared" si="6"/>
        <v>0</v>
      </c>
      <c r="P245" s="56">
        <f t="shared" si="7"/>
        <v>0</v>
      </c>
      <c r="Q245" s="65">
        <f t="shared" si="4"/>
        <v>0</v>
      </c>
      <c r="R245" s="1"/>
    </row>
    <row r="246">
      <c r="A246" s="1"/>
      <c r="B246" s="1"/>
      <c r="C246" s="51"/>
      <c r="D246" s="50"/>
      <c r="E246" s="70" t="str">
        <f t="shared" si="1"/>
        <v/>
      </c>
      <c r="F246" s="1"/>
      <c r="G246" s="1"/>
      <c r="H246" s="1"/>
      <c r="I246" s="1"/>
      <c r="J246" s="1"/>
      <c r="K246" s="1"/>
      <c r="L246" s="53" t="str">
        <f t="shared" si="2"/>
        <v/>
      </c>
      <c r="M246" s="54" t="str">
        <f t="shared" si="3"/>
        <v/>
      </c>
      <c r="N246" s="81" t="str">
        <f t="shared" si="5"/>
        <v/>
      </c>
      <c r="O246" s="56">
        <f t="shared" si="6"/>
        <v>0</v>
      </c>
      <c r="P246" s="56">
        <f t="shared" si="7"/>
        <v>0</v>
      </c>
      <c r="Q246" s="65">
        <f t="shared" si="4"/>
        <v>0</v>
      </c>
      <c r="R246" s="1"/>
    </row>
    <row r="247">
      <c r="A247" s="1"/>
      <c r="B247" s="1"/>
      <c r="C247" s="51"/>
      <c r="D247" s="50"/>
      <c r="E247" s="70" t="str">
        <f t="shared" si="1"/>
        <v/>
      </c>
      <c r="F247" s="1"/>
      <c r="G247" s="1"/>
      <c r="H247" s="1"/>
      <c r="I247" s="1"/>
      <c r="J247" s="1"/>
      <c r="K247" s="1"/>
      <c r="L247" s="53" t="str">
        <f t="shared" si="2"/>
        <v/>
      </c>
      <c r="M247" s="54" t="str">
        <f t="shared" si="3"/>
        <v/>
      </c>
      <c r="N247" s="81" t="str">
        <f t="shared" si="5"/>
        <v/>
      </c>
      <c r="O247" s="56">
        <f t="shared" si="6"/>
        <v>0</v>
      </c>
      <c r="P247" s="56">
        <f t="shared" si="7"/>
        <v>0</v>
      </c>
      <c r="Q247" s="65">
        <f t="shared" si="4"/>
        <v>0</v>
      </c>
      <c r="R247" s="1"/>
    </row>
    <row r="248">
      <c r="A248" s="1"/>
      <c r="B248" s="1"/>
      <c r="C248" s="51"/>
      <c r="D248" s="50"/>
      <c r="E248" s="70" t="str">
        <f t="shared" si="1"/>
        <v/>
      </c>
      <c r="F248" s="1"/>
      <c r="G248" s="1"/>
      <c r="H248" s="1"/>
      <c r="I248" s="1"/>
      <c r="J248" s="1"/>
      <c r="K248" s="1"/>
      <c r="L248" s="53" t="str">
        <f t="shared" si="2"/>
        <v/>
      </c>
      <c r="M248" s="54" t="str">
        <f t="shared" si="3"/>
        <v/>
      </c>
      <c r="N248" s="81" t="str">
        <f t="shared" si="5"/>
        <v/>
      </c>
      <c r="O248" s="56">
        <f t="shared" si="6"/>
        <v>0</v>
      </c>
      <c r="P248" s="56">
        <f t="shared" si="7"/>
        <v>0</v>
      </c>
      <c r="Q248" s="65">
        <f t="shared" si="4"/>
        <v>0</v>
      </c>
      <c r="R248" s="1"/>
    </row>
    <row r="249">
      <c r="A249" s="1"/>
      <c r="B249" s="1"/>
      <c r="C249" s="51"/>
      <c r="D249" s="50"/>
      <c r="E249" s="70" t="str">
        <f t="shared" si="1"/>
        <v/>
      </c>
      <c r="F249" s="1"/>
      <c r="G249" s="1"/>
      <c r="H249" s="1"/>
      <c r="I249" s="1"/>
      <c r="J249" s="1"/>
      <c r="K249" s="1"/>
      <c r="L249" s="53" t="str">
        <f t="shared" si="2"/>
        <v/>
      </c>
      <c r="M249" s="54" t="str">
        <f t="shared" si="3"/>
        <v/>
      </c>
      <c r="N249" s="81" t="str">
        <f t="shared" si="5"/>
        <v/>
      </c>
      <c r="O249" s="56">
        <f t="shared" si="6"/>
        <v>0</v>
      </c>
      <c r="P249" s="56">
        <f t="shared" si="7"/>
        <v>0</v>
      </c>
      <c r="Q249" s="65">
        <f t="shared" si="4"/>
        <v>0</v>
      </c>
      <c r="R249" s="1"/>
    </row>
    <row r="250">
      <c r="A250" s="1"/>
      <c r="B250" s="1"/>
      <c r="C250" s="51"/>
      <c r="D250" s="50"/>
      <c r="E250" s="70" t="str">
        <f t="shared" si="1"/>
        <v/>
      </c>
      <c r="F250" s="1"/>
      <c r="G250" s="1"/>
      <c r="H250" s="1"/>
      <c r="I250" s="1"/>
      <c r="J250" s="1"/>
      <c r="K250" s="1"/>
      <c r="L250" s="53" t="str">
        <f t="shared" si="2"/>
        <v/>
      </c>
      <c r="M250" s="54" t="str">
        <f t="shared" si="3"/>
        <v/>
      </c>
      <c r="N250" s="81" t="str">
        <f t="shared" si="5"/>
        <v/>
      </c>
      <c r="O250" s="56">
        <f t="shared" si="6"/>
        <v>0</v>
      </c>
      <c r="P250" s="56">
        <f t="shared" si="7"/>
        <v>0</v>
      </c>
      <c r="Q250" s="65">
        <f t="shared" si="4"/>
        <v>0</v>
      </c>
      <c r="R250" s="1"/>
    </row>
    <row r="251">
      <c r="A251" s="1"/>
      <c r="B251" s="1"/>
      <c r="C251" s="51"/>
      <c r="D251" s="50"/>
      <c r="E251" s="70" t="str">
        <f t="shared" si="1"/>
        <v/>
      </c>
      <c r="F251" s="1"/>
      <c r="G251" s="1"/>
      <c r="H251" s="1"/>
      <c r="I251" s="1"/>
      <c r="J251" s="1"/>
      <c r="K251" s="1"/>
      <c r="L251" s="53" t="str">
        <f t="shared" si="2"/>
        <v/>
      </c>
      <c r="M251" s="54" t="str">
        <f t="shared" si="3"/>
        <v/>
      </c>
      <c r="N251" s="81" t="str">
        <f t="shared" si="5"/>
        <v/>
      </c>
      <c r="O251" s="56">
        <f t="shared" si="6"/>
        <v>0</v>
      </c>
      <c r="P251" s="56">
        <f t="shared" si="7"/>
        <v>0</v>
      </c>
      <c r="Q251" s="65">
        <f t="shared" si="4"/>
        <v>0</v>
      </c>
      <c r="R251" s="1"/>
    </row>
    <row r="252">
      <c r="A252" s="1"/>
      <c r="B252" s="1"/>
      <c r="C252" s="51"/>
      <c r="D252" s="50"/>
      <c r="E252" s="70" t="str">
        <f t="shared" si="1"/>
        <v/>
      </c>
      <c r="F252" s="1"/>
      <c r="G252" s="1"/>
      <c r="H252" s="1"/>
      <c r="I252" s="1"/>
      <c r="J252" s="1"/>
      <c r="K252" s="1"/>
      <c r="L252" s="53" t="str">
        <f t="shared" si="2"/>
        <v/>
      </c>
      <c r="M252" s="54" t="str">
        <f t="shared" si="3"/>
        <v/>
      </c>
      <c r="N252" s="81" t="str">
        <f t="shared" si="5"/>
        <v/>
      </c>
      <c r="O252" s="56">
        <f t="shared" si="6"/>
        <v>0</v>
      </c>
      <c r="P252" s="56">
        <f t="shared" si="7"/>
        <v>0</v>
      </c>
      <c r="Q252" s="65">
        <f t="shared" si="4"/>
        <v>0</v>
      </c>
      <c r="R252" s="1"/>
    </row>
    <row r="253">
      <c r="A253" s="1"/>
      <c r="B253" s="1"/>
      <c r="C253" s="51"/>
      <c r="D253" s="50"/>
      <c r="E253" s="70" t="str">
        <f t="shared" si="1"/>
        <v/>
      </c>
      <c r="F253" s="1"/>
      <c r="G253" s="1"/>
      <c r="H253" s="1"/>
      <c r="I253" s="1"/>
      <c r="J253" s="1"/>
      <c r="K253" s="1"/>
      <c r="L253" s="53" t="str">
        <f t="shared" si="2"/>
        <v/>
      </c>
      <c r="M253" s="54" t="str">
        <f t="shared" si="3"/>
        <v/>
      </c>
      <c r="N253" s="81" t="str">
        <f t="shared" si="5"/>
        <v/>
      </c>
      <c r="O253" s="56">
        <f t="shared" si="6"/>
        <v>0</v>
      </c>
      <c r="P253" s="56">
        <f t="shared" si="7"/>
        <v>0</v>
      </c>
      <c r="Q253" s="65">
        <f t="shared" si="4"/>
        <v>0</v>
      </c>
      <c r="R253" s="1"/>
    </row>
    <row r="254">
      <c r="A254" s="1"/>
      <c r="B254" s="1"/>
      <c r="C254" s="51"/>
      <c r="D254" s="50"/>
      <c r="E254" s="70" t="str">
        <f t="shared" si="1"/>
        <v/>
      </c>
      <c r="F254" s="1"/>
      <c r="G254" s="1"/>
      <c r="H254" s="1"/>
      <c r="I254" s="1"/>
      <c r="J254" s="1"/>
      <c r="K254" s="1"/>
      <c r="L254" s="53" t="str">
        <f t="shared" si="2"/>
        <v/>
      </c>
      <c r="M254" s="54" t="str">
        <f t="shared" si="3"/>
        <v/>
      </c>
      <c r="N254" s="81" t="str">
        <f t="shared" si="5"/>
        <v/>
      </c>
      <c r="O254" s="56">
        <f t="shared" si="6"/>
        <v>0</v>
      </c>
      <c r="P254" s="56">
        <f t="shared" si="7"/>
        <v>0</v>
      </c>
      <c r="Q254" s="65">
        <f t="shared" si="4"/>
        <v>0</v>
      </c>
      <c r="R254" s="1"/>
    </row>
    <row r="255">
      <c r="A255" s="1"/>
      <c r="B255" s="1"/>
      <c r="C255" s="51"/>
      <c r="D255" s="50"/>
      <c r="E255" s="70" t="str">
        <f t="shared" si="1"/>
        <v/>
      </c>
      <c r="F255" s="1"/>
      <c r="G255" s="1"/>
      <c r="H255" s="1"/>
      <c r="I255" s="1"/>
      <c r="J255" s="1"/>
      <c r="K255" s="1"/>
      <c r="L255" s="53" t="str">
        <f t="shared" si="2"/>
        <v/>
      </c>
      <c r="M255" s="54" t="str">
        <f t="shared" si="3"/>
        <v/>
      </c>
      <c r="N255" s="81" t="str">
        <f t="shared" si="5"/>
        <v/>
      </c>
      <c r="O255" s="56">
        <f t="shared" si="6"/>
        <v>0</v>
      </c>
      <c r="P255" s="56">
        <f t="shared" si="7"/>
        <v>0</v>
      </c>
      <c r="Q255" s="65">
        <f t="shared" si="4"/>
        <v>0</v>
      </c>
      <c r="R255" s="1"/>
    </row>
    <row r="256">
      <c r="A256" s="1"/>
      <c r="B256" s="1"/>
      <c r="C256" s="51"/>
      <c r="D256" s="50"/>
      <c r="E256" s="70" t="str">
        <f t="shared" si="1"/>
        <v/>
      </c>
      <c r="F256" s="1"/>
      <c r="G256" s="1"/>
      <c r="H256" s="1"/>
      <c r="I256" s="1"/>
      <c r="J256" s="1"/>
      <c r="K256" s="1"/>
      <c r="L256" s="53" t="str">
        <f t="shared" si="2"/>
        <v/>
      </c>
      <c r="M256" s="54" t="str">
        <f t="shared" si="3"/>
        <v/>
      </c>
      <c r="N256" s="81" t="str">
        <f t="shared" si="5"/>
        <v/>
      </c>
      <c r="O256" s="56">
        <f t="shared" si="6"/>
        <v>0</v>
      </c>
      <c r="P256" s="56">
        <f t="shared" si="7"/>
        <v>0</v>
      </c>
      <c r="Q256" s="65">
        <f t="shared" si="4"/>
        <v>0</v>
      </c>
      <c r="R256" s="1"/>
    </row>
    <row r="257">
      <c r="A257" s="1"/>
      <c r="B257" s="1"/>
      <c r="C257" s="51"/>
      <c r="D257" s="50"/>
      <c r="E257" s="70" t="str">
        <f t="shared" si="1"/>
        <v/>
      </c>
      <c r="F257" s="1"/>
      <c r="G257" s="1"/>
      <c r="H257" s="1"/>
      <c r="I257" s="1"/>
      <c r="J257" s="1"/>
      <c r="K257" s="1"/>
      <c r="L257" s="53" t="str">
        <f t="shared" si="2"/>
        <v/>
      </c>
      <c r="M257" s="54" t="str">
        <f t="shared" si="3"/>
        <v/>
      </c>
      <c r="N257" s="81" t="str">
        <f t="shared" si="5"/>
        <v/>
      </c>
      <c r="O257" s="56">
        <f t="shared" si="6"/>
        <v>0</v>
      </c>
      <c r="P257" s="56">
        <f t="shared" si="7"/>
        <v>0</v>
      </c>
      <c r="Q257" s="65">
        <f t="shared" si="4"/>
        <v>0</v>
      </c>
      <c r="R257" s="1"/>
    </row>
    <row r="258">
      <c r="A258" s="1"/>
      <c r="B258" s="1"/>
      <c r="C258" s="51"/>
      <c r="D258" s="50"/>
      <c r="E258" s="70" t="str">
        <f t="shared" si="1"/>
        <v/>
      </c>
      <c r="F258" s="1"/>
      <c r="G258" s="1"/>
      <c r="H258" s="1"/>
      <c r="I258" s="1"/>
      <c r="J258" s="1"/>
      <c r="K258" s="1"/>
      <c r="L258" s="53" t="str">
        <f t="shared" si="2"/>
        <v/>
      </c>
      <c r="M258" s="54" t="str">
        <f t="shared" si="3"/>
        <v/>
      </c>
      <c r="N258" s="81" t="str">
        <f t="shared" si="5"/>
        <v/>
      </c>
      <c r="O258" s="56">
        <f t="shared" si="6"/>
        <v>0</v>
      </c>
      <c r="P258" s="56">
        <f t="shared" si="7"/>
        <v>0</v>
      </c>
      <c r="Q258" s="65">
        <f t="shared" si="4"/>
        <v>0</v>
      </c>
      <c r="R258" s="1"/>
    </row>
    <row r="259">
      <c r="A259" s="1"/>
      <c r="B259" s="1"/>
      <c r="C259" s="71"/>
      <c r="D259" s="50"/>
      <c r="E259" s="70" t="str">
        <f t="shared" si="1"/>
        <v/>
      </c>
      <c r="F259" s="1"/>
      <c r="G259" s="1"/>
      <c r="H259" s="1"/>
      <c r="I259" s="1"/>
      <c r="J259" s="1"/>
      <c r="K259" s="1"/>
      <c r="L259" s="53" t="str">
        <f t="shared" si="2"/>
        <v/>
      </c>
      <c r="M259" s="54" t="str">
        <f t="shared" si="3"/>
        <v/>
      </c>
      <c r="N259" s="81" t="str">
        <f t="shared" si="5"/>
        <v/>
      </c>
      <c r="O259" s="56">
        <f t="shared" si="6"/>
        <v>0</v>
      </c>
      <c r="P259" s="56">
        <f t="shared" si="7"/>
        <v>0</v>
      </c>
      <c r="Q259" s="65">
        <f t="shared" si="4"/>
        <v>0</v>
      </c>
      <c r="R259" s="1"/>
    </row>
    <row r="260">
      <c r="A260" s="1"/>
      <c r="B260" s="1"/>
      <c r="C260" s="51"/>
      <c r="D260" s="50"/>
      <c r="E260" s="70" t="str">
        <f t="shared" si="1"/>
        <v/>
      </c>
      <c r="F260" s="1"/>
      <c r="G260" s="1"/>
      <c r="H260" s="1"/>
      <c r="I260" s="1"/>
      <c r="J260" s="1"/>
      <c r="K260" s="1"/>
      <c r="L260" s="53" t="str">
        <f t="shared" si="2"/>
        <v/>
      </c>
      <c r="M260" s="54" t="str">
        <f t="shared" si="3"/>
        <v/>
      </c>
      <c r="N260" s="81" t="str">
        <f t="shared" si="5"/>
        <v/>
      </c>
      <c r="O260" s="56">
        <f t="shared" si="6"/>
        <v>0</v>
      </c>
      <c r="P260" s="56">
        <f t="shared" si="7"/>
        <v>0</v>
      </c>
      <c r="Q260" s="65">
        <f t="shared" si="4"/>
        <v>0</v>
      </c>
      <c r="R260" s="1"/>
    </row>
    <row r="261">
      <c r="A261" s="1"/>
      <c r="B261" s="1"/>
      <c r="C261" s="51"/>
      <c r="D261" s="50"/>
      <c r="E261" s="70" t="str">
        <f t="shared" si="1"/>
        <v/>
      </c>
      <c r="F261" s="1"/>
      <c r="G261" s="1"/>
      <c r="H261" s="1"/>
      <c r="I261" s="1"/>
      <c r="J261" s="1"/>
      <c r="K261" s="1"/>
      <c r="L261" s="53" t="str">
        <f t="shared" si="2"/>
        <v/>
      </c>
      <c r="M261" s="54" t="str">
        <f t="shared" si="3"/>
        <v/>
      </c>
      <c r="N261" s="81" t="str">
        <f t="shared" si="5"/>
        <v/>
      </c>
      <c r="O261" s="56">
        <f t="shared" si="6"/>
        <v>0</v>
      </c>
      <c r="P261" s="56">
        <f t="shared" si="7"/>
        <v>0</v>
      </c>
      <c r="Q261" s="65">
        <f t="shared" si="4"/>
        <v>0</v>
      </c>
      <c r="R261" s="1"/>
    </row>
    <row r="262">
      <c r="A262" s="1"/>
      <c r="B262" s="1"/>
      <c r="C262" s="51"/>
      <c r="D262" s="50"/>
      <c r="E262" s="70" t="str">
        <f t="shared" si="1"/>
        <v/>
      </c>
      <c r="F262" s="1"/>
      <c r="G262" s="1"/>
      <c r="H262" s="1"/>
      <c r="I262" s="1"/>
      <c r="J262" s="1"/>
      <c r="K262" s="1"/>
      <c r="L262" s="53" t="str">
        <f t="shared" si="2"/>
        <v/>
      </c>
      <c r="M262" s="54" t="str">
        <f t="shared" si="3"/>
        <v/>
      </c>
      <c r="N262" s="81" t="str">
        <f t="shared" si="5"/>
        <v/>
      </c>
      <c r="O262" s="56">
        <f t="shared" si="6"/>
        <v>0</v>
      </c>
      <c r="P262" s="56">
        <f t="shared" si="7"/>
        <v>0</v>
      </c>
      <c r="Q262" s="65">
        <f t="shared" si="4"/>
        <v>0</v>
      </c>
      <c r="R262" s="1"/>
    </row>
    <row r="263">
      <c r="A263" s="1"/>
      <c r="B263" s="1"/>
      <c r="C263" s="51"/>
      <c r="D263" s="50"/>
      <c r="E263" s="70" t="str">
        <f t="shared" si="1"/>
        <v/>
      </c>
      <c r="F263" s="1"/>
      <c r="G263" s="1"/>
      <c r="H263" s="1"/>
      <c r="I263" s="1"/>
      <c r="J263" s="1"/>
      <c r="K263" s="1"/>
      <c r="L263" s="53" t="str">
        <f t="shared" si="2"/>
        <v/>
      </c>
      <c r="M263" s="54" t="str">
        <f t="shared" si="3"/>
        <v/>
      </c>
      <c r="N263" s="81" t="str">
        <f t="shared" si="5"/>
        <v/>
      </c>
      <c r="O263" s="56">
        <f t="shared" si="6"/>
        <v>0</v>
      </c>
      <c r="P263" s="56">
        <f t="shared" si="7"/>
        <v>0</v>
      </c>
      <c r="Q263" s="65">
        <f t="shared" si="4"/>
        <v>0</v>
      </c>
      <c r="R263" s="1"/>
    </row>
    <row r="264">
      <c r="A264" s="1"/>
      <c r="B264" s="1"/>
      <c r="C264" s="51"/>
      <c r="D264" s="50"/>
      <c r="E264" s="70" t="str">
        <f t="shared" si="1"/>
        <v/>
      </c>
      <c r="F264" s="1"/>
      <c r="G264" s="1"/>
      <c r="H264" s="1"/>
      <c r="I264" s="1"/>
      <c r="J264" s="1"/>
      <c r="K264" s="1"/>
      <c r="L264" s="53" t="str">
        <f t="shared" si="2"/>
        <v/>
      </c>
      <c r="M264" s="54" t="str">
        <f t="shared" si="3"/>
        <v/>
      </c>
      <c r="N264" s="81" t="str">
        <f t="shared" si="5"/>
        <v/>
      </c>
      <c r="O264" s="56">
        <f t="shared" si="6"/>
        <v>0</v>
      </c>
      <c r="P264" s="56">
        <f t="shared" si="7"/>
        <v>0</v>
      </c>
      <c r="Q264" s="65">
        <f t="shared" si="4"/>
        <v>0</v>
      </c>
      <c r="R264" s="1"/>
    </row>
    <row r="265">
      <c r="A265" s="1"/>
      <c r="B265" s="1"/>
      <c r="C265" s="51"/>
      <c r="D265" s="50"/>
      <c r="E265" s="70" t="str">
        <f t="shared" si="1"/>
        <v/>
      </c>
      <c r="F265" s="1"/>
      <c r="G265" s="1"/>
      <c r="H265" s="1"/>
      <c r="I265" s="1"/>
      <c r="J265" s="1"/>
      <c r="K265" s="1"/>
      <c r="L265" s="53" t="str">
        <f t="shared" si="2"/>
        <v/>
      </c>
      <c r="M265" s="54" t="str">
        <f t="shared" si="3"/>
        <v/>
      </c>
      <c r="N265" s="81" t="str">
        <f t="shared" si="5"/>
        <v/>
      </c>
      <c r="O265" s="56">
        <f t="shared" si="6"/>
        <v>0</v>
      </c>
      <c r="P265" s="56">
        <f t="shared" si="7"/>
        <v>0</v>
      </c>
      <c r="Q265" s="65">
        <f t="shared" si="4"/>
        <v>0</v>
      </c>
      <c r="R265" s="1"/>
    </row>
    <row r="266">
      <c r="A266" s="1"/>
      <c r="B266" s="1"/>
      <c r="C266" s="51"/>
      <c r="D266" s="50"/>
      <c r="E266" s="70" t="str">
        <f t="shared" si="1"/>
        <v/>
      </c>
      <c r="F266" s="1"/>
      <c r="G266" s="1"/>
      <c r="H266" s="1"/>
      <c r="I266" s="1"/>
      <c r="J266" s="1"/>
      <c r="K266" s="1"/>
      <c r="L266" s="53" t="str">
        <f t="shared" si="2"/>
        <v/>
      </c>
      <c r="M266" s="54" t="str">
        <f t="shared" si="3"/>
        <v/>
      </c>
      <c r="N266" s="81" t="str">
        <f t="shared" si="5"/>
        <v/>
      </c>
      <c r="O266" s="56">
        <f t="shared" si="6"/>
        <v>0</v>
      </c>
      <c r="P266" s="56">
        <f t="shared" si="7"/>
        <v>0</v>
      </c>
      <c r="Q266" s="65">
        <f t="shared" si="4"/>
        <v>0</v>
      </c>
      <c r="R266" s="1"/>
    </row>
    <row r="267">
      <c r="A267" s="1"/>
      <c r="B267" s="1"/>
      <c r="C267" s="71"/>
      <c r="D267" s="50"/>
      <c r="E267" s="70" t="str">
        <f t="shared" si="1"/>
        <v/>
      </c>
      <c r="F267" s="1"/>
      <c r="G267" s="1"/>
      <c r="H267" s="1"/>
      <c r="I267" s="1"/>
      <c r="J267" s="1"/>
      <c r="K267" s="1"/>
      <c r="L267" s="53" t="str">
        <f t="shared" si="2"/>
        <v/>
      </c>
      <c r="M267" s="54" t="str">
        <f t="shared" si="3"/>
        <v/>
      </c>
      <c r="N267" s="81" t="str">
        <f t="shared" si="5"/>
        <v/>
      </c>
      <c r="O267" s="56">
        <f t="shared" si="6"/>
        <v>0</v>
      </c>
      <c r="P267" s="56">
        <f t="shared" si="7"/>
        <v>0</v>
      </c>
      <c r="Q267" s="65">
        <f t="shared" si="4"/>
        <v>0</v>
      </c>
      <c r="R267" s="1"/>
    </row>
    <row r="268">
      <c r="A268" s="1"/>
      <c r="B268" s="1"/>
      <c r="C268" s="51"/>
      <c r="D268" s="50"/>
      <c r="E268" s="70" t="str">
        <f t="shared" si="1"/>
        <v/>
      </c>
      <c r="F268" s="1"/>
      <c r="G268" s="1"/>
      <c r="H268" s="1"/>
      <c r="I268" s="1"/>
      <c r="J268" s="1"/>
      <c r="K268" s="1"/>
      <c r="L268" s="53" t="str">
        <f t="shared" si="2"/>
        <v/>
      </c>
      <c r="M268" s="54" t="str">
        <f t="shared" si="3"/>
        <v/>
      </c>
      <c r="N268" s="81" t="str">
        <f t="shared" si="5"/>
        <v/>
      </c>
      <c r="O268" s="56">
        <f t="shared" si="6"/>
        <v>0</v>
      </c>
      <c r="P268" s="56">
        <f t="shared" si="7"/>
        <v>0</v>
      </c>
      <c r="Q268" s="65">
        <f t="shared" si="4"/>
        <v>0</v>
      </c>
      <c r="R268" s="1"/>
    </row>
    <row r="269">
      <c r="A269" s="1"/>
      <c r="B269" s="1"/>
      <c r="C269" s="51"/>
      <c r="D269" s="50"/>
      <c r="E269" s="70" t="str">
        <f t="shared" si="1"/>
        <v/>
      </c>
      <c r="F269" s="1"/>
      <c r="G269" s="1"/>
      <c r="H269" s="1"/>
      <c r="I269" s="1"/>
      <c r="J269" s="1"/>
      <c r="K269" s="1"/>
      <c r="L269" s="53" t="str">
        <f t="shared" si="2"/>
        <v/>
      </c>
      <c r="M269" s="54" t="str">
        <f t="shared" si="3"/>
        <v/>
      </c>
      <c r="N269" s="81" t="str">
        <f t="shared" si="5"/>
        <v/>
      </c>
      <c r="O269" s="56">
        <f t="shared" si="6"/>
        <v>0</v>
      </c>
      <c r="P269" s="56">
        <f t="shared" si="7"/>
        <v>0</v>
      </c>
      <c r="Q269" s="65">
        <f t="shared" si="4"/>
        <v>0</v>
      </c>
      <c r="R269" s="1"/>
    </row>
    <row r="270">
      <c r="A270" s="1"/>
      <c r="B270" s="1"/>
      <c r="C270" s="51"/>
      <c r="D270" s="50"/>
      <c r="E270" s="70" t="str">
        <f t="shared" si="1"/>
        <v/>
      </c>
      <c r="F270" s="1"/>
      <c r="G270" s="1"/>
      <c r="H270" s="1"/>
      <c r="I270" s="1"/>
      <c r="J270" s="1"/>
      <c r="K270" s="1"/>
      <c r="L270" s="53" t="str">
        <f t="shared" si="2"/>
        <v/>
      </c>
      <c r="M270" s="54" t="str">
        <f t="shared" si="3"/>
        <v/>
      </c>
      <c r="N270" s="81" t="str">
        <f t="shared" si="5"/>
        <v/>
      </c>
      <c r="O270" s="56">
        <f t="shared" si="6"/>
        <v>0</v>
      </c>
      <c r="P270" s="56">
        <f t="shared" si="7"/>
        <v>0</v>
      </c>
      <c r="Q270" s="65">
        <f t="shared" si="4"/>
        <v>0</v>
      </c>
      <c r="R270" s="1"/>
    </row>
    <row r="271">
      <c r="A271" s="1"/>
      <c r="B271" s="1"/>
      <c r="C271" s="71"/>
      <c r="D271" s="50"/>
      <c r="E271" s="70" t="str">
        <f t="shared" si="1"/>
        <v/>
      </c>
      <c r="F271" s="1"/>
      <c r="G271" s="1"/>
      <c r="H271" s="1"/>
      <c r="I271" s="1"/>
      <c r="J271" s="1"/>
      <c r="K271" s="1"/>
      <c r="L271" s="53" t="str">
        <f t="shared" si="2"/>
        <v/>
      </c>
      <c r="M271" s="54" t="str">
        <f t="shared" si="3"/>
        <v/>
      </c>
      <c r="N271" s="81" t="str">
        <f t="shared" si="5"/>
        <v/>
      </c>
      <c r="O271" s="56">
        <f t="shared" si="6"/>
        <v>0</v>
      </c>
      <c r="P271" s="56">
        <f t="shared" si="7"/>
        <v>0</v>
      </c>
      <c r="Q271" s="65">
        <f t="shared" si="4"/>
        <v>0</v>
      </c>
      <c r="R271" s="1"/>
    </row>
    <row r="272">
      <c r="A272" s="1"/>
      <c r="B272" s="1"/>
      <c r="C272" s="51"/>
      <c r="D272" s="50"/>
      <c r="E272" s="70" t="str">
        <f t="shared" si="1"/>
        <v/>
      </c>
      <c r="F272" s="1"/>
      <c r="G272" s="1"/>
      <c r="H272" s="1"/>
      <c r="I272" s="1"/>
      <c r="J272" s="1"/>
      <c r="K272" s="1"/>
      <c r="L272" s="53" t="str">
        <f t="shared" si="2"/>
        <v/>
      </c>
      <c r="M272" s="54" t="str">
        <f t="shared" si="3"/>
        <v/>
      </c>
      <c r="N272" s="81" t="str">
        <f t="shared" si="5"/>
        <v/>
      </c>
      <c r="O272" s="56">
        <f t="shared" si="6"/>
        <v>0</v>
      </c>
      <c r="P272" s="56">
        <f t="shared" si="7"/>
        <v>0</v>
      </c>
      <c r="Q272" s="65">
        <f t="shared" si="4"/>
        <v>0</v>
      </c>
      <c r="R272" s="1"/>
    </row>
    <row r="273">
      <c r="A273" s="1"/>
      <c r="B273" s="1"/>
      <c r="C273" s="51"/>
      <c r="D273" s="50"/>
      <c r="E273" s="70" t="str">
        <f t="shared" si="1"/>
        <v/>
      </c>
      <c r="F273" s="1"/>
      <c r="G273" s="1"/>
      <c r="H273" s="1"/>
      <c r="I273" s="1"/>
      <c r="J273" s="1"/>
      <c r="K273" s="1"/>
      <c r="L273" s="53" t="str">
        <f t="shared" si="2"/>
        <v/>
      </c>
      <c r="M273" s="54" t="str">
        <f t="shared" si="3"/>
        <v/>
      </c>
      <c r="N273" s="81" t="str">
        <f t="shared" si="5"/>
        <v/>
      </c>
      <c r="O273" s="56">
        <f t="shared" si="6"/>
        <v>0</v>
      </c>
      <c r="P273" s="56">
        <f t="shared" si="7"/>
        <v>0</v>
      </c>
      <c r="Q273" s="65">
        <f t="shared" si="4"/>
        <v>0</v>
      </c>
      <c r="R273" s="1"/>
    </row>
    <row r="274">
      <c r="A274" s="1"/>
      <c r="B274" s="1"/>
      <c r="C274" s="51"/>
      <c r="D274" s="50"/>
      <c r="E274" s="70" t="str">
        <f t="shared" si="1"/>
        <v/>
      </c>
      <c r="F274" s="1"/>
      <c r="G274" s="1"/>
      <c r="H274" s="1"/>
      <c r="I274" s="1"/>
      <c r="J274" s="1"/>
      <c r="K274" s="1"/>
      <c r="L274" s="53" t="str">
        <f t="shared" si="2"/>
        <v/>
      </c>
      <c r="M274" s="54" t="str">
        <f t="shared" si="3"/>
        <v/>
      </c>
      <c r="N274" s="81" t="str">
        <f t="shared" si="5"/>
        <v/>
      </c>
      <c r="O274" s="56">
        <f t="shared" si="6"/>
        <v>0</v>
      </c>
      <c r="P274" s="56">
        <f t="shared" si="7"/>
        <v>0</v>
      </c>
      <c r="Q274" s="65">
        <f t="shared" si="4"/>
        <v>0</v>
      </c>
      <c r="R274" s="1"/>
    </row>
    <row r="275">
      <c r="A275" s="1"/>
      <c r="B275" s="1"/>
      <c r="C275" s="51"/>
      <c r="D275" s="50"/>
      <c r="E275" s="70" t="str">
        <f t="shared" si="1"/>
        <v/>
      </c>
      <c r="F275" s="1"/>
      <c r="G275" s="1"/>
      <c r="H275" s="1"/>
      <c r="I275" s="1"/>
      <c r="J275" s="1"/>
      <c r="K275" s="1"/>
      <c r="L275" s="53" t="str">
        <f t="shared" si="2"/>
        <v/>
      </c>
      <c r="M275" s="54" t="str">
        <f t="shared" si="3"/>
        <v/>
      </c>
      <c r="N275" s="81" t="str">
        <f t="shared" si="5"/>
        <v/>
      </c>
      <c r="O275" s="56">
        <f t="shared" si="6"/>
        <v>0</v>
      </c>
      <c r="P275" s="56">
        <f t="shared" si="7"/>
        <v>0</v>
      </c>
      <c r="Q275" s="65">
        <f t="shared" si="4"/>
        <v>0</v>
      </c>
      <c r="R275" s="1"/>
    </row>
    <row r="276">
      <c r="A276" s="1"/>
      <c r="B276" s="1"/>
      <c r="C276" s="51"/>
      <c r="D276" s="50"/>
      <c r="E276" s="70" t="str">
        <f t="shared" si="1"/>
        <v/>
      </c>
      <c r="F276" s="1"/>
      <c r="G276" s="1"/>
      <c r="H276" s="1"/>
      <c r="I276" s="1"/>
      <c r="J276" s="1"/>
      <c r="K276" s="1"/>
      <c r="L276" s="53" t="str">
        <f t="shared" si="2"/>
        <v/>
      </c>
      <c r="M276" s="54" t="str">
        <f t="shared" si="3"/>
        <v/>
      </c>
      <c r="N276" s="81" t="str">
        <f t="shared" si="5"/>
        <v/>
      </c>
      <c r="O276" s="56">
        <f t="shared" si="6"/>
        <v>0</v>
      </c>
      <c r="P276" s="56">
        <f t="shared" si="7"/>
        <v>0</v>
      </c>
      <c r="Q276" s="65">
        <f t="shared" si="4"/>
        <v>0</v>
      </c>
      <c r="R276" s="1"/>
    </row>
    <row r="277">
      <c r="A277" s="1"/>
      <c r="B277" s="1"/>
      <c r="C277" s="51"/>
      <c r="D277" s="50"/>
      <c r="E277" s="70" t="str">
        <f t="shared" si="1"/>
        <v/>
      </c>
      <c r="F277" s="1"/>
      <c r="G277" s="1"/>
      <c r="H277" s="1"/>
      <c r="I277" s="1"/>
      <c r="J277" s="1"/>
      <c r="K277" s="1"/>
      <c r="L277" s="53" t="str">
        <f t="shared" si="2"/>
        <v/>
      </c>
      <c r="M277" s="54" t="str">
        <f t="shared" si="3"/>
        <v/>
      </c>
      <c r="N277" s="81" t="str">
        <f t="shared" si="5"/>
        <v/>
      </c>
      <c r="O277" s="56">
        <f t="shared" si="6"/>
        <v>0</v>
      </c>
      <c r="P277" s="56">
        <f t="shared" si="7"/>
        <v>0</v>
      </c>
      <c r="Q277" s="65">
        <f t="shared" si="4"/>
        <v>0</v>
      </c>
      <c r="R277" s="1"/>
    </row>
    <row r="278">
      <c r="A278" s="1"/>
      <c r="B278" s="1"/>
      <c r="C278" s="51"/>
      <c r="D278" s="50"/>
      <c r="E278" s="70" t="str">
        <f t="shared" si="1"/>
        <v/>
      </c>
      <c r="F278" s="1"/>
      <c r="G278" s="1"/>
      <c r="H278" s="1"/>
      <c r="I278" s="1"/>
      <c r="J278" s="1"/>
      <c r="K278" s="1"/>
      <c r="L278" s="53" t="str">
        <f t="shared" si="2"/>
        <v/>
      </c>
      <c r="M278" s="54" t="str">
        <f t="shared" si="3"/>
        <v/>
      </c>
      <c r="N278" s="81" t="str">
        <f t="shared" si="5"/>
        <v/>
      </c>
      <c r="O278" s="56">
        <f t="shared" si="6"/>
        <v>0</v>
      </c>
      <c r="P278" s="56">
        <f t="shared" si="7"/>
        <v>0</v>
      </c>
      <c r="Q278" s="65">
        <f t="shared" si="4"/>
        <v>0</v>
      </c>
      <c r="R278" s="1"/>
    </row>
    <row r="279">
      <c r="A279" s="1"/>
      <c r="B279" s="1"/>
      <c r="C279" s="51"/>
      <c r="D279" s="50"/>
      <c r="E279" s="70" t="str">
        <f t="shared" si="1"/>
        <v/>
      </c>
      <c r="F279" s="1"/>
      <c r="G279" s="1"/>
      <c r="H279" s="1"/>
      <c r="I279" s="1"/>
      <c r="J279" s="1"/>
      <c r="K279" s="1"/>
      <c r="L279" s="53" t="str">
        <f t="shared" si="2"/>
        <v/>
      </c>
      <c r="M279" s="54" t="str">
        <f t="shared" si="3"/>
        <v/>
      </c>
      <c r="N279" s="81" t="str">
        <f t="shared" si="5"/>
        <v/>
      </c>
      <c r="O279" s="56">
        <f t="shared" si="6"/>
        <v>0</v>
      </c>
      <c r="P279" s="56">
        <f t="shared" si="7"/>
        <v>0</v>
      </c>
      <c r="Q279" s="65">
        <f t="shared" si="4"/>
        <v>0</v>
      </c>
      <c r="R279" s="1"/>
    </row>
    <row r="280">
      <c r="A280" s="1"/>
      <c r="B280" s="1"/>
      <c r="C280" s="51"/>
      <c r="D280" s="50"/>
      <c r="E280" s="70" t="str">
        <f t="shared" si="1"/>
        <v/>
      </c>
      <c r="F280" s="1"/>
      <c r="G280" s="1"/>
      <c r="H280" s="1"/>
      <c r="I280" s="1"/>
      <c r="J280" s="1"/>
      <c r="K280" s="1"/>
      <c r="L280" s="53" t="str">
        <f t="shared" si="2"/>
        <v/>
      </c>
      <c r="M280" s="54" t="str">
        <f t="shared" si="3"/>
        <v/>
      </c>
      <c r="N280" s="81" t="str">
        <f t="shared" si="5"/>
        <v/>
      </c>
      <c r="O280" s="56">
        <f t="shared" si="6"/>
        <v>0</v>
      </c>
      <c r="P280" s="56">
        <f t="shared" si="7"/>
        <v>0</v>
      </c>
      <c r="Q280" s="65">
        <f t="shared" si="4"/>
        <v>0</v>
      </c>
      <c r="R280" s="1"/>
    </row>
    <row r="281">
      <c r="A281" s="1"/>
      <c r="B281" s="1"/>
      <c r="C281" s="51"/>
      <c r="D281" s="50"/>
      <c r="E281" s="70" t="str">
        <f t="shared" si="1"/>
        <v/>
      </c>
      <c r="F281" s="1"/>
      <c r="G281" s="1"/>
      <c r="H281" s="1"/>
      <c r="I281" s="1"/>
      <c r="J281" s="1"/>
      <c r="K281" s="1"/>
      <c r="L281" s="53" t="str">
        <f t="shared" si="2"/>
        <v/>
      </c>
      <c r="M281" s="54" t="str">
        <f t="shared" si="3"/>
        <v/>
      </c>
      <c r="N281" s="81" t="str">
        <f t="shared" si="5"/>
        <v/>
      </c>
      <c r="O281" s="56">
        <f t="shared" si="6"/>
        <v>0</v>
      </c>
      <c r="P281" s="56">
        <f t="shared" si="7"/>
        <v>0</v>
      </c>
      <c r="Q281" s="65">
        <f t="shared" si="4"/>
        <v>0</v>
      </c>
      <c r="R281" s="1"/>
    </row>
    <row r="282">
      <c r="A282" s="1"/>
      <c r="B282" s="1"/>
      <c r="C282" s="51"/>
      <c r="D282" s="50"/>
      <c r="E282" s="70" t="str">
        <f t="shared" si="1"/>
        <v/>
      </c>
      <c r="F282" s="1"/>
      <c r="G282" s="1"/>
      <c r="H282" s="1"/>
      <c r="I282" s="1"/>
      <c r="J282" s="1"/>
      <c r="K282" s="1"/>
      <c r="L282" s="53" t="str">
        <f t="shared" si="2"/>
        <v/>
      </c>
      <c r="M282" s="54" t="str">
        <f t="shared" si="3"/>
        <v/>
      </c>
      <c r="N282" s="81" t="str">
        <f t="shared" si="5"/>
        <v/>
      </c>
      <c r="O282" s="56">
        <f t="shared" si="6"/>
        <v>0</v>
      </c>
      <c r="P282" s="56">
        <f t="shared" si="7"/>
        <v>0</v>
      </c>
      <c r="Q282" s="65">
        <f t="shared" si="4"/>
        <v>0</v>
      </c>
      <c r="R282" s="1"/>
    </row>
    <row r="283">
      <c r="A283" s="1"/>
      <c r="B283" s="1"/>
      <c r="C283" s="51"/>
      <c r="D283" s="50"/>
      <c r="E283" s="70" t="str">
        <f t="shared" si="1"/>
        <v/>
      </c>
      <c r="F283" s="1"/>
      <c r="G283" s="1"/>
      <c r="H283" s="1"/>
      <c r="I283" s="1"/>
      <c r="J283" s="1"/>
      <c r="K283" s="1"/>
      <c r="L283" s="53" t="str">
        <f t="shared" si="2"/>
        <v/>
      </c>
      <c r="M283" s="54" t="str">
        <f t="shared" si="3"/>
        <v/>
      </c>
      <c r="N283" s="81" t="str">
        <f t="shared" si="5"/>
        <v/>
      </c>
      <c r="O283" s="56">
        <f t="shared" si="6"/>
        <v>0</v>
      </c>
      <c r="P283" s="56">
        <f t="shared" si="7"/>
        <v>0</v>
      </c>
      <c r="Q283" s="65">
        <f t="shared" si="4"/>
        <v>0</v>
      </c>
      <c r="R283" s="1"/>
    </row>
    <row r="284">
      <c r="A284" s="1"/>
      <c r="B284" s="1"/>
      <c r="C284" s="71"/>
      <c r="D284" s="50"/>
      <c r="E284" s="70" t="str">
        <f t="shared" si="1"/>
        <v/>
      </c>
      <c r="F284" s="1"/>
      <c r="G284" s="1"/>
      <c r="H284" s="1"/>
      <c r="I284" s="1"/>
      <c r="J284" s="1"/>
      <c r="K284" s="1"/>
      <c r="L284" s="53" t="str">
        <f t="shared" si="2"/>
        <v/>
      </c>
      <c r="M284" s="54" t="str">
        <f t="shared" si="3"/>
        <v/>
      </c>
      <c r="N284" s="81" t="str">
        <f t="shared" si="5"/>
        <v/>
      </c>
      <c r="O284" s="56">
        <f t="shared" si="6"/>
        <v>0</v>
      </c>
      <c r="P284" s="56">
        <f t="shared" si="7"/>
        <v>0</v>
      </c>
      <c r="Q284" s="65">
        <f t="shared" si="4"/>
        <v>0</v>
      </c>
      <c r="R284" s="1"/>
    </row>
    <row r="285">
      <c r="A285" s="1"/>
      <c r="B285" s="1"/>
      <c r="C285" s="1"/>
      <c r="D285" s="1"/>
      <c r="E285" s="70" t="str">
        <f t="shared" si="1"/>
        <v/>
      </c>
      <c r="F285" s="1"/>
      <c r="G285" s="1"/>
      <c r="H285" s="1"/>
      <c r="I285" s="1"/>
      <c r="J285" s="1"/>
      <c r="K285" s="1"/>
      <c r="L285" s="53" t="str">
        <f t="shared" si="2"/>
        <v/>
      </c>
      <c r="M285" s="54" t="str">
        <f t="shared" si="3"/>
        <v/>
      </c>
      <c r="N285" s="81" t="str">
        <f t="shared" si="5"/>
        <v/>
      </c>
      <c r="O285" s="56">
        <f t="shared" si="6"/>
        <v>0</v>
      </c>
      <c r="P285" s="56">
        <f t="shared" si="7"/>
        <v>0</v>
      </c>
      <c r="Q285" s="65">
        <f t="shared" si="4"/>
        <v>0</v>
      </c>
      <c r="R285" s="1"/>
    </row>
    <row r="286">
      <c r="A286" s="1"/>
      <c r="B286" s="1"/>
      <c r="C286" s="1"/>
      <c r="D286" s="1"/>
      <c r="E286" s="70" t="str">
        <f t="shared" si="1"/>
        <v/>
      </c>
      <c r="F286" s="1"/>
      <c r="G286" s="1"/>
      <c r="H286" s="1"/>
      <c r="I286" s="1"/>
      <c r="J286" s="1"/>
      <c r="K286" s="1"/>
      <c r="L286" s="53" t="str">
        <f t="shared" si="2"/>
        <v/>
      </c>
      <c r="M286" s="54" t="str">
        <f t="shared" si="3"/>
        <v/>
      </c>
      <c r="N286" s="81" t="str">
        <f t="shared" si="5"/>
        <v/>
      </c>
      <c r="O286" s="56">
        <f t="shared" si="6"/>
        <v>0</v>
      </c>
      <c r="P286" s="56">
        <f t="shared" si="7"/>
        <v>0</v>
      </c>
      <c r="Q286" s="65">
        <f t="shared" si="4"/>
        <v>0</v>
      </c>
      <c r="R286" s="1"/>
    </row>
    <row r="287">
      <c r="A287" s="1"/>
      <c r="B287" s="1"/>
      <c r="C287" s="1"/>
      <c r="D287" s="1"/>
      <c r="E287" s="70" t="str">
        <f t="shared" si="1"/>
        <v/>
      </c>
      <c r="F287" s="1"/>
      <c r="G287" s="1"/>
      <c r="H287" s="1"/>
      <c r="I287" s="1"/>
      <c r="J287" s="1"/>
      <c r="K287" s="1"/>
      <c r="L287" s="53" t="str">
        <f t="shared" si="2"/>
        <v/>
      </c>
      <c r="M287" s="54" t="str">
        <f t="shared" si="3"/>
        <v/>
      </c>
      <c r="N287" s="81" t="str">
        <f t="shared" si="5"/>
        <v/>
      </c>
      <c r="O287" s="56">
        <f t="shared" si="6"/>
        <v>0</v>
      </c>
      <c r="P287" s="56">
        <f t="shared" si="7"/>
        <v>0</v>
      </c>
      <c r="Q287" s="65">
        <f t="shared" si="4"/>
        <v>0</v>
      </c>
      <c r="R287" s="1"/>
    </row>
    <row r="288">
      <c r="A288" s="1"/>
      <c r="B288" s="1"/>
      <c r="C288" s="1"/>
      <c r="D288" s="1"/>
      <c r="E288" s="70" t="str">
        <f t="shared" si="1"/>
        <v/>
      </c>
      <c r="F288" s="1"/>
      <c r="G288" s="1"/>
      <c r="H288" s="1"/>
      <c r="I288" s="1"/>
      <c r="J288" s="1"/>
      <c r="K288" s="1"/>
      <c r="L288" s="53" t="str">
        <f t="shared" si="2"/>
        <v/>
      </c>
      <c r="M288" s="54" t="str">
        <f t="shared" si="3"/>
        <v/>
      </c>
      <c r="N288" s="81" t="str">
        <f t="shared" si="5"/>
        <v/>
      </c>
      <c r="O288" s="56">
        <f t="shared" si="6"/>
        <v>0</v>
      </c>
      <c r="P288" s="56">
        <f t="shared" si="7"/>
        <v>0</v>
      </c>
      <c r="Q288" s="65">
        <f t="shared" si="4"/>
        <v>0</v>
      </c>
      <c r="R288" s="1"/>
    </row>
    <row r="289">
      <c r="A289" s="1"/>
      <c r="B289" s="1"/>
      <c r="C289" s="1"/>
      <c r="D289" s="1"/>
      <c r="E289" s="70" t="str">
        <f t="shared" si="1"/>
        <v/>
      </c>
      <c r="F289" s="1"/>
      <c r="G289" s="1"/>
      <c r="H289" s="1"/>
      <c r="I289" s="1"/>
      <c r="J289" s="1"/>
      <c r="K289" s="1"/>
      <c r="L289" s="53" t="str">
        <f t="shared" si="2"/>
        <v/>
      </c>
      <c r="M289" s="54" t="str">
        <f t="shared" si="3"/>
        <v/>
      </c>
      <c r="N289" s="81" t="str">
        <f t="shared" si="5"/>
        <v/>
      </c>
      <c r="O289" s="56">
        <f t="shared" si="6"/>
        <v>0</v>
      </c>
      <c r="P289" s="56">
        <f t="shared" si="7"/>
        <v>0</v>
      </c>
      <c r="Q289" s="65">
        <f t="shared" si="4"/>
        <v>0</v>
      </c>
      <c r="R289" s="1"/>
    </row>
    <row r="290">
      <c r="A290" s="1"/>
      <c r="B290" s="1"/>
      <c r="C290" s="1"/>
      <c r="D290" s="1"/>
      <c r="E290" s="70" t="str">
        <f t="shared" si="1"/>
        <v/>
      </c>
      <c r="F290" s="1"/>
      <c r="G290" s="1"/>
      <c r="H290" s="1"/>
      <c r="I290" s="1"/>
      <c r="J290" s="1"/>
      <c r="K290" s="1"/>
      <c r="L290" s="53" t="str">
        <f t="shared" si="2"/>
        <v/>
      </c>
      <c r="M290" s="54" t="str">
        <f t="shared" si="3"/>
        <v/>
      </c>
      <c r="N290" s="81" t="str">
        <f t="shared" si="5"/>
        <v/>
      </c>
      <c r="O290" s="56">
        <f t="shared" si="6"/>
        <v>0</v>
      </c>
      <c r="P290" s="56">
        <f t="shared" si="7"/>
        <v>0</v>
      </c>
      <c r="Q290" s="65">
        <f t="shared" si="4"/>
        <v>0</v>
      </c>
      <c r="R290" s="1"/>
    </row>
    <row r="291">
      <c r="A291" s="1"/>
      <c r="B291" s="1"/>
      <c r="C291" s="1"/>
      <c r="D291" s="1"/>
      <c r="E291" s="70" t="str">
        <f t="shared" si="1"/>
        <v/>
      </c>
      <c r="F291" s="1"/>
      <c r="G291" s="1"/>
      <c r="H291" s="1"/>
      <c r="I291" s="1"/>
      <c r="J291" s="1"/>
      <c r="K291" s="1"/>
      <c r="L291" s="53" t="str">
        <f t="shared" si="2"/>
        <v/>
      </c>
      <c r="M291" s="54" t="str">
        <f t="shared" si="3"/>
        <v/>
      </c>
      <c r="N291" s="81" t="str">
        <f t="shared" si="5"/>
        <v/>
      </c>
      <c r="O291" s="56">
        <f t="shared" si="6"/>
        <v>0</v>
      </c>
      <c r="P291" s="56">
        <f t="shared" si="7"/>
        <v>0</v>
      </c>
      <c r="Q291" s="65">
        <f t="shared" si="4"/>
        <v>0</v>
      </c>
      <c r="R291" s="1"/>
    </row>
    <row r="292">
      <c r="A292" s="1"/>
      <c r="B292" s="1"/>
      <c r="C292" s="1"/>
      <c r="D292" s="1"/>
      <c r="E292" s="70" t="str">
        <f t="shared" si="1"/>
        <v/>
      </c>
      <c r="F292" s="1"/>
      <c r="G292" s="1"/>
      <c r="H292" s="1"/>
      <c r="I292" s="1"/>
      <c r="J292" s="1"/>
      <c r="K292" s="1"/>
      <c r="L292" s="53" t="str">
        <f t="shared" si="2"/>
        <v/>
      </c>
      <c r="M292" s="54" t="str">
        <f t="shared" si="3"/>
        <v/>
      </c>
      <c r="N292" s="81" t="str">
        <f t="shared" si="5"/>
        <v/>
      </c>
      <c r="O292" s="56">
        <f t="shared" si="6"/>
        <v>0</v>
      </c>
      <c r="P292" s="56">
        <f t="shared" si="7"/>
        <v>0</v>
      </c>
      <c r="Q292" s="65">
        <f t="shared" si="4"/>
        <v>0</v>
      </c>
      <c r="R292" s="1"/>
    </row>
    <row r="293">
      <c r="A293" s="1"/>
      <c r="B293" s="1"/>
      <c r="C293" s="1"/>
      <c r="D293" s="1"/>
      <c r="E293" s="70" t="str">
        <f t="shared" si="1"/>
        <v/>
      </c>
      <c r="F293" s="1"/>
      <c r="G293" s="1"/>
      <c r="H293" s="1"/>
      <c r="I293" s="1"/>
      <c r="J293" s="1"/>
      <c r="K293" s="1"/>
      <c r="L293" s="53" t="str">
        <f t="shared" si="2"/>
        <v/>
      </c>
      <c r="M293" s="54" t="str">
        <f t="shared" si="3"/>
        <v/>
      </c>
      <c r="N293" s="81" t="str">
        <f t="shared" si="5"/>
        <v/>
      </c>
      <c r="O293" s="56">
        <f t="shared" si="6"/>
        <v>0</v>
      </c>
      <c r="P293" s="56">
        <f t="shared" si="7"/>
        <v>0</v>
      </c>
      <c r="Q293" s="65">
        <f t="shared" si="4"/>
        <v>0</v>
      </c>
      <c r="R293" s="1"/>
    </row>
    <row r="294">
      <c r="A294" s="1"/>
      <c r="B294" s="1"/>
      <c r="C294" s="1"/>
      <c r="D294" s="1"/>
      <c r="E294" s="70" t="str">
        <f t="shared" si="1"/>
        <v/>
      </c>
      <c r="F294" s="1"/>
      <c r="G294" s="1"/>
      <c r="H294" s="1"/>
      <c r="I294" s="1"/>
      <c r="J294" s="1"/>
      <c r="K294" s="1"/>
      <c r="L294" s="53" t="str">
        <f t="shared" si="2"/>
        <v/>
      </c>
      <c r="M294" s="54" t="str">
        <f t="shared" si="3"/>
        <v/>
      </c>
      <c r="N294" s="81" t="str">
        <f t="shared" si="5"/>
        <v/>
      </c>
      <c r="O294" s="56">
        <f t="shared" si="6"/>
        <v>0</v>
      </c>
      <c r="P294" s="56">
        <f t="shared" si="7"/>
        <v>0</v>
      </c>
      <c r="Q294" s="65">
        <f t="shared" si="4"/>
        <v>0</v>
      </c>
      <c r="R294" s="1"/>
    </row>
    <row r="295">
      <c r="A295" s="1"/>
      <c r="B295" s="1"/>
      <c r="C295" s="1"/>
      <c r="D295" s="1"/>
      <c r="E295" s="70" t="str">
        <f t="shared" si="1"/>
        <v/>
      </c>
      <c r="F295" s="1"/>
      <c r="G295" s="1"/>
      <c r="H295" s="1"/>
      <c r="I295" s="1"/>
      <c r="J295" s="1"/>
      <c r="K295" s="1"/>
      <c r="L295" s="53" t="str">
        <f t="shared" si="2"/>
        <v/>
      </c>
      <c r="M295" s="54" t="str">
        <f t="shared" si="3"/>
        <v/>
      </c>
      <c r="N295" s="81" t="str">
        <f t="shared" si="5"/>
        <v/>
      </c>
      <c r="O295" s="56">
        <f t="shared" si="6"/>
        <v>0</v>
      </c>
      <c r="P295" s="56">
        <f t="shared" si="7"/>
        <v>0</v>
      </c>
      <c r="Q295" s="65">
        <f t="shared" si="4"/>
        <v>0</v>
      </c>
      <c r="R295" s="1"/>
    </row>
    <row r="296">
      <c r="A296" s="1"/>
      <c r="B296" s="1"/>
      <c r="C296" s="1"/>
      <c r="D296" s="1"/>
      <c r="E296" s="70" t="str">
        <f t="shared" si="1"/>
        <v/>
      </c>
      <c r="F296" s="1"/>
      <c r="G296" s="1"/>
      <c r="H296" s="1"/>
      <c r="I296" s="1"/>
      <c r="J296" s="1"/>
      <c r="K296" s="1"/>
      <c r="L296" s="53" t="str">
        <f t="shared" si="2"/>
        <v/>
      </c>
      <c r="M296" s="54" t="str">
        <f t="shared" si="3"/>
        <v/>
      </c>
      <c r="N296" s="81" t="str">
        <f t="shared" si="5"/>
        <v/>
      </c>
      <c r="O296" s="56">
        <f t="shared" si="6"/>
        <v>0</v>
      </c>
      <c r="P296" s="56">
        <f t="shared" si="7"/>
        <v>0</v>
      </c>
      <c r="Q296" s="65">
        <f t="shared" si="4"/>
        <v>0</v>
      </c>
      <c r="R296" s="1"/>
    </row>
    <row r="297">
      <c r="A297" s="1"/>
      <c r="B297" s="1"/>
      <c r="C297" s="1"/>
      <c r="D297" s="1"/>
      <c r="E297" s="70" t="str">
        <f t="shared" si="1"/>
        <v/>
      </c>
      <c r="F297" s="1"/>
      <c r="G297" s="1"/>
      <c r="H297" s="1"/>
      <c r="I297" s="1"/>
      <c r="J297" s="1"/>
      <c r="K297" s="1"/>
      <c r="L297" s="53" t="str">
        <f t="shared" si="2"/>
        <v/>
      </c>
      <c r="M297" s="54" t="str">
        <f t="shared" si="3"/>
        <v/>
      </c>
      <c r="N297" s="81" t="str">
        <f t="shared" si="5"/>
        <v/>
      </c>
      <c r="O297" s="56">
        <f t="shared" si="6"/>
        <v>0</v>
      </c>
      <c r="P297" s="56">
        <f t="shared" si="7"/>
        <v>0</v>
      </c>
      <c r="Q297" s="65">
        <f t="shared" si="4"/>
        <v>0</v>
      </c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3" t="str">
        <f t="shared" si="2"/>
        <v/>
      </c>
      <c r="M298" s="54" t="str">
        <f t="shared" si="3"/>
        <v/>
      </c>
      <c r="N298" s="81" t="str">
        <f t="shared" si="5"/>
        <v/>
      </c>
      <c r="O298" s="56">
        <f t="shared" si="6"/>
        <v>0</v>
      </c>
      <c r="P298" s="56">
        <f t="shared" si="7"/>
        <v>0</v>
      </c>
      <c r="Q298" s="65">
        <f t="shared" si="4"/>
        <v>0</v>
      </c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3" t="str">
        <f t="shared" si="2"/>
        <v/>
      </c>
      <c r="M299" s="54" t="str">
        <f t="shared" si="3"/>
        <v/>
      </c>
      <c r="N299" s="81" t="str">
        <f t="shared" si="5"/>
        <v/>
      </c>
      <c r="O299" s="56">
        <f t="shared" si="6"/>
        <v>0</v>
      </c>
      <c r="P299" s="56">
        <f t="shared" si="7"/>
        <v>0</v>
      </c>
      <c r="Q299" s="65">
        <f t="shared" si="4"/>
        <v>0</v>
      </c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3" t="str">
        <f t="shared" si="2"/>
        <v/>
      </c>
      <c r="M300" s="54" t="str">
        <f t="shared" si="3"/>
        <v/>
      </c>
      <c r="N300" s="81" t="str">
        <f t="shared" si="5"/>
        <v/>
      </c>
      <c r="O300" s="56">
        <f t="shared" si="6"/>
        <v>0</v>
      </c>
      <c r="P300" s="56">
        <f t="shared" si="7"/>
        <v>0</v>
      </c>
      <c r="Q300" s="65">
        <f t="shared" si="4"/>
        <v>0</v>
      </c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3" t="str">
        <f t="shared" si="2"/>
        <v/>
      </c>
      <c r="M301" s="54" t="str">
        <f t="shared" si="3"/>
        <v/>
      </c>
      <c r="N301" s="81" t="str">
        <f t="shared" si="5"/>
        <v/>
      </c>
      <c r="O301" s="56">
        <f t="shared" si="6"/>
        <v>0</v>
      </c>
      <c r="P301" s="56">
        <f t="shared" si="7"/>
        <v>0</v>
      </c>
      <c r="Q301" s="65">
        <f t="shared" si="4"/>
        <v>0</v>
      </c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3" t="str">
        <f t="shared" si="2"/>
        <v/>
      </c>
      <c r="M302" s="54" t="str">
        <f t="shared" si="3"/>
        <v/>
      </c>
      <c r="N302" s="81" t="str">
        <f t="shared" si="5"/>
        <v/>
      </c>
      <c r="O302" s="56">
        <f t="shared" si="6"/>
        <v>0</v>
      </c>
      <c r="P302" s="56">
        <f t="shared" si="7"/>
        <v>0</v>
      </c>
      <c r="Q302" s="65">
        <f t="shared" si="4"/>
        <v>0</v>
      </c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3" t="str">
        <f t="shared" si="2"/>
        <v/>
      </c>
      <c r="M303" s="54" t="str">
        <f t="shared" si="3"/>
        <v/>
      </c>
      <c r="N303" s="81" t="str">
        <f t="shared" si="5"/>
        <v/>
      </c>
      <c r="O303" s="56">
        <f t="shared" si="6"/>
        <v>0</v>
      </c>
      <c r="P303" s="56">
        <f t="shared" si="7"/>
        <v>0</v>
      </c>
      <c r="Q303" s="65">
        <f t="shared" si="4"/>
        <v>0</v>
      </c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3" t="str">
        <f t="shared" si="2"/>
        <v/>
      </c>
      <c r="M304" s="54" t="str">
        <f t="shared" si="3"/>
        <v/>
      </c>
      <c r="N304" s="81" t="str">
        <f t="shared" si="5"/>
        <v/>
      </c>
      <c r="O304" s="56">
        <f t="shared" si="6"/>
        <v>0</v>
      </c>
      <c r="P304" s="56">
        <f t="shared" si="7"/>
        <v>0</v>
      </c>
      <c r="Q304" s="65">
        <f t="shared" si="4"/>
        <v>0</v>
      </c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3" t="str">
        <f t="shared" si="2"/>
        <v/>
      </c>
      <c r="M305" s="54" t="str">
        <f t="shared" si="3"/>
        <v/>
      </c>
      <c r="N305" s="81" t="str">
        <f t="shared" si="5"/>
        <v/>
      </c>
      <c r="O305" s="56">
        <f t="shared" si="6"/>
        <v>0</v>
      </c>
      <c r="P305" s="56">
        <f t="shared" si="7"/>
        <v>0</v>
      </c>
      <c r="Q305" s="65">
        <f t="shared" si="4"/>
        <v>0</v>
      </c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3" t="str">
        <f t="shared" si="2"/>
        <v/>
      </c>
      <c r="M306" s="54" t="str">
        <f t="shared" si="3"/>
        <v/>
      </c>
      <c r="N306" s="81" t="str">
        <f t="shared" si="5"/>
        <v/>
      </c>
      <c r="O306" s="56">
        <f t="shared" si="6"/>
        <v>0</v>
      </c>
      <c r="P306" s="56">
        <f t="shared" si="7"/>
        <v>0</v>
      </c>
      <c r="Q306" s="65">
        <f t="shared" si="4"/>
        <v>0</v>
      </c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3" t="str">
        <f t="shared" si="2"/>
        <v/>
      </c>
      <c r="M307" s="54" t="str">
        <f t="shared" si="3"/>
        <v/>
      </c>
      <c r="N307" s="81" t="str">
        <f t="shared" si="5"/>
        <v/>
      </c>
      <c r="O307" s="56">
        <f t="shared" si="6"/>
        <v>0</v>
      </c>
      <c r="P307" s="56">
        <f t="shared" si="7"/>
        <v>0</v>
      </c>
      <c r="Q307" s="65">
        <f t="shared" si="4"/>
        <v>0</v>
      </c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3" t="str">
        <f t="shared" si="2"/>
        <v/>
      </c>
      <c r="M308" s="54" t="str">
        <f t="shared" si="3"/>
        <v/>
      </c>
      <c r="N308" s="81" t="str">
        <f t="shared" si="5"/>
        <v/>
      </c>
      <c r="O308" s="56">
        <f t="shared" si="6"/>
        <v>0</v>
      </c>
      <c r="P308" s="56">
        <f t="shared" si="7"/>
        <v>0</v>
      </c>
      <c r="Q308" s="65">
        <f t="shared" si="4"/>
        <v>0</v>
      </c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3" t="str">
        <f t="shared" si="2"/>
        <v/>
      </c>
      <c r="M309" s="54" t="str">
        <f t="shared" si="3"/>
        <v/>
      </c>
      <c r="N309" s="81" t="str">
        <f t="shared" si="5"/>
        <v/>
      </c>
      <c r="O309" s="56">
        <f t="shared" si="6"/>
        <v>0</v>
      </c>
      <c r="P309" s="56">
        <f t="shared" si="7"/>
        <v>0</v>
      </c>
      <c r="Q309" s="65">
        <f t="shared" si="4"/>
        <v>0</v>
      </c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3" t="str">
        <f t="shared" si="2"/>
        <v/>
      </c>
      <c r="M310" s="54" t="str">
        <f t="shared" si="3"/>
        <v/>
      </c>
      <c r="N310" s="81" t="str">
        <f t="shared" si="5"/>
        <v/>
      </c>
      <c r="O310" s="56">
        <f t="shared" si="6"/>
        <v>0</v>
      </c>
      <c r="P310" s="56">
        <f t="shared" si="7"/>
        <v>0</v>
      </c>
      <c r="Q310" s="65">
        <f t="shared" si="4"/>
        <v>0</v>
      </c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3" t="str">
        <f t="shared" si="2"/>
        <v/>
      </c>
      <c r="M311" s="54" t="str">
        <f t="shared" si="3"/>
        <v/>
      </c>
      <c r="N311" s="81" t="str">
        <f t="shared" si="5"/>
        <v/>
      </c>
      <c r="O311" s="56">
        <f t="shared" si="6"/>
        <v>0</v>
      </c>
      <c r="P311" s="56">
        <f t="shared" si="7"/>
        <v>0</v>
      </c>
      <c r="Q311" s="65">
        <f t="shared" si="4"/>
        <v>0</v>
      </c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3" t="str">
        <f t="shared" si="2"/>
        <v/>
      </c>
      <c r="M312" s="54" t="str">
        <f t="shared" si="3"/>
        <v/>
      </c>
      <c r="N312" s="81" t="str">
        <f t="shared" si="5"/>
        <v/>
      </c>
      <c r="O312" s="56">
        <f t="shared" si="6"/>
        <v>0</v>
      </c>
      <c r="P312" s="56">
        <f t="shared" si="7"/>
        <v>0</v>
      </c>
      <c r="Q312" s="65">
        <f t="shared" si="4"/>
        <v>0</v>
      </c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3" t="str">
        <f t="shared" si="2"/>
        <v/>
      </c>
      <c r="M313" s="54" t="str">
        <f t="shared" si="3"/>
        <v/>
      </c>
      <c r="N313" s="81" t="str">
        <f t="shared" si="5"/>
        <v/>
      </c>
      <c r="O313" s="56">
        <f t="shared" si="6"/>
        <v>0</v>
      </c>
      <c r="P313" s="56">
        <f t="shared" si="7"/>
        <v>0</v>
      </c>
      <c r="Q313" s="65">
        <f t="shared" si="4"/>
        <v>0</v>
      </c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3" t="str">
        <f t="shared" si="2"/>
        <v/>
      </c>
      <c r="M314" s="54" t="str">
        <f t="shared" si="3"/>
        <v/>
      </c>
      <c r="N314" s="81" t="str">
        <f t="shared" si="5"/>
        <v/>
      </c>
      <c r="O314" s="56">
        <f t="shared" si="6"/>
        <v>0</v>
      </c>
      <c r="P314" s="56">
        <f t="shared" si="7"/>
        <v>0</v>
      </c>
      <c r="Q314" s="65">
        <f t="shared" si="4"/>
        <v>0</v>
      </c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3" t="str">
        <f t="shared" si="2"/>
        <v/>
      </c>
      <c r="M315" s="54" t="str">
        <f t="shared" si="3"/>
        <v/>
      </c>
      <c r="N315" s="81" t="str">
        <f t="shared" si="5"/>
        <v/>
      </c>
      <c r="O315" s="56">
        <f t="shared" si="6"/>
        <v>0</v>
      </c>
      <c r="P315" s="56">
        <f t="shared" si="7"/>
        <v>0</v>
      </c>
      <c r="Q315" s="65">
        <f t="shared" si="4"/>
        <v>0</v>
      </c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3" t="str">
        <f t="shared" si="2"/>
        <v/>
      </c>
      <c r="M316" s="54" t="str">
        <f t="shared" si="3"/>
        <v/>
      </c>
      <c r="N316" s="81" t="str">
        <f t="shared" si="5"/>
        <v/>
      </c>
      <c r="O316" s="56">
        <f t="shared" si="6"/>
        <v>0</v>
      </c>
      <c r="P316" s="56">
        <f t="shared" si="7"/>
        <v>0</v>
      </c>
      <c r="Q316" s="65">
        <f t="shared" si="4"/>
        <v>0</v>
      </c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3" t="str">
        <f t="shared" si="2"/>
        <v/>
      </c>
      <c r="M317" s="54" t="str">
        <f t="shared" si="3"/>
        <v/>
      </c>
      <c r="N317" s="81" t="str">
        <f t="shared" si="5"/>
        <v/>
      </c>
      <c r="O317" s="56">
        <f t="shared" si="6"/>
        <v>0</v>
      </c>
      <c r="P317" s="56">
        <f t="shared" si="7"/>
        <v>0</v>
      </c>
      <c r="Q317" s="65">
        <f t="shared" si="4"/>
        <v>0</v>
      </c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3" t="str">
        <f t="shared" si="2"/>
        <v/>
      </c>
      <c r="M318" s="54" t="str">
        <f t="shared" si="3"/>
        <v/>
      </c>
      <c r="N318" s="81" t="str">
        <f t="shared" si="5"/>
        <v/>
      </c>
      <c r="O318" s="56">
        <f t="shared" si="6"/>
        <v>0</v>
      </c>
      <c r="P318" s="56">
        <f t="shared" si="7"/>
        <v>0</v>
      </c>
      <c r="Q318" s="65">
        <f t="shared" si="4"/>
        <v>0</v>
      </c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3" t="str">
        <f t="shared" si="2"/>
        <v/>
      </c>
      <c r="M319" s="54" t="str">
        <f t="shared" si="3"/>
        <v/>
      </c>
      <c r="N319" s="81" t="str">
        <f t="shared" si="5"/>
        <v/>
      </c>
      <c r="O319" s="56">
        <f t="shared" si="6"/>
        <v>0</v>
      </c>
      <c r="P319" s="56">
        <f t="shared" si="7"/>
        <v>0</v>
      </c>
      <c r="Q319" s="65">
        <f t="shared" si="4"/>
        <v>0</v>
      </c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3" t="str">
        <f t="shared" si="2"/>
        <v/>
      </c>
      <c r="M320" s="54" t="str">
        <f t="shared" si="3"/>
        <v/>
      </c>
      <c r="N320" s="81" t="str">
        <f t="shared" si="5"/>
        <v/>
      </c>
      <c r="O320" s="56">
        <f t="shared" si="6"/>
        <v>0</v>
      </c>
      <c r="P320" s="56">
        <f t="shared" si="7"/>
        <v>0</v>
      </c>
      <c r="Q320" s="65">
        <f t="shared" si="4"/>
        <v>0</v>
      </c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0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41" t="s">
        <v>23</v>
      </c>
      <c r="C4" s="19">
        <v>45919.0</v>
      </c>
      <c r="D4" s="84">
        <v>433.79</v>
      </c>
      <c r="E4" s="70"/>
      <c r="F4" s="22"/>
      <c r="G4" s="82" t="str">
        <f>IFERROR(__xludf.DUMMYFUNCTION("filter(B4:E1001,B4:B1001&lt;&gt;"""",B4:B1001&lt;&gt;""BAJA"")"),"ALTA")</f>
        <v>ALTA</v>
      </c>
      <c r="H4" s="24">
        <f>IFERROR(__xludf.DUMMYFUNCTION("""COMPUTED_VALUE"""),44896.0)</f>
        <v>44896</v>
      </c>
      <c r="I4" s="25">
        <f>IFERROR(__xludf.DUMMYFUNCTION("""COMPUTED_VALUE"""),433.79)</f>
        <v>433.79</v>
      </c>
      <c r="J4" s="26">
        <f>IFERROR(__xludf.DUMMYFUNCTION("""COMPUTED_VALUE"""),45919.0)</f>
        <v>45919</v>
      </c>
      <c r="K4" s="1"/>
      <c r="L4" s="27" t="s">
        <v>10</v>
      </c>
      <c r="M4" s="28"/>
      <c r="N4" s="28"/>
      <c r="O4" s="28"/>
      <c r="P4" s="29"/>
      <c r="Q4" s="30">
        <f>SUM(O8:O320)</f>
        <v>941.8571429</v>
      </c>
      <c r="R4" s="1"/>
    </row>
    <row r="5">
      <c r="A5" s="1"/>
      <c r="B5" s="41" t="s">
        <v>25</v>
      </c>
      <c r="C5" s="76">
        <v>44896.0</v>
      </c>
      <c r="D5" s="84">
        <v>433.79</v>
      </c>
      <c r="E5" s="31">
        <f t="shared" ref="E5:E297" si="1">C4</f>
        <v>45919</v>
      </c>
      <c r="F5" s="22"/>
      <c r="G5" s="82" t="str">
        <f>IFERROR(__xludf.DUMMYFUNCTION("""COMPUTED_VALUE"""),"ALTA")</f>
        <v>ALTA</v>
      </c>
      <c r="H5" s="24">
        <f>IFERROR(__xludf.DUMMYFUNCTION("""COMPUTED_VALUE"""),39326.0)</f>
        <v>39326</v>
      </c>
      <c r="I5" s="25">
        <f>IFERROR(__xludf.DUMMYFUNCTION("""COMPUTED_VALUE"""),334.46)</f>
        <v>334.46</v>
      </c>
      <c r="J5" s="26">
        <f>IFERROR(__xludf.DUMMYFUNCTION("""COMPUTED_VALUE"""),44895.0)</f>
        <v>44895</v>
      </c>
      <c r="K5" s="1"/>
      <c r="L5" s="32" t="s">
        <v>11</v>
      </c>
      <c r="M5" s="33"/>
      <c r="N5" s="33"/>
      <c r="O5" s="33"/>
      <c r="P5" s="34"/>
      <c r="Q5" s="35">
        <v>250.0</v>
      </c>
      <c r="R5" s="1"/>
      <c r="U5" s="36"/>
      <c r="AD5" s="36"/>
    </row>
    <row r="6">
      <c r="A6" s="1"/>
      <c r="B6" s="41" t="s">
        <v>23</v>
      </c>
      <c r="C6" s="19">
        <v>44895.0</v>
      </c>
      <c r="D6" s="20">
        <v>334.46</v>
      </c>
      <c r="E6" s="31">
        <f t="shared" si="1"/>
        <v>44896</v>
      </c>
      <c r="F6" s="22"/>
      <c r="G6" s="82" t="str">
        <f>IFERROR(__xludf.DUMMYFUNCTION("""COMPUTED_VALUE"""),"ALTA")</f>
        <v>ALTA</v>
      </c>
      <c r="H6" s="24"/>
      <c r="I6" s="25"/>
      <c r="J6" s="26"/>
      <c r="K6" s="1"/>
      <c r="L6" s="37" t="s">
        <v>12</v>
      </c>
      <c r="M6" s="38"/>
      <c r="N6" s="38"/>
      <c r="O6" s="39"/>
      <c r="P6" s="39"/>
      <c r="Q6" s="40">
        <f>SUM(Q8:Q151)/250</f>
        <v>392.58224</v>
      </c>
      <c r="R6" s="40">
        <f>Q6*30.4</f>
        <v>11934.5001</v>
      </c>
      <c r="AA6" s="36"/>
      <c r="AJ6" s="36"/>
    </row>
    <row r="7">
      <c r="A7" s="41"/>
      <c r="B7" s="41" t="s">
        <v>25</v>
      </c>
      <c r="C7" s="19">
        <v>39326.0</v>
      </c>
      <c r="D7" s="20">
        <v>334.46</v>
      </c>
      <c r="E7" s="31">
        <f t="shared" si="1"/>
        <v>44895</v>
      </c>
      <c r="F7" s="22"/>
      <c r="G7" s="82" t="str">
        <f>IFERROR(__xludf.DUMMYFUNCTION("""COMPUTED_VALUE"""),"ALTA")</f>
        <v>ALTA</v>
      </c>
      <c r="H7" s="26"/>
      <c r="I7" s="25"/>
      <c r="J7" s="26"/>
      <c r="K7" s="1"/>
      <c r="L7" s="42" t="s">
        <v>4</v>
      </c>
      <c r="M7" s="43" t="s">
        <v>6</v>
      </c>
      <c r="N7" s="44" t="s">
        <v>5</v>
      </c>
      <c r="O7" s="42" t="s">
        <v>13</v>
      </c>
      <c r="P7" s="42" t="s">
        <v>14</v>
      </c>
      <c r="Q7" s="45" t="s">
        <v>15</v>
      </c>
      <c r="R7" s="1"/>
      <c r="AA7" s="48"/>
      <c r="AB7" s="48"/>
      <c r="AC7" s="48"/>
      <c r="AK7" s="49"/>
      <c r="AL7" s="49"/>
    </row>
    <row r="8">
      <c r="A8" s="41"/>
      <c r="B8" s="41" t="s">
        <v>23</v>
      </c>
      <c r="C8" s="19"/>
      <c r="D8" s="20"/>
      <c r="E8" s="31">
        <f t="shared" si="1"/>
        <v>39326</v>
      </c>
      <c r="F8" s="22"/>
      <c r="G8" s="1" t="str">
        <f>IFERROR(__xludf.DUMMYFUNCTION("""COMPUTED_VALUE"""),"ALTA")</f>
        <v>ALTA</v>
      </c>
      <c r="H8" s="51"/>
      <c r="I8" s="52"/>
      <c r="J8" s="51"/>
      <c r="K8" s="1"/>
      <c r="L8" s="53">
        <f t="shared" ref="L8:L320" si="2">H4</f>
        <v>44896</v>
      </c>
      <c r="M8" s="54">
        <f t="shared" ref="M8:M320" si="3">J4</f>
        <v>45919</v>
      </c>
      <c r="N8" s="55">
        <f>VALUE(I4)</f>
        <v>433.79</v>
      </c>
      <c r="O8" s="56">
        <f>DATEDIF(H4-1,J4,"d")/7</f>
        <v>146.2857143</v>
      </c>
      <c r="P8" s="56">
        <f>IF((M8-(L8-1))/7&gt;250,250,(M8-(L8-1))/7)</f>
        <v>146.2857143</v>
      </c>
      <c r="Q8" s="57">
        <f t="shared" ref="Q8:Q320" si="4">IF(P8&gt;0,P8*N8,0)</f>
        <v>63457.28</v>
      </c>
      <c r="R8" s="1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49"/>
      <c r="AL8" s="49"/>
      <c r="AM8" s="62"/>
      <c r="AN8" s="62"/>
    </row>
    <row r="9">
      <c r="A9" s="41"/>
      <c r="B9" s="41" t="s">
        <v>25</v>
      </c>
      <c r="C9" s="19"/>
      <c r="D9" s="20"/>
      <c r="E9" s="31" t="str">
        <f t="shared" si="1"/>
        <v/>
      </c>
      <c r="F9" s="22"/>
      <c r="G9" s="1"/>
      <c r="H9" s="51"/>
      <c r="I9" s="52"/>
      <c r="J9" s="51"/>
      <c r="K9" s="1"/>
      <c r="L9" s="53">
        <f t="shared" si="2"/>
        <v>39326</v>
      </c>
      <c r="M9" s="54">
        <f t="shared" si="3"/>
        <v>44895</v>
      </c>
      <c r="N9" s="55">
        <f t="shared" ref="N9:N320" si="5">I5</f>
        <v>334.46</v>
      </c>
      <c r="O9" s="56">
        <f t="shared" ref="O9:O320" si="6">IF(H5="",0,DATEDIF(H5,J5,"d")/7)</f>
        <v>795.5714286</v>
      </c>
      <c r="P9" s="56">
        <f t="shared" ref="P9:P320" si="7">IF((M9-L9)/7+SUM($P$8:P8)&gt;250,(250-SUM($P$8:P8)),(M9-L9)/7)</f>
        <v>103.7142857</v>
      </c>
      <c r="Q9" s="63">
        <f t="shared" si="4"/>
        <v>34688.28</v>
      </c>
      <c r="R9" s="1"/>
      <c r="AK9" s="49"/>
      <c r="AL9" s="49"/>
    </row>
    <row r="10">
      <c r="A10" s="41"/>
      <c r="B10" s="41" t="s">
        <v>23</v>
      </c>
      <c r="C10" s="19"/>
      <c r="D10" s="20"/>
      <c r="E10" s="21" t="str">
        <f t="shared" si="1"/>
        <v/>
      </c>
      <c r="F10" s="22"/>
      <c r="G10" s="1"/>
      <c r="H10" s="51"/>
      <c r="I10" s="52"/>
      <c r="J10" s="51"/>
      <c r="K10" s="1"/>
      <c r="L10" s="53" t="str">
        <f t="shared" si="2"/>
        <v/>
      </c>
      <c r="M10" s="54" t="str">
        <f t="shared" si="3"/>
        <v/>
      </c>
      <c r="N10" s="55" t="str">
        <f t="shared" si="5"/>
        <v/>
      </c>
      <c r="O10" s="56">
        <f t="shared" si="6"/>
        <v>0</v>
      </c>
      <c r="P10" s="56">
        <f t="shared" si="7"/>
        <v>0</v>
      </c>
      <c r="Q10" s="65">
        <f t="shared" si="4"/>
        <v>0</v>
      </c>
      <c r="R10" s="1"/>
      <c r="AK10" s="49"/>
      <c r="AL10" s="49"/>
    </row>
    <row r="11">
      <c r="A11" s="41"/>
      <c r="B11" s="41" t="s">
        <v>25</v>
      </c>
      <c r="C11" s="19"/>
      <c r="D11" s="20"/>
      <c r="E11" s="21" t="str">
        <f t="shared" si="1"/>
        <v/>
      </c>
      <c r="F11" s="22"/>
      <c r="G11" s="1"/>
      <c r="H11" s="51"/>
      <c r="I11" s="52"/>
      <c r="J11" s="51"/>
      <c r="K11" s="1"/>
      <c r="L11" s="53" t="str">
        <f t="shared" si="2"/>
        <v/>
      </c>
      <c r="M11" s="54" t="str">
        <f t="shared" si="3"/>
        <v/>
      </c>
      <c r="N11" s="55" t="str">
        <f t="shared" si="5"/>
        <v/>
      </c>
      <c r="O11" s="56">
        <f t="shared" si="6"/>
        <v>0</v>
      </c>
      <c r="P11" s="56">
        <f t="shared" si="7"/>
        <v>0</v>
      </c>
      <c r="Q11" s="65">
        <f t="shared" si="4"/>
        <v>0</v>
      </c>
      <c r="R11" s="1"/>
      <c r="AK11" s="49"/>
      <c r="AL11" s="49"/>
    </row>
    <row r="12">
      <c r="A12" s="41"/>
      <c r="B12" s="41" t="s">
        <v>23</v>
      </c>
      <c r="C12" s="19"/>
      <c r="D12" s="20"/>
      <c r="E12" s="21" t="str">
        <f t="shared" si="1"/>
        <v/>
      </c>
      <c r="F12" s="22"/>
      <c r="G12" s="1"/>
      <c r="H12" s="51"/>
      <c r="I12" s="52"/>
      <c r="J12" s="51"/>
      <c r="K12" s="1"/>
      <c r="L12" s="53" t="str">
        <f t="shared" si="2"/>
        <v/>
      </c>
      <c r="M12" s="54" t="str">
        <f t="shared" si="3"/>
        <v/>
      </c>
      <c r="N12" s="67" t="str">
        <f t="shared" si="5"/>
        <v/>
      </c>
      <c r="O12" s="56">
        <f t="shared" si="6"/>
        <v>0</v>
      </c>
      <c r="P12" s="56">
        <f t="shared" si="7"/>
        <v>0</v>
      </c>
      <c r="Q12" s="65">
        <f t="shared" si="4"/>
        <v>0</v>
      </c>
      <c r="R12" s="1"/>
      <c r="AK12" s="49"/>
      <c r="AL12" s="49"/>
    </row>
    <row r="13">
      <c r="A13" s="41"/>
      <c r="B13" s="41" t="s">
        <v>25</v>
      </c>
      <c r="C13" s="19"/>
      <c r="D13" s="20"/>
      <c r="E13" s="21" t="str">
        <f t="shared" si="1"/>
        <v/>
      </c>
      <c r="F13" s="22"/>
      <c r="G13" s="1"/>
      <c r="H13" s="51"/>
      <c r="I13" s="52"/>
      <c r="J13" s="51"/>
      <c r="K13" s="1"/>
      <c r="L13" s="53" t="str">
        <f t="shared" si="2"/>
        <v/>
      </c>
      <c r="M13" s="54" t="str">
        <f t="shared" si="3"/>
        <v/>
      </c>
      <c r="N13" s="67" t="str">
        <f t="shared" si="5"/>
        <v/>
      </c>
      <c r="O13" s="56">
        <f t="shared" si="6"/>
        <v>0</v>
      </c>
      <c r="P13" s="56">
        <f t="shared" si="7"/>
        <v>0</v>
      </c>
      <c r="Q13" s="65">
        <f t="shared" si="4"/>
        <v>0</v>
      </c>
      <c r="R13" s="1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K13" s="49"/>
      <c r="AL13" s="49"/>
      <c r="AM13" s="68"/>
      <c r="AN13" s="68"/>
    </row>
    <row r="14">
      <c r="A14" s="41"/>
      <c r="B14" s="41"/>
      <c r="C14" s="19"/>
      <c r="D14" s="20"/>
      <c r="E14" s="21" t="str">
        <f t="shared" si="1"/>
        <v/>
      </c>
      <c r="F14" s="22"/>
      <c r="G14" s="1"/>
      <c r="H14" s="51"/>
      <c r="I14" s="52"/>
      <c r="J14" s="51"/>
      <c r="K14" s="1"/>
      <c r="L14" s="53" t="str">
        <f t="shared" si="2"/>
        <v/>
      </c>
      <c r="M14" s="54" t="str">
        <f t="shared" si="3"/>
        <v/>
      </c>
      <c r="N14" s="67" t="str">
        <f t="shared" si="5"/>
        <v/>
      </c>
      <c r="O14" s="56">
        <f t="shared" si="6"/>
        <v>0</v>
      </c>
      <c r="P14" s="56">
        <f t="shared" si="7"/>
        <v>0</v>
      </c>
      <c r="Q14" s="65">
        <f t="shared" si="4"/>
        <v>0</v>
      </c>
      <c r="R14" s="1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K14" s="49"/>
      <c r="AL14" s="49"/>
      <c r="AM14" s="68"/>
      <c r="AN14" s="68"/>
    </row>
    <row r="15">
      <c r="A15" s="41"/>
      <c r="B15" s="41"/>
      <c r="C15" s="19"/>
      <c r="D15" s="20"/>
      <c r="E15" s="21" t="str">
        <f t="shared" si="1"/>
        <v/>
      </c>
      <c r="F15" s="22"/>
      <c r="G15" s="1"/>
      <c r="H15" s="51"/>
      <c r="I15" s="52"/>
      <c r="J15" s="51"/>
      <c r="K15" s="1"/>
      <c r="L15" s="53" t="str">
        <f t="shared" si="2"/>
        <v/>
      </c>
      <c r="M15" s="54" t="str">
        <f t="shared" si="3"/>
        <v/>
      </c>
      <c r="N15" s="67" t="str">
        <f t="shared" si="5"/>
        <v/>
      </c>
      <c r="O15" s="56">
        <f t="shared" si="6"/>
        <v>0</v>
      </c>
      <c r="P15" s="56">
        <f t="shared" si="7"/>
        <v>0</v>
      </c>
      <c r="Q15" s="65">
        <f t="shared" si="4"/>
        <v>0</v>
      </c>
      <c r="R15" s="1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9"/>
      <c r="AL15" s="49"/>
      <c r="AM15" s="68"/>
      <c r="AN15" s="68"/>
    </row>
    <row r="16">
      <c r="A16" s="41"/>
      <c r="B16" s="41"/>
      <c r="C16" s="19"/>
      <c r="D16" s="20"/>
      <c r="E16" s="21" t="str">
        <f t="shared" si="1"/>
        <v/>
      </c>
      <c r="F16" s="22"/>
      <c r="G16" s="1"/>
      <c r="H16" s="51"/>
      <c r="I16" s="52"/>
      <c r="J16" s="51"/>
      <c r="K16" s="1"/>
      <c r="L16" s="53" t="str">
        <f t="shared" si="2"/>
        <v/>
      </c>
      <c r="M16" s="54" t="str">
        <f t="shared" si="3"/>
        <v/>
      </c>
      <c r="N16" s="67" t="str">
        <f t="shared" si="5"/>
        <v/>
      </c>
      <c r="O16" s="56">
        <f t="shared" si="6"/>
        <v>0</v>
      </c>
      <c r="P16" s="56">
        <f t="shared" si="7"/>
        <v>0</v>
      </c>
      <c r="Q16" s="65">
        <f t="shared" si="4"/>
        <v>0</v>
      </c>
      <c r="R16" s="1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9"/>
      <c r="AL16" s="49"/>
      <c r="AM16" s="68"/>
      <c r="AN16" s="68"/>
    </row>
    <row r="17">
      <c r="A17" s="41"/>
      <c r="B17" s="41"/>
      <c r="C17" s="19"/>
      <c r="D17" s="20"/>
      <c r="E17" s="21" t="str">
        <f t="shared" si="1"/>
        <v/>
      </c>
      <c r="F17" s="22"/>
      <c r="G17" s="1"/>
      <c r="H17" s="51"/>
      <c r="I17" s="52"/>
      <c r="J17" s="51"/>
      <c r="K17" s="1"/>
      <c r="L17" s="53" t="str">
        <f t="shared" si="2"/>
        <v/>
      </c>
      <c r="M17" s="54" t="str">
        <f t="shared" si="3"/>
        <v/>
      </c>
      <c r="N17" s="67" t="str">
        <f t="shared" si="5"/>
        <v/>
      </c>
      <c r="O17" s="56">
        <f t="shared" si="6"/>
        <v>0</v>
      </c>
      <c r="P17" s="56">
        <f t="shared" si="7"/>
        <v>0</v>
      </c>
      <c r="Q17" s="65">
        <f t="shared" si="4"/>
        <v>0</v>
      </c>
      <c r="R17" s="1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9"/>
      <c r="AL17" s="49"/>
      <c r="AM17" s="68"/>
      <c r="AN17" s="68"/>
    </row>
    <row r="18">
      <c r="A18" s="41"/>
      <c r="B18" s="41"/>
      <c r="C18" s="19"/>
      <c r="D18" s="20"/>
      <c r="E18" s="21" t="str">
        <f t="shared" si="1"/>
        <v/>
      </c>
      <c r="F18" s="22"/>
      <c r="G18" s="1"/>
      <c r="H18" s="51"/>
      <c r="I18" s="52"/>
      <c r="J18" s="51"/>
      <c r="K18" s="1"/>
      <c r="L18" s="53" t="str">
        <f t="shared" si="2"/>
        <v/>
      </c>
      <c r="M18" s="54" t="str">
        <f t="shared" si="3"/>
        <v/>
      </c>
      <c r="N18" s="67" t="str">
        <f t="shared" si="5"/>
        <v/>
      </c>
      <c r="O18" s="56">
        <f t="shared" si="6"/>
        <v>0</v>
      </c>
      <c r="P18" s="56">
        <f t="shared" si="7"/>
        <v>0</v>
      </c>
      <c r="Q18" s="65">
        <f t="shared" si="4"/>
        <v>0</v>
      </c>
      <c r="R18" s="1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9"/>
      <c r="AL18" s="49"/>
      <c r="AM18" s="68"/>
      <c r="AN18" s="68"/>
    </row>
    <row r="19">
      <c r="A19" s="41"/>
      <c r="B19" s="41"/>
      <c r="C19" s="19"/>
      <c r="D19" s="20"/>
      <c r="E19" s="21" t="str">
        <f t="shared" si="1"/>
        <v/>
      </c>
      <c r="F19" s="22"/>
      <c r="G19" s="1"/>
      <c r="H19" s="51"/>
      <c r="I19" s="52"/>
      <c r="J19" s="51"/>
      <c r="K19" s="1"/>
      <c r="L19" s="53" t="str">
        <f t="shared" si="2"/>
        <v/>
      </c>
      <c r="M19" s="54" t="str">
        <f t="shared" si="3"/>
        <v/>
      </c>
      <c r="N19" s="67" t="str">
        <f t="shared" si="5"/>
        <v/>
      </c>
      <c r="O19" s="56">
        <f t="shared" si="6"/>
        <v>0</v>
      </c>
      <c r="P19" s="56">
        <f t="shared" si="7"/>
        <v>0</v>
      </c>
      <c r="Q19" s="65">
        <f t="shared" si="4"/>
        <v>0</v>
      </c>
      <c r="R19" s="1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9"/>
      <c r="AL19" s="49"/>
      <c r="AM19" s="68"/>
      <c r="AN19" s="68"/>
    </row>
    <row r="20">
      <c r="A20" s="41"/>
      <c r="B20" s="41"/>
      <c r="C20" s="19"/>
      <c r="D20" s="20"/>
      <c r="E20" s="21" t="str">
        <f t="shared" si="1"/>
        <v/>
      </c>
      <c r="F20" s="22"/>
      <c r="G20" s="1"/>
      <c r="H20" s="51"/>
      <c r="I20" s="52"/>
      <c r="J20" s="51"/>
      <c r="K20" s="1"/>
      <c r="L20" s="53" t="str">
        <f t="shared" si="2"/>
        <v/>
      </c>
      <c r="M20" s="54" t="str">
        <f t="shared" si="3"/>
        <v/>
      </c>
      <c r="N20" s="67" t="str">
        <f t="shared" si="5"/>
        <v/>
      </c>
      <c r="O20" s="56">
        <f t="shared" si="6"/>
        <v>0</v>
      </c>
      <c r="P20" s="56">
        <f t="shared" si="7"/>
        <v>0</v>
      </c>
      <c r="Q20" s="65">
        <f t="shared" si="4"/>
        <v>0</v>
      </c>
      <c r="R20" s="1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9"/>
      <c r="AL20" s="49"/>
      <c r="AM20" s="68"/>
      <c r="AN20" s="68"/>
    </row>
    <row r="21">
      <c r="A21" s="41"/>
      <c r="B21" s="41"/>
      <c r="C21" s="19"/>
      <c r="D21" s="20"/>
      <c r="E21" s="21" t="str">
        <f t="shared" si="1"/>
        <v/>
      </c>
      <c r="F21" s="22"/>
      <c r="G21" s="1"/>
      <c r="H21" s="51"/>
      <c r="I21" s="52"/>
      <c r="J21" s="51"/>
      <c r="K21" s="1"/>
      <c r="L21" s="53" t="str">
        <f t="shared" si="2"/>
        <v/>
      </c>
      <c r="M21" s="54" t="str">
        <f t="shared" si="3"/>
        <v/>
      </c>
      <c r="N21" s="67" t="str">
        <f t="shared" si="5"/>
        <v/>
      </c>
      <c r="O21" s="56">
        <f t="shared" si="6"/>
        <v>0</v>
      </c>
      <c r="P21" s="56">
        <f t="shared" si="7"/>
        <v>0</v>
      </c>
      <c r="Q21" s="65">
        <f t="shared" si="4"/>
        <v>0</v>
      </c>
      <c r="R21" s="1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9"/>
      <c r="AL21" s="49"/>
      <c r="AM21" s="68"/>
      <c r="AN21" s="68"/>
    </row>
    <row r="22">
      <c r="A22" s="41"/>
      <c r="B22" s="41"/>
      <c r="C22" s="19"/>
      <c r="D22" s="20"/>
      <c r="E22" s="21" t="str">
        <f t="shared" si="1"/>
        <v/>
      </c>
      <c r="F22" s="22"/>
      <c r="G22" s="1"/>
      <c r="H22" s="51"/>
      <c r="I22" s="52"/>
      <c r="J22" s="51"/>
      <c r="K22" s="1"/>
      <c r="L22" s="53" t="str">
        <f t="shared" si="2"/>
        <v/>
      </c>
      <c r="M22" s="54" t="str">
        <f t="shared" si="3"/>
        <v/>
      </c>
      <c r="N22" s="67" t="str">
        <f t="shared" si="5"/>
        <v/>
      </c>
      <c r="O22" s="56">
        <f t="shared" si="6"/>
        <v>0</v>
      </c>
      <c r="P22" s="56">
        <f t="shared" si="7"/>
        <v>0</v>
      </c>
      <c r="Q22" s="65">
        <f t="shared" si="4"/>
        <v>0</v>
      </c>
      <c r="R22" s="1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9"/>
      <c r="AL22" s="49"/>
      <c r="AM22" s="68"/>
      <c r="AN22" s="68"/>
    </row>
    <row r="23">
      <c r="A23" s="41"/>
      <c r="B23" s="41"/>
      <c r="C23" s="19"/>
      <c r="D23" s="20"/>
      <c r="E23" s="21" t="str">
        <f t="shared" si="1"/>
        <v/>
      </c>
      <c r="F23" s="22"/>
      <c r="G23" s="1"/>
      <c r="H23" s="51"/>
      <c r="I23" s="52"/>
      <c r="J23" s="51"/>
      <c r="K23" s="1"/>
      <c r="L23" s="53" t="str">
        <f t="shared" si="2"/>
        <v/>
      </c>
      <c r="M23" s="54" t="str">
        <f t="shared" si="3"/>
        <v/>
      </c>
      <c r="N23" s="67" t="str">
        <f t="shared" si="5"/>
        <v/>
      </c>
      <c r="O23" s="56">
        <f t="shared" si="6"/>
        <v>0</v>
      </c>
      <c r="P23" s="56">
        <f t="shared" si="7"/>
        <v>0</v>
      </c>
      <c r="Q23" s="65">
        <f t="shared" si="4"/>
        <v>0</v>
      </c>
      <c r="R23" s="1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9"/>
      <c r="AL23" s="49"/>
      <c r="AM23" s="68"/>
      <c r="AN23" s="68"/>
    </row>
    <row r="24">
      <c r="A24" s="41"/>
      <c r="B24" s="41"/>
      <c r="C24" s="19"/>
      <c r="D24" s="20"/>
      <c r="E24" s="21" t="str">
        <f t="shared" si="1"/>
        <v/>
      </c>
      <c r="F24" s="1"/>
      <c r="G24" s="1"/>
      <c r="H24" s="51"/>
      <c r="I24" s="52"/>
      <c r="J24" s="51"/>
      <c r="K24" s="1"/>
      <c r="L24" s="53" t="str">
        <f t="shared" si="2"/>
        <v/>
      </c>
      <c r="M24" s="54" t="str">
        <f t="shared" si="3"/>
        <v/>
      </c>
      <c r="N24" s="67" t="str">
        <f t="shared" si="5"/>
        <v/>
      </c>
      <c r="O24" s="56">
        <f t="shared" si="6"/>
        <v>0</v>
      </c>
      <c r="P24" s="56">
        <f t="shared" si="7"/>
        <v>0</v>
      </c>
      <c r="Q24" s="65">
        <f t="shared" si="4"/>
        <v>0</v>
      </c>
      <c r="R24" s="1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9"/>
      <c r="AL24" s="49"/>
      <c r="AM24" s="68"/>
      <c r="AN24" s="68"/>
    </row>
    <row r="25">
      <c r="A25" s="41"/>
      <c r="B25" s="41"/>
      <c r="C25" s="19"/>
      <c r="D25" s="20"/>
      <c r="E25" s="21" t="str">
        <f t="shared" si="1"/>
        <v/>
      </c>
      <c r="F25" s="1"/>
      <c r="G25" s="1"/>
      <c r="H25" s="51"/>
      <c r="I25" s="52"/>
      <c r="J25" s="51"/>
      <c r="K25" s="1"/>
      <c r="L25" s="53" t="str">
        <f t="shared" si="2"/>
        <v/>
      </c>
      <c r="M25" s="54" t="str">
        <f t="shared" si="3"/>
        <v/>
      </c>
      <c r="N25" s="67" t="str">
        <f t="shared" si="5"/>
        <v/>
      </c>
      <c r="O25" s="56">
        <f t="shared" si="6"/>
        <v>0</v>
      </c>
      <c r="P25" s="56">
        <f t="shared" si="7"/>
        <v>0</v>
      </c>
      <c r="Q25" s="65">
        <f t="shared" si="4"/>
        <v>0</v>
      </c>
      <c r="R25" s="1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9"/>
      <c r="AL25" s="49"/>
      <c r="AM25" s="68"/>
      <c r="AN25" s="68"/>
    </row>
    <row r="26">
      <c r="A26" s="41"/>
      <c r="B26" s="41"/>
      <c r="C26" s="19"/>
      <c r="D26" s="20"/>
      <c r="E26" s="21" t="str">
        <f t="shared" si="1"/>
        <v/>
      </c>
      <c r="F26" s="1"/>
      <c r="G26" s="1"/>
      <c r="H26" s="51"/>
      <c r="I26" s="52"/>
      <c r="J26" s="51"/>
      <c r="K26" s="1"/>
      <c r="L26" s="53" t="str">
        <f t="shared" si="2"/>
        <v/>
      </c>
      <c r="M26" s="54" t="str">
        <f t="shared" si="3"/>
        <v/>
      </c>
      <c r="N26" s="67" t="str">
        <f t="shared" si="5"/>
        <v/>
      </c>
      <c r="O26" s="56">
        <f t="shared" si="6"/>
        <v>0</v>
      </c>
      <c r="P26" s="56">
        <f t="shared" si="7"/>
        <v>0</v>
      </c>
      <c r="Q26" s="65">
        <f t="shared" si="4"/>
        <v>0</v>
      </c>
      <c r="R26" s="1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9"/>
      <c r="AL26" s="49"/>
      <c r="AM26" s="68"/>
      <c r="AN26" s="68"/>
    </row>
    <row r="27">
      <c r="A27" s="41"/>
      <c r="B27" s="41"/>
      <c r="C27" s="19"/>
      <c r="D27" s="20"/>
      <c r="E27" s="21" t="str">
        <f t="shared" si="1"/>
        <v/>
      </c>
      <c r="F27" s="1"/>
      <c r="G27" s="1"/>
      <c r="H27" s="51"/>
      <c r="I27" s="52"/>
      <c r="J27" s="51"/>
      <c r="K27" s="1"/>
      <c r="L27" s="53" t="str">
        <f t="shared" si="2"/>
        <v/>
      </c>
      <c r="M27" s="54" t="str">
        <f t="shared" si="3"/>
        <v/>
      </c>
      <c r="N27" s="67" t="str">
        <f t="shared" si="5"/>
        <v/>
      </c>
      <c r="O27" s="56">
        <f t="shared" si="6"/>
        <v>0</v>
      </c>
      <c r="P27" s="56">
        <f t="shared" si="7"/>
        <v>0</v>
      </c>
      <c r="Q27" s="65">
        <f t="shared" si="4"/>
        <v>0</v>
      </c>
      <c r="R27" s="1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9"/>
      <c r="AL27" s="49"/>
      <c r="AM27" s="68"/>
      <c r="AN27" s="68"/>
    </row>
    <row r="28">
      <c r="A28" s="41"/>
      <c r="B28" s="41"/>
      <c r="C28" s="19"/>
      <c r="D28" s="20"/>
      <c r="E28" s="21" t="str">
        <f t="shared" si="1"/>
        <v/>
      </c>
      <c r="F28" s="1"/>
      <c r="G28" s="1"/>
      <c r="H28" s="51"/>
      <c r="I28" s="52"/>
      <c r="J28" s="51"/>
      <c r="K28" s="1"/>
      <c r="L28" s="53" t="str">
        <f t="shared" si="2"/>
        <v/>
      </c>
      <c r="M28" s="54" t="str">
        <f t="shared" si="3"/>
        <v/>
      </c>
      <c r="N28" s="67" t="str">
        <f t="shared" si="5"/>
        <v/>
      </c>
      <c r="O28" s="56">
        <f t="shared" si="6"/>
        <v>0</v>
      </c>
      <c r="P28" s="56">
        <f t="shared" si="7"/>
        <v>0</v>
      </c>
      <c r="Q28" s="65">
        <f t="shared" si="4"/>
        <v>0</v>
      </c>
      <c r="R28" s="1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9"/>
      <c r="AL28" s="49"/>
      <c r="AM28" s="68"/>
      <c r="AN28" s="68"/>
    </row>
    <row r="29">
      <c r="A29" s="41"/>
      <c r="B29" s="41"/>
      <c r="C29" s="19"/>
      <c r="D29" s="20"/>
      <c r="E29" s="21" t="str">
        <f t="shared" si="1"/>
        <v/>
      </c>
      <c r="F29" s="1"/>
      <c r="G29" s="1"/>
      <c r="H29" s="51"/>
      <c r="I29" s="52"/>
      <c r="J29" s="51"/>
      <c r="K29" s="1"/>
      <c r="L29" s="53" t="str">
        <f t="shared" si="2"/>
        <v/>
      </c>
      <c r="M29" s="54" t="str">
        <f t="shared" si="3"/>
        <v/>
      </c>
      <c r="N29" s="67" t="str">
        <f t="shared" si="5"/>
        <v/>
      </c>
      <c r="O29" s="56">
        <f t="shared" si="6"/>
        <v>0</v>
      </c>
      <c r="P29" s="56">
        <f t="shared" si="7"/>
        <v>0</v>
      </c>
      <c r="Q29" s="65">
        <f t="shared" si="4"/>
        <v>0</v>
      </c>
      <c r="R29" s="1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9"/>
      <c r="AL29" s="49"/>
      <c r="AM29" s="68"/>
      <c r="AN29" s="68"/>
    </row>
    <row r="30">
      <c r="A30" s="41"/>
      <c r="B30" s="41"/>
      <c r="C30" s="19"/>
      <c r="D30" s="20"/>
      <c r="E30" s="21" t="str">
        <f t="shared" si="1"/>
        <v/>
      </c>
      <c r="F30" s="1"/>
      <c r="G30" s="1"/>
      <c r="H30" s="51"/>
      <c r="I30" s="52"/>
      <c r="J30" s="51"/>
      <c r="K30" s="1"/>
      <c r="L30" s="53" t="str">
        <f t="shared" si="2"/>
        <v/>
      </c>
      <c r="M30" s="54" t="str">
        <f t="shared" si="3"/>
        <v/>
      </c>
      <c r="N30" s="67" t="str">
        <f t="shared" si="5"/>
        <v/>
      </c>
      <c r="O30" s="56">
        <f t="shared" si="6"/>
        <v>0</v>
      </c>
      <c r="P30" s="56">
        <f t="shared" si="7"/>
        <v>0</v>
      </c>
      <c r="Q30" s="65">
        <f t="shared" si="4"/>
        <v>0</v>
      </c>
      <c r="R30" s="1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9"/>
      <c r="AL30" s="49"/>
      <c r="AM30" s="68"/>
      <c r="AN30" s="68"/>
    </row>
    <row r="31">
      <c r="A31" s="41"/>
      <c r="B31" s="41"/>
      <c r="C31" s="19"/>
      <c r="D31" s="20"/>
      <c r="E31" s="21" t="str">
        <f t="shared" si="1"/>
        <v/>
      </c>
      <c r="F31" s="1"/>
      <c r="G31" s="1"/>
      <c r="H31" s="51"/>
      <c r="I31" s="52"/>
      <c r="J31" s="51"/>
      <c r="K31" s="1"/>
      <c r="L31" s="53" t="str">
        <f t="shared" si="2"/>
        <v/>
      </c>
      <c r="M31" s="54" t="str">
        <f t="shared" si="3"/>
        <v/>
      </c>
      <c r="N31" s="67" t="str">
        <f t="shared" si="5"/>
        <v/>
      </c>
      <c r="O31" s="56">
        <f t="shared" si="6"/>
        <v>0</v>
      </c>
      <c r="P31" s="56">
        <f t="shared" si="7"/>
        <v>0</v>
      </c>
      <c r="Q31" s="65">
        <f t="shared" si="4"/>
        <v>0</v>
      </c>
      <c r="R31" s="1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9"/>
      <c r="AL31" s="49"/>
      <c r="AM31" s="68"/>
      <c r="AN31" s="68"/>
    </row>
    <row r="32">
      <c r="A32" s="41"/>
      <c r="B32" s="41"/>
      <c r="C32" s="19"/>
      <c r="D32" s="20"/>
      <c r="E32" s="21" t="str">
        <f t="shared" si="1"/>
        <v/>
      </c>
      <c r="F32" s="1"/>
      <c r="G32" s="1"/>
      <c r="H32" s="71"/>
      <c r="I32" s="52"/>
      <c r="J32" s="51"/>
      <c r="K32" s="1"/>
      <c r="L32" s="53" t="str">
        <f t="shared" si="2"/>
        <v/>
      </c>
      <c r="M32" s="54" t="str">
        <f t="shared" si="3"/>
        <v/>
      </c>
      <c r="N32" s="67" t="str">
        <f t="shared" si="5"/>
        <v/>
      </c>
      <c r="O32" s="56">
        <f t="shared" si="6"/>
        <v>0</v>
      </c>
      <c r="P32" s="56">
        <f t="shared" si="7"/>
        <v>0</v>
      </c>
      <c r="Q32" s="65">
        <f t="shared" si="4"/>
        <v>0</v>
      </c>
      <c r="R32" s="1"/>
      <c r="U32" s="68"/>
    </row>
    <row r="33">
      <c r="A33" s="41"/>
      <c r="B33" s="41"/>
      <c r="C33" s="19"/>
      <c r="D33" s="20"/>
      <c r="E33" s="21" t="str">
        <f t="shared" si="1"/>
        <v/>
      </c>
      <c r="F33" s="1"/>
      <c r="G33" s="1"/>
      <c r="H33" s="51"/>
      <c r="I33" s="52"/>
      <c r="J33" s="51"/>
      <c r="K33" s="1"/>
      <c r="L33" s="53" t="str">
        <f t="shared" si="2"/>
        <v/>
      </c>
      <c r="M33" s="54" t="str">
        <f t="shared" si="3"/>
        <v/>
      </c>
      <c r="N33" s="67" t="str">
        <f t="shared" si="5"/>
        <v/>
      </c>
      <c r="O33" s="56">
        <f t="shared" si="6"/>
        <v>0</v>
      </c>
      <c r="P33" s="56">
        <f t="shared" si="7"/>
        <v>0</v>
      </c>
      <c r="Q33" s="65">
        <f t="shared" si="4"/>
        <v>0</v>
      </c>
      <c r="R33" s="1"/>
      <c r="U33" s="68"/>
    </row>
    <row r="34">
      <c r="A34" s="41"/>
      <c r="B34" s="41"/>
      <c r="C34" s="19"/>
      <c r="D34" s="20"/>
      <c r="E34" s="21" t="str">
        <f t="shared" si="1"/>
        <v/>
      </c>
      <c r="F34" s="1"/>
      <c r="G34" s="1"/>
      <c r="H34" s="51"/>
      <c r="I34" s="52"/>
      <c r="J34" s="51"/>
      <c r="K34" s="1"/>
      <c r="L34" s="53" t="str">
        <f t="shared" si="2"/>
        <v/>
      </c>
      <c r="M34" s="54" t="str">
        <f t="shared" si="3"/>
        <v/>
      </c>
      <c r="N34" s="67" t="str">
        <f t="shared" si="5"/>
        <v/>
      </c>
      <c r="O34" s="56">
        <f t="shared" si="6"/>
        <v>0</v>
      </c>
      <c r="P34" s="56">
        <f t="shared" si="7"/>
        <v>0</v>
      </c>
      <c r="Q34" s="65">
        <f t="shared" si="4"/>
        <v>0</v>
      </c>
      <c r="R34" s="1"/>
      <c r="U34" s="68"/>
    </row>
    <row r="35">
      <c r="A35" s="41"/>
      <c r="B35" s="41"/>
      <c r="C35" s="19"/>
      <c r="D35" s="20"/>
      <c r="E35" s="21" t="str">
        <f t="shared" si="1"/>
        <v/>
      </c>
      <c r="F35" s="1"/>
      <c r="G35" s="1"/>
      <c r="H35" s="51"/>
      <c r="I35" s="52"/>
      <c r="J35" s="51"/>
      <c r="K35" s="1"/>
      <c r="L35" s="53" t="str">
        <f t="shared" si="2"/>
        <v/>
      </c>
      <c r="M35" s="54" t="str">
        <f t="shared" si="3"/>
        <v/>
      </c>
      <c r="N35" s="67" t="str">
        <f t="shared" si="5"/>
        <v/>
      </c>
      <c r="O35" s="56">
        <f t="shared" si="6"/>
        <v>0</v>
      </c>
      <c r="P35" s="56">
        <f t="shared" si="7"/>
        <v>0</v>
      </c>
      <c r="Q35" s="65">
        <f t="shared" si="4"/>
        <v>0</v>
      </c>
      <c r="R35" s="1"/>
      <c r="U35" s="68"/>
    </row>
    <row r="36">
      <c r="A36" s="41"/>
      <c r="B36" s="41"/>
      <c r="C36" s="19"/>
      <c r="D36" s="20"/>
      <c r="E36" s="21" t="str">
        <f t="shared" si="1"/>
        <v/>
      </c>
      <c r="F36" s="1"/>
      <c r="G36" s="1"/>
      <c r="H36" s="51"/>
      <c r="I36" s="52"/>
      <c r="J36" s="51"/>
      <c r="K36" s="1"/>
      <c r="L36" s="53" t="str">
        <f t="shared" si="2"/>
        <v/>
      </c>
      <c r="M36" s="54" t="str">
        <f t="shared" si="3"/>
        <v/>
      </c>
      <c r="N36" s="67" t="str">
        <f t="shared" si="5"/>
        <v/>
      </c>
      <c r="O36" s="56">
        <f t="shared" si="6"/>
        <v>0</v>
      </c>
      <c r="P36" s="56">
        <f t="shared" si="7"/>
        <v>0</v>
      </c>
      <c r="Q36" s="65">
        <f t="shared" si="4"/>
        <v>0</v>
      </c>
      <c r="R36" s="1"/>
      <c r="U36" s="68"/>
    </row>
    <row r="37">
      <c r="A37" s="1"/>
      <c r="B37" s="41"/>
      <c r="C37" s="19"/>
      <c r="D37" s="20"/>
      <c r="E37" s="21" t="str">
        <f t="shared" si="1"/>
        <v/>
      </c>
      <c r="F37" s="1"/>
      <c r="G37" s="1"/>
      <c r="H37" s="71"/>
      <c r="I37" s="52"/>
      <c r="J37" s="51"/>
      <c r="K37" s="1"/>
      <c r="L37" s="53" t="str">
        <f t="shared" si="2"/>
        <v/>
      </c>
      <c r="M37" s="54" t="str">
        <f t="shared" si="3"/>
        <v/>
      </c>
      <c r="N37" s="67" t="str">
        <f t="shared" si="5"/>
        <v/>
      </c>
      <c r="O37" s="56">
        <f t="shared" si="6"/>
        <v>0</v>
      </c>
      <c r="P37" s="56">
        <f t="shared" si="7"/>
        <v>0</v>
      </c>
      <c r="Q37" s="65">
        <f t="shared" si="4"/>
        <v>0</v>
      </c>
      <c r="R37" s="1"/>
      <c r="U37" s="68"/>
    </row>
    <row r="38">
      <c r="A38" s="1"/>
      <c r="B38" s="41"/>
      <c r="C38" s="19"/>
      <c r="D38" s="20"/>
      <c r="E38" s="70" t="str">
        <f t="shared" si="1"/>
        <v/>
      </c>
      <c r="F38" s="1"/>
      <c r="G38" s="1"/>
      <c r="H38" s="51"/>
      <c r="I38" s="52"/>
      <c r="J38" s="51"/>
      <c r="K38" s="1"/>
      <c r="L38" s="53" t="str">
        <f t="shared" si="2"/>
        <v/>
      </c>
      <c r="M38" s="54" t="str">
        <f t="shared" si="3"/>
        <v/>
      </c>
      <c r="N38" s="67" t="str">
        <f t="shared" si="5"/>
        <v/>
      </c>
      <c r="O38" s="56">
        <f t="shared" si="6"/>
        <v>0</v>
      </c>
      <c r="P38" s="56">
        <f t="shared" si="7"/>
        <v>0</v>
      </c>
      <c r="Q38" s="65">
        <f t="shared" si="4"/>
        <v>0</v>
      </c>
      <c r="R38" s="1"/>
      <c r="U38" s="68"/>
    </row>
    <row r="39">
      <c r="A39" s="1"/>
      <c r="B39" s="41"/>
      <c r="C39" s="19"/>
      <c r="D39" s="20"/>
      <c r="E39" s="70" t="str">
        <f t="shared" si="1"/>
        <v/>
      </c>
      <c r="F39" s="1"/>
      <c r="G39" s="1"/>
      <c r="H39" s="51"/>
      <c r="I39" s="52"/>
      <c r="J39" s="51"/>
      <c r="K39" s="1"/>
      <c r="L39" s="53" t="str">
        <f t="shared" si="2"/>
        <v/>
      </c>
      <c r="M39" s="54" t="str">
        <f t="shared" si="3"/>
        <v/>
      </c>
      <c r="N39" s="67" t="str">
        <f t="shared" si="5"/>
        <v/>
      </c>
      <c r="O39" s="56">
        <f t="shared" si="6"/>
        <v>0</v>
      </c>
      <c r="P39" s="56">
        <f t="shared" si="7"/>
        <v>0</v>
      </c>
      <c r="Q39" s="65">
        <f t="shared" si="4"/>
        <v>0</v>
      </c>
      <c r="R39" s="1"/>
      <c r="U39" s="68"/>
    </row>
    <row r="40">
      <c r="A40" s="1"/>
      <c r="B40" s="41"/>
      <c r="C40" s="19"/>
      <c r="D40" s="20"/>
      <c r="E40" s="70" t="str">
        <f t="shared" si="1"/>
        <v/>
      </c>
      <c r="F40" s="1"/>
      <c r="G40" s="1"/>
      <c r="H40" s="51"/>
      <c r="I40" s="52"/>
      <c r="J40" s="51"/>
      <c r="K40" s="1"/>
      <c r="L40" s="53" t="str">
        <f t="shared" si="2"/>
        <v/>
      </c>
      <c r="M40" s="54" t="str">
        <f t="shared" si="3"/>
        <v/>
      </c>
      <c r="N40" s="67" t="str">
        <f t="shared" si="5"/>
        <v/>
      </c>
      <c r="O40" s="56">
        <f t="shared" si="6"/>
        <v>0</v>
      </c>
      <c r="P40" s="56">
        <f t="shared" si="7"/>
        <v>0</v>
      </c>
      <c r="Q40" s="65">
        <f t="shared" si="4"/>
        <v>0</v>
      </c>
      <c r="R40" s="1"/>
      <c r="U40" s="68"/>
    </row>
    <row r="41">
      <c r="A41" s="1"/>
      <c r="B41" s="41"/>
      <c r="C41" s="19"/>
      <c r="D41" s="20"/>
      <c r="E41" s="70" t="str">
        <f t="shared" si="1"/>
        <v/>
      </c>
      <c r="F41" s="1"/>
      <c r="G41" s="1"/>
      <c r="H41" s="51"/>
      <c r="I41" s="52"/>
      <c r="J41" s="51"/>
      <c r="K41" s="1"/>
      <c r="L41" s="53" t="str">
        <f t="shared" si="2"/>
        <v/>
      </c>
      <c r="M41" s="54" t="str">
        <f t="shared" si="3"/>
        <v/>
      </c>
      <c r="N41" s="67" t="str">
        <f t="shared" si="5"/>
        <v/>
      </c>
      <c r="O41" s="56">
        <f t="shared" si="6"/>
        <v>0</v>
      </c>
      <c r="P41" s="56">
        <f t="shared" si="7"/>
        <v>0</v>
      </c>
      <c r="Q41" s="65">
        <f t="shared" si="4"/>
        <v>0</v>
      </c>
      <c r="R41" s="1"/>
      <c r="U41" s="68"/>
    </row>
    <row r="42">
      <c r="A42" s="1"/>
      <c r="B42" s="41"/>
      <c r="C42" s="19"/>
      <c r="D42" s="20"/>
      <c r="E42" s="70" t="str">
        <f t="shared" si="1"/>
        <v/>
      </c>
      <c r="F42" s="1"/>
      <c r="G42" s="1"/>
      <c r="H42" s="51"/>
      <c r="I42" s="52"/>
      <c r="J42" s="51"/>
      <c r="K42" s="1"/>
      <c r="L42" s="53" t="str">
        <f t="shared" si="2"/>
        <v/>
      </c>
      <c r="M42" s="54" t="str">
        <f t="shared" si="3"/>
        <v/>
      </c>
      <c r="N42" s="67" t="str">
        <f t="shared" si="5"/>
        <v/>
      </c>
      <c r="O42" s="56">
        <f t="shared" si="6"/>
        <v>0</v>
      </c>
      <c r="P42" s="56">
        <f t="shared" si="7"/>
        <v>0</v>
      </c>
      <c r="Q42" s="65">
        <f t="shared" si="4"/>
        <v>0</v>
      </c>
      <c r="R42" s="1"/>
      <c r="U42" s="68"/>
    </row>
    <row r="43">
      <c r="A43" s="1"/>
      <c r="B43" s="41"/>
      <c r="C43" s="19"/>
      <c r="D43" s="20"/>
      <c r="E43" s="70" t="str">
        <f t="shared" si="1"/>
        <v/>
      </c>
      <c r="F43" s="1"/>
      <c r="G43" s="1"/>
      <c r="H43" s="51"/>
      <c r="I43" s="52"/>
      <c r="J43" s="51"/>
      <c r="K43" s="1"/>
      <c r="L43" s="53" t="str">
        <f t="shared" si="2"/>
        <v/>
      </c>
      <c r="M43" s="54" t="str">
        <f t="shared" si="3"/>
        <v/>
      </c>
      <c r="N43" s="67" t="str">
        <f t="shared" si="5"/>
        <v/>
      </c>
      <c r="O43" s="56">
        <f t="shared" si="6"/>
        <v>0</v>
      </c>
      <c r="P43" s="56">
        <f t="shared" si="7"/>
        <v>0</v>
      </c>
      <c r="Q43" s="65">
        <f t="shared" si="4"/>
        <v>0</v>
      </c>
      <c r="R43" s="1"/>
      <c r="U43" s="68"/>
    </row>
    <row r="44">
      <c r="A44" s="1"/>
      <c r="B44" s="41"/>
      <c r="C44" s="19"/>
      <c r="D44" s="20"/>
      <c r="E44" s="70" t="str">
        <f t="shared" si="1"/>
        <v/>
      </c>
      <c r="F44" s="1"/>
      <c r="G44" s="1"/>
      <c r="H44" s="51"/>
      <c r="I44" s="52"/>
      <c r="J44" s="51"/>
      <c r="K44" s="1"/>
      <c r="L44" s="53" t="str">
        <f t="shared" si="2"/>
        <v/>
      </c>
      <c r="M44" s="54" t="str">
        <f t="shared" si="3"/>
        <v/>
      </c>
      <c r="N44" s="67" t="str">
        <f t="shared" si="5"/>
        <v/>
      </c>
      <c r="O44" s="56">
        <f t="shared" si="6"/>
        <v>0</v>
      </c>
      <c r="P44" s="56">
        <f t="shared" si="7"/>
        <v>0</v>
      </c>
      <c r="Q44" s="65">
        <f t="shared" si="4"/>
        <v>0</v>
      </c>
      <c r="R44" s="1"/>
      <c r="U44" s="68"/>
    </row>
    <row r="45">
      <c r="A45" s="1"/>
      <c r="B45" s="41"/>
      <c r="C45" s="19"/>
      <c r="D45" s="20"/>
      <c r="E45" s="70" t="str">
        <f t="shared" si="1"/>
        <v/>
      </c>
      <c r="F45" s="1"/>
      <c r="G45" s="1"/>
      <c r="H45" s="51"/>
      <c r="I45" s="52"/>
      <c r="J45" s="51"/>
      <c r="K45" s="1"/>
      <c r="L45" s="53" t="str">
        <f t="shared" si="2"/>
        <v/>
      </c>
      <c r="M45" s="54" t="str">
        <f t="shared" si="3"/>
        <v/>
      </c>
      <c r="N45" s="67" t="str">
        <f t="shared" si="5"/>
        <v/>
      </c>
      <c r="O45" s="56">
        <f t="shared" si="6"/>
        <v>0</v>
      </c>
      <c r="P45" s="56">
        <f t="shared" si="7"/>
        <v>0</v>
      </c>
      <c r="Q45" s="65">
        <f t="shared" si="4"/>
        <v>0</v>
      </c>
      <c r="R45" s="1"/>
      <c r="U45" s="68"/>
    </row>
    <row r="46">
      <c r="A46" s="1"/>
      <c r="B46" s="41"/>
      <c r="C46" s="19"/>
      <c r="D46" s="20"/>
      <c r="E46" s="70" t="str">
        <f t="shared" si="1"/>
        <v/>
      </c>
      <c r="F46" s="1"/>
      <c r="G46" s="1"/>
      <c r="H46" s="51"/>
      <c r="I46" s="52"/>
      <c r="J46" s="51"/>
      <c r="K46" s="1"/>
      <c r="L46" s="53" t="str">
        <f t="shared" si="2"/>
        <v/>
      </c>
      <c r="M46" s="54" t="str">
        <f t="shared" si="3"/>
        <v/>
      </c>
      <c r="N46" s="67" t="str">
        <f t="shared" si="5"/>
        <v/>
      </c>
      <c r="O46" s="56">
        <f t="shared" si="6"/>
        <v>0</v>
      </c>
      <c r="P46" s="56">
        <f t="shared" si="7"/>
        <v>0</v>
      </c>
      <c r="Q46" s="65">
        <f t="shared" si="4"/>
        <v>0</v>
      </c>
      <c r="R46" s="1"/>
      <c r="U46" s="68"/>
    </row>
    <row r="47">
      <c r="A47" s="1"/>
      <c r="B47" s="41"/>
      <c r="C47" s="19"/>
      <c r="D47" s="20"/>
      <c r="E47" s="70" t="str">
        <f t="shared" si="1"/>
        <v/>
      </c>
      <c r="F47" s="1"/>
      <c r="G47" s="1"/>
      <c r="H47" s="51"/>
      <c r="I47" s="52"/>
      <c r="J47" s="51"/>
      <c r="K47" s="1"/>
      <c r="L47" s="53" t="str">
        <f t="shared" si="2"/>
        <v/>
      </c>
      <c r="M47" s="54" t="str">
        <f t="shared" si="3"/>
        <v/>
      </c>
      <c r="N47" s="67" t="str">
        <f t="shared" si="5"/>
        <v/>
      </c>
      <c r="O47" s="56">
        <f t="shared" si="6"/>
        <v>0</v>
      </c>
      <c r="P47" s="56">
        <f t="shared" si="7"/>
        <v>0</v>
      </c>
      <c r="Q47" s="65">
        <f t="shared" si="4"/>
        <v>0</v>
      </c>
      <c r="R47" s="1"/>
      <c r="U47" s="68"/>
    </row>
    <row r="48">
      <c r="A48" s="1"/>
      <c r="B48" s="41"/>
      <c r="C48" s="19"/>
      <c r="D48" s="20"/>
      <c r="E48" s="70" t="str">
        <f t="shared" si="1"/>
        <v/>
      </c>
      <c r="F48" s="1"/>
      <c r="G48" s="1"/>
      <c r="H48" s="51"/>
      <c r="I48" s="52"/>
      <c r="J48" s="51"/>
      <c r="K48" s="1"/>
      <c r="L48" s="53" t="str">
        <f t="shared" si="2"/>
        <v/>
      </c>
      <c r="M48" s="54" t="str">
        <f t="shared" si="3"/>
        <v/>
      </c>
      <c r="N48" s="67" t="str">
        <f t="shared" si="5"/>
        <v/>
      </c>
      <c r="O48" s="56">
        <f t="shared" si="6"/>
        <v>0</v>
      </c>
      <c r="P48" s="56">
        <f t="shared" si="7"/>
        <v>0</v>
      </c>
      <c r="Q48" s="65">
        <f t="shared" si="4"/>
        <v>0</v>
      </c>
      <c r="R48" s="1"/>
      <c r="U48" s="68"/>
    </row>
    <row r="49">
      <c r="A49" s="1"/>
      <c r="B49" s="41"/>
      <c r="C49" s="19"/>
      <c r="D49" s="20"/>
      <c r="E49" s="70" t="str">
        <f t="shared" si="1"/>
        <v/>
      </c>
      <c r="F49" s="1"/>
      <c r="G49" s="1"/>
      <c r="H49" s="51"/>
      <c r="I49" s="52"/>
      <c r="J49" s="51"/>
      <c r="K49" s="1"/>
      <c r="L49" s="53" t="str">
        <f t="shared" si="2"/>
        <v/>
      </c>
      <c r="M49" s="54" t="str">
        <f t="shared" si="3"/>
        <v/>
      </c>
      <c r="N49" s="67" t="str">
        <f t="shared" si="5"/>
        <v/>
      </c>
      <c r="O49" s="56">
        <f t="shared" si="6"/>
        <v>0</v>
      </c>
      <c r="P49" s="56">
        <f t="shared" si="7"/>
        <v>0</v>
      </c>
      <c r="Q49" s="65">
        <f t="shared" si="4"/>
        <v>0</v>
      </c>
      <c r="R49" s="1"/>
      <c r="U49" s="68"/>
    </row>
    <row r="50">
      <c r="A50" s="1"/>
      <c r="B50" s="41"/>
      <c r="C50" s="19"/>
      <c r="D50" s="20"/>
      <c r="E50" s="70" t="str">
        <f t="shared" si="1"/>
        <v/>
      </c>
      <c r="F50" s="1"/>
      <c r="G50" s="1"/>
      <c r="H50" s="51"/>
      <c r="I50" s="52"/>
      <c r="J50" s="51"/>
      <c r="K50" s="1"/>
      <c r="L50" s="53" t="str">
        <f t="shared" si="2"/>
        <v/>
      </c>
      <c r="M50" s="54" t="str">
        <f t="shared" si="3"/>
        <v/>
      </c>
      <c r="N50" s="67" t="str">
        <f t="shared" si="5"/>
        <v/>
      </c>
      <c r="O50" s="56">
        <f t="shared" si="6"/>
        <v>0</v>
      </c>
      <c r="P50" s="56">
        <f t="shared" si="7"/>
        <v>0</v>
      </c>
      <c r="Q50" s="65">
        <f t="shared" si="4"/>
        <v>0</v>
      </c>
      <c r="R50" s="1"/>
      <c r="U50" s="68"/>
    </row>
    <row r="51">
      <c r="A51" s="1"/>
      <c r="B51" s="41"/>
      <c r="C51" s="19"/>
      <c r="D51" s="20"/>
      <c r="E51" s="70" t="str">
        <f t="shared" si="1"/>
        <v/>
      </c>
      <c r="F51" s="1"/>
      <c r="G51" s="1"/>
      <c r="H51" s="51"/>
      <c r="I51" s="52"/>
      <c r="J51" s="51"/>
      <c r="K51" s="1"/>
      <c r="L51" s="53" t="str">
        <f t="shared" si="2"/>
        <v/>
      </c>
      <c r="M51" s="54" t="str">
        <f t="shared" si="3"/>
        <v/>
      </c>
      <c r="N51" s="67" t="str">
        <f t="shared" si="5"/>
        <v/>
      </c>
      <c r="O51" s="56">
        <f t="shared" si="6"/>
        <v>0</v>
      </c>
      <c r="P51" s="56">
        <f t="shared" si="7"/>
        <v>0</v>
      </c>
      <c r="Q51" s="65">
        <f t="shared" si="4"/>
        <v>0</v>
      </c>
      <c r="R51" s="1"/>
      <c r="U51" s="68"/>
    </row>
    <row r="52">
      <c r="A52" s="1"/>
      <c r="B52" s="41"/>
      <c r="C52" s="19"/>
      <c r="D52" s="20"/>
      <c r="E52" s="70" t="str">
        <f t="shared" si="1"/>
        <v/>
      </c>
      <c r="F52" s="1"/>
      <c r="G52" s="1"/>
      <c r="H52" s="51"/>
      <c r="I52" s="52"/>
      <c r="J52" s="51"/>
      <c r="K52" s="1"/>
      <c r="L52" s="53" t="str">
        <f t="shared" si="2"/>
        <v/>
      </c>
      <c r="M52" s="54" t="str">
        <f t="shared" si="3"/>
        <v/>
      </c>
      <c r="N52" s="67" t="str">
        <f t="shared" si="5"/>
        <v/>
      </c>
      <c r="O52" s="56">
        <f t="shared" si="6"/>
        <v>0</v>
      </c>
      <c r="P52" s="56">
        <f t="shared" si="7"/>
        <v>0</v>
      </c>
      <c r="Q52" s="65">
        <f t="shared" si="4"/>
        <v>0</v>
      </c>
      <c r="R52" s="1"/>
      <c r="U52" s="68"/>
    </row>
    <row r="53">
      <c r="A53" s="1"/>
      <c r="B53" s="41"/>
      <c r="C53" s="19"/>
      <c r="D53" s="20"/>
      <c r="E53" s="70" t="str">
        <f t="shared" si="1"/>
        <v/>
      </c>
      <c r="F53" s="1"/>
      <c r="G53" s="1"/>
      <c r="H53" s="51"/>
      <c r="I53" s="52"/>
      <c r="J53" s="51"/>
      <c r="K53" s="1"/>
      <c r="L53" s="53" t="str">
        <f t="shared" si="2"/>
        <v/>
      </c>
      <c r="M53" s="54" t="str">
        <f t="shared" si="3"/>
        <v/>
      </c>
      <c r="N53" s="67" t="str">
        <f t="shared" si="5"/>
        <v/>
      </c>
      <c r="O53" s="56">
        <f t="shared" si="6"/>
        <v>0</v>
      </c>
      <c r="P53" s="56">
        <f t="shared" si="7"/>
        <v>0</v>
      </c>
      <c r="Q53" s="65">
        <f t="shared" si="4"/>
        <v>0</v>
      </c>
      <c r="R53" s="1"/>
      <c r="U53" s="68"/>
    </row>
    <row r="54">
      <c r="A54" s="1"/>
      <c r="B54" s="41"/>
      <c r="C54" s="19"/>
      <c r="D54" s="20"/>
      <c r="E54" s="70" t="str">
        <f t="shared" si="1"/>
        <v/>
      </c>
      <c r="F54" s="1"/>
      <c r="G54" s="1"/>
      <c r="H54" s="51"/>
      <c r="I54" s="52"/>
      <c r="J54" s="51"/>
      <c r="K54" s="1"/>
      <c r="L54" s="53" t="str">
        <f t="shared" si="2"/>
        <v/>
      </c>
      <c r="M54" s="54" t="str">
        <f t="shared" si="3"/>
        <v/>
      </c>
      <c r="N54" s="67" t="str">
        <f t="shared" si="5"/>
        <v/>
      </c>
      <c r="O54" s="56">
        <f t="shared" si="6"/>
        <v>0</v>
      </c>
      <c r="P54" s="56">
        <f t="shared" si="7"/>
        <v>0</v>
      </c>
      <c r="Q54" s="65">
        <f t="shared" si="4"/>
        <v>0</v>
      </c>
      <c r="R54" s="1"/>
      <c r="U54" s="68"/>
    </row>
    <row r="55">
      <c r="A55" s="1"/>
      <c r="B55" s="41"/>
      <c r="C55" s="19"/>
      <c r="D55" s="20"/>
      <c r="E55" s="70" t="str">
        <f t="shared" si="1"/>
        <v/>
      </c>
      <c r="F55" s="1"/>
      <c r="G55" s="1"/>
      <c r="H55" s="51"/>
      <c r="I55" s="52"/>
      <c r="J55" s="51"/>
      <c r="K55" s="1"/>
      <c r="L55" s="53" t="str">
        <f t="shared" si="2"/>
        <v/>
      </c>
      <c r="M55" s="54" t="str">
        <f t="shared" si="3"/>
        <v/>
      </c>
      <c r="N55" s="67" t="str">
        <f t="shared" si="5"/>
        <v/>
      </c>
      <c r="O55" s="56">
        <f t="shared" si="6"/>
        <v>0</v>
      </c>
      <c r="P55" s="56">
        <f t="shared" si="7"/>
        <v>0</v>
      </c>
      <c r="Q55" s="65">
        <f t="shared" si="4"/>
        <v>0</v>
      </c>
      <c r="R55" s="1"/>
      <c r="U55" s="68"/>
    </row>
    <row r="56">
      <c r="A56" s="1"/>
      <c r="B56" s="41"/>
      <c r="C56" s="19"/>
      <c r="D56" s="20"/>
      <c r="E56" s="70" t="str">
        <f t="shared" si="1"/>
        <v/>
      </c>
      <c r="F56" s="1"/>
      <c r="G56" s="1"/>
      <c r="H56" s="51"/>
      <c r="I56" s="52"/>
      <c r="J56" s="51"/>
      <c r="K56" s="1"/>
      <c r="L56" s="53" t="str">
        <f t="shared" si="2"/>
        <v/>
      </c>
      <c r="M56" s="54" t="str">
        <f t="shared" si="3"/>
        <v/>
      </c>
      <c r="N56" s="67" t="str">
        <f t="shared" si="5"/>
        <v/>
      </c>
      <c r="O56" s="56">
        <f t="shared" si="6"/>
        <v>0</v>
      </c>
      <c r="P56" s="56">
        <f t="shared" si="7"/>
        <v>0</v>
      </c>
      <c r="Q56" s="65">
        <f t="shared" si="4"/>
        <v>0</v>
      </c>
      <c r="R56" s="1"/>
      <c r="U56" s="68"/>
    </row>
    <row r="57">
      <c r="A57" s="1"/>
      <c r="B57" s="41"/>
      <c r="C57" s="19"/>
      <c r="D57" s="20"/>
      <c r="E57" s="70" t="str">
        <f t="shared" si="1"/>
        <v/>
      </c>
      <c r="F57" s="1"/>
      <c r="G57" s="1"/>
      <c r="H57" s="51"/>
      <c r="I57" s="52"/>
      <c r="J57" s="51"/>
      <c r="K57" s="1"/>
      <c r="L57" s="53" t="str">
        <f t="shared" si="2"/>
        <v/>
      </c>
      <c r="M57" s="54" t="str">
        <f t="shared" si="3"/>
        <v/>
      </c>
      <c r="N57" s="67" t="str">
        <f t="shared" si="5"/>
        <v/>
      </c>
      <c r="O57" s="56">
        <f t="shared" si="6"/>
        <v>0</v>
      </c>
      <c r="P57" s="56">
        <f t="shared" si="7"/>
        <v>0</v>
      </c>
      <c r="Q57" s="65">
        <f t="shared" si="4"/>
        <v>0</v>
      </c>
      <c r="R57" s="1"/>
      <c r="U57" s="68"/>
    </row>
    <row r="58">
      <c r="A58" s="1"/>
      <c r="B58" s="41"/>
      <c r="C58" s="19"/>
      <c r="D58" s="20"/>
      <c r="E58" s="70" t="str">
        <f t="shared" si="1"/>
        <v/>
      </c>
      <c r="F58" s="1"/>
      <c r="G58" s="1"/>
      <c r="H58" s="51"/>
      <c r="I58" s="52"/>
      <c r="J58" s="51"/>
      <c r="K58" s="1"/>
      <c r="L58" s="53" t="str">
        <f t="shared" si="2"/>
        <v/>
      </c>
      <c r="M58" s="54" t="str">
        <f t="shared" si="3"/>
        <v/>
      </c>
      <c r="N58" s="67" t="str">
        <f t="shared" si="5"/>
        <v/>
      </c>
      <c r="O58" s="56">
        <f t="shared" si="6"/>
        <v>0</v>
      </c>
      <c r="P58" s="56">
        <f t="shared" si="7"/>
        <v>0</v>
      </c>
      <c r="Q58" s="65">
        <f t="shared" si="4"/>
        <v>0</v>
      </c>
      <c r="R58" s="1"/>
      <c r="U58" s="68"/>
    </row>
    <row r="59">
      <c r="A59" s="1"/>
      <c r="B59" s="41"/>
      <c r="C59" s="19"/>
      <c r="D59" s="20"/>
      <c r="E59" s="70" t="str">
        <f t="shared" si="1"/>
        <v/>
      </c>
      <c r="F59" s="1"/>
      <c r="G59" s="1"/>
      <c r="H59" s="51"/>
      <c r="I59" s="52"/>
      <c r="J59" s="51"/>
      <c r="K59" s="1"/>
      <c r="L59" s="53" t="str">
        <f t="shared" si="2"/>
        <v/>
      </c>
      <c r="M59" s="54" t="str">
        <f t="shared" si="3"/>
        <v/>
      </c>
      <c r="N59" s="67" t="str">
        <f t="shared" si="5"/>
        <v/>
      </c>
      <c r="O59" s="56">
        <f t="shared" si="6"/>
        <v>0</v>
      </c>
      <c r="P59" s="56">
        <f t="shared" si="7"/>
        <v>0</v>
      </c>
      <c r="Q59" s="65">
        <f t="shared" si="4"/>
        <v>0</v>
      </c>
      <c r="R59" s="1"/>
      <c r="U59" s="68"/>
    </row>
    <row r="60">
      <c r="A60" s="1"/>
      <c r="B60" s="41"/>
      <c r="C60" s="19"/>
      <c r="D60" s="20"/>
      <c r="E60" s="70" t="str">
        <f t="shared" si="1"/>
        <v/>
      </c>
      <c r="F60" s="1"/>
      <c r="G60" s="1"/>
      <c r="H60" s="51"/>
      <c r="I60" s="52"/>
      <c r="J60" s="51"/>
      <c r="K60" s="1"/>
      <c r="L60" s="53" t="str">
        <f t="shared" si="2"/>
        <v/>
      </c>
      <c r="M60" s="54" t="str">
        <f t="shared" si="3"/>
        <v/>
      </c>
      <c r="N60" s="67" t="str">
        <f t="shared" si="5"/>
        <v/>
      </c>
      <c r="O60" s="56">
        <f t="shared" si="6"/>
        <v>0</v>
      </c>
      <c r="P60" s="56">
        <f t="shared" si="7"/>
        <v>0</v>
      </c>
      <c r="Q60" s="65">
        <f t="shared" si="4"/>
        <v>0</v>
      </c>
      <c r="R60" s="1"/>
      <c r="U60" s="68"/>
    </row>
    <row r="61">
      <c r="A61" s="1"/>
      <c r="B61" s="2"/>
      <c r="C61" s="51"/>
      <c r="D61" s="52"/>
      <c r="E61" s="70" t="str">
        <f t="shared" si="1"/>
        <v/>
      </c>
      <c r="F61" s="1"/>
      <c r="G61" s="1"/>
      <c r="H61" s="51"/>
      <c r="I61" s="52"/>
      <c r="J61" s="51"/>
      <c r="K61" s="1"/>
      <c r="L61" s="53" t="str">
        <f t="shared" si="2"/>
        <v/>
      </c>
      <c r="M61" s="54" t="str">
        <f t="shared" si="3"/>
        <v/>
      </c>
      <c r="N61" s="67" t="str">
        <f t="shared" si="5"/>
        <v/>
      </c>
      <c r="O61" s="56">
        <f t="shared" si="6"/>
        <v>0</v>
      </c>
      <c r="P61" s="56">
        <f t="shared" si="7"/>
        <v>0</v>
      </c>
      <c r="Q61" s="65">
        <f t="shared" si="4"/>
        <v>0</v>
      </c>
      <c r="R61" s="1"/>
      <c r="U61" s="68"/>
    </row>
    <row r="62">
      <c r="A62" s="1"/>
      <c r="B62" s="2"/>
      <c r="C62" s="51"/>
      <c r="D62" s="52"/>
      <c r="E62" s="70" t="str">
        <f t="shared" si="1"/>
        <v/>
      </c>
      <c r="F62" s="1"/>
      <c r="G62" s="1"/>
      <c r="H62" s="51"/>
      <c r="I62" s="52"/>
      <c r="J62" s="51"/>
      <c r="K62" s="1"/>
      <c r="L62" s="53" t="str">
        <f t="shared" si="2"/>
        <v/>
      </c>
      <c r="M62" s="54" t="str">
        <f t="shared" si="3"/>
        <v/>
      </c>
      <c r="N62" s="67" t="str">
        <f t="shared" si="5"/>
        <v/>
      </c>
      <c r="O62" s="56">
        <f t="shared" si="6"/>
        <v>0</v>
      </c>
      <c r="P62" s="56">
        <f t="shared" si="7"/>
        <v>0</v>
      </c>
      <c r="Q62" s="65">
        <f t="shared" si="4"/>
        <v>0</v>
      </c>
      <c r="R62" s="1"/>
      <c r="U62" s="68"/>
    </row>
    <row r="63">
      <c r="A63" s="1"/>
      <c r="B63" s="2"/>
      <c r="C63" s="51"/>
      <c r="D63" s="52"/>
      <c r="E63" s="70" t="str">
        <f t="shared" si="1"/>
        <v/>
      </c>
      <c r="F63" s="1"/>
      <c r="G63" s="1"/>
      <c r="H63" s="51"/>
      <c r="I63" s="52"/>
      <c r="J63" s="51"/>
      <c r="K63" s="1"/>
      <c r="L63" s="53" t="str">
        <f t="shared" si="2"/>
        <v/>
      </c>
      <c r="M63" s="54" t="str">
        <f t="shared" si="3"/>
        <v/>
      </c>
      <c r="N63" s="67" t="str">
        <f t="shared" si="5"/>
        <v/>
      </c>
      <c r="O63" s="56">
        <f t="shared" si="6"/>
        <v>0</v>
      </c>
      <c r="P63" s="56">
        <f t="shared" si="7"/>
        <v>0</v>
      </c>
      <c r="Q63" s="65">
        <f t="shared" si="4"/>
        <v>0</v>
      </c>
      <c r="R63" s="1"/>
      <c r="U63" s="68"/>
    </row>
    <row r="64">
      <c r="A64" s="1"/>
      <c r="B64" s="2"/>
      <c r="C64" s="51"/>
      <c r="D64" s="52"/>
      <c r="E64" s="70" t="str">
        <f t="shared" si="1"/>
        <v/>
      </c>
      <c r="F64" s="1"/>
      <c r="G64" s="1"/>
      <c r="H64" s="51"/>
      <c r="I64" s="52"/>
      <c r="J64" s="51"/>
      <c r="K64" s="1"/>
      <c r="L64" s="53" t="str">
        <f t="shared" si="2"/>
        <v/>
      </c>
      <c r="M64" s="54" t="str">
        <f t="shared" si="3"/>
        <v/>
      </c>
      <c r="N64" s="67" t="str">
        <f t="shared" si="5"/>
        <v/>
      </c>
      <c r="O64" s="56">
        <f t="shared" si="6"/>
        <v>0</v>
      </c>
      <c r="P64" s="56">
        <f t="shared" si="7"/>
        <v>0</v>
      </c>
      <c r="Q64" s="65">
        <f t="shared" si="4"/>
        <v>0</v>
      </c>
      <c r="R64" s="1"/>
      <c r="U64" s="68"/>
    </row>
    <row r="65">
      <c r="A65" s="1"/>
      <c r="B65" s="2"/>
      <c r="C65" s="51"/>
      <c r="D65" s="52"/>
      <c r="E65" s="70" t="str">
        <f t="shared" si="1"/>
        <v/>
      </c>
      <c r="F65" s="1"/>
      <c r="G65" s="1"/>
      <c r="H65" s="51"/>
      <c r="I65" s="52"/>
      <c r="J65" s="51"/>
      <c r="K65" s="1"/>
      <c r="L65" s="53" t="str">
        <f t="shared" si="2"/>
        <v/>
      </c>
      <c r="M65" s="54" t="str">
        <f t="shared" si="3"/>
        <v/>
      </c>
      <c r="N65" s="67" t="str">
        <f t="shared" si="5"/>
        <v/>
      </c>
      <c r="O65" s="56">
        <f t="shared" si="6"/>
        <v>0</v>
      </c>
      <c r="P65" s="56">
        <f t="shared" si="7"/>
        <v>0</v>
      </c>
      <c r="Q65" s="65">
        <f t="shared" si="4"/>
        <v>0</v>
      </c>
      <c r="R65" s="1"/>
      <c r="U65" s="68"/>
    </row>
    <row r="66">
      <c r="A66" s="1"/>
      <c r="B66" s="2"/>
      <c r="C66" s="51"/>
      <c r="D66" s="52"/>
      <c r="E66" s="70" t="str">
        <f t="shared" si="1"/>
        <v/>
      </c>
      <c r="F66" s="1"/>
      <c r="G66" s="1"/>
      <c r="H66" s="51"/>
      <c r="I66" s="52"/>
      <c r="J66" s="51"/>
      <c r="K66" s="1"/>
      <c r="L66" s="53" t="str">
        <f t="shared" si="2"/>
        <v/>
      </c>
      <c r="M66" s="54" t="str">
        <f t="shared" si="3"/>
        <v/>
      </c>
      <c r="N66" s="67" t="str">
        <f t="shared" si="5"/>
        <v/>
      </c>
      <c r="O66" s="56">
        <f t="shared" si="6"/>
        <v>0</v>
      </c>
      <c r="P66" s="56">
        <f t="shared" si="7"/>
        <v>0</v>
      </c>
      <c r="Q66" s="65">
        <f t="shared" si="4"/>
        <v>0</v>
      </c>
      <c r="R66" s="1"/>
      <c r="U66" s="68"/>
    </row>
    <row r="67">
      <c r="A67" s="1"/>
      <c r="B67" s="2"/>
      <c r="C67" s="51"/>
      <c r="D67" s="52"/>
      <c r="E67" s="70" t="str">
        <f t="shared" si="1"/>
        <v/>
      </c>
      <c r="F67" s="1"/>
      <c r="G67" s="1"/>
      <c r="H67" s="51"/>
      <c r="I67" s="52"/>
      <c r="J67" s="51"/>
      <c r="K67" s="1"/>
      <c r="L67" s="53" t="str">
        <f t="shared" si="2"/>
        <v/>
      </c>
      <c r="M67" s="54" t="str">
        <f t="shared" si="3"/>
        <v/>
      </c>
      <c r="N67" s="67" t="str">
        <f t="shared" si="5"/>
        <v/>
      </c>
      <c r="O67" s="56">
        <f t="shared" si="6"/>
        <v>0</v>
      </c>
      <c r="P67" s="56">
        <f t="shared" si="7"/>
        <v>0</v>
      </c>
      <c r="Q67" s="65">
        <f t="shared" si="4"/>
        <v>0</v>
      </c>
      <c r="R67" s="1"/>
      <c r="U67" s="68"/>
    </row>
    <row r="68">
      <c r="A68" s="1"/>
      <c r="B68" s="2"/>
      <c r="C68" s="51"/>
      <c r="D68" s="52"/>
      <c r="E68" s="70" t="str">
        <f t="shared" si="1"/>
        <v/>
      </c>
      <c r="F68" s="1"/>
      <c r="G68" s="1"/>
      <c r="H68" s="51"/>
      <c r="I68" s="52"/>
      <c r="J68" s="51"/>
      <c r="K68" s="1"/>
      <c r="L68" s="53" t="str">
        <f t="shared" si="2"/>
        <v/>
      </c>
      <c r="M68" s="54" t="str">
        <f t="shared" si="3"/>
        <v/>
      </c>
      <c r="N68" s="67" t="str">
        <f t="shared" si="5"/>
        <v/>
      </c>
      <c r="O68" s="56">
        <f t="shared" si="6"/>
        <v>0</v>
      </c>
      <c r="P68" s="56">
        <f t="shared" si="7"/>
        <v>0</v>
      </c>
      <c r="Q68" s="65">
        <f t="shared" si="4"/>
        <v>0</v>
      </c>
      <c r="R68" s="1"/>
      <c r="U68" s="68"/>
    </row>
    <row r="69">
      <c r="A69" s="1"/>
      <c r="B69" s="2"/>
      <c r="C69" s="51"/>
      <c r="D69" s="52"/>
      <c r="E69" s="70" t="str">
        <f t="shared" si="1"/>
        <v/>
      </c>
      <c r="F69" s="1"/>
      <c r="G69" s="1"/>
      <c r="H69" s="51"/>
      <c r="I69" s="52"/>
      <c r="J69" s="51"/>
      <c r="K69" s="1"/>
      <c r="L69" s="53" t="str">
        <f t="shared" si="2"/>
        <v/>
      </c>
      <c r="M69" s="54" t="str">
        <f t="shared" si="3"/>
        <v/>
      </c>
      <c r="N69" s="67" t="str">
        <f t="shared" si="5"/>
        <v/>
      </c>
      <c r="O69" s="56">
        <f t="shared" si="6"/>
        <v>0</v>
      </c>
      <c r="P69" s="56">
        <f t="shared" si="7"/>
        <v>0</v>
      </c>
      <c r="Q69" s="65">
        <f t="shared" si="4"/>
        <v>0</v>
      </c>
      <c r="R69" s="1"/>
      <c r="U69" s="68"/>
    </row>
    <row r="70">
      <c r="A70" s="1"/>
      <c r="B70" s="2"/>
      <c r="C70" s="51"/>
      <c r="D70" s="52"/>
      <c r="E70" s="70" t="str">
        <f t="shared" si="1"/>
        <v/>
      </c>
      <c r="F70" s="1"/>
      <c r="G70" s="1"/>
      <c r="H70" s="51"/>
      <c r="I70" s="52"/>
      <c r="J70" s="51"/>
      <c r="K70" s="1"/>
      <c r="L70" s="53" t="str">
        <f t="shared" si="2"/>
        <v/>
      </c>
      <c r="M70" s="54" t="str">
        <f t="shared" si="3"/>
        <v/>
      </c>
      <c r="N70" s="67" t="str">
        <f t="shared" si="5"/>
        <v/>
      </c>
      <c r="O70" s="56">
        <f t="shared" si="6"/>
        <v>0</v>
      </c>
      <c r="P70" s="56">
        <f t="shared" si="7"/>
        <v>0</v>
      </c>
      <c r="Q70" s="65">
        <f t="shared" si="4"/>
        <v>0</v>
      </c>
      <c r="R70" s="1"/>
      <c r="U70" s="68"/>
    </row>
    <row r="71">
      <c r="A71" s="1"/>
      <c r="B71" s="2"/>
      <c r="C71" s="51"/>
      <c r="D71" s="52"/>
      <c r="E71" s="70" t="str">
        <f t="shared" si="1"/>
        <v/>
      </c>
      <c r="F71" s="1"/>
      <c r="G71" s="1"/>
      <c r="H71" s="51"/>
      <c r="I71" s="52"/>
      <c r="J71" s="51"/>
      <c r="K71" s="1"/>
      <c r="L71" s="53" t="str">
        <f t="shared" si="2"/>
        <v/>
      </c>
      <c r="M71" s="54" t="str">
        <f t="shared" si="3"/>
        <v/>
      </c>
      <c r="N71" s="67" t="str">
        <f t="shared" si="5"/>
        <v/>
      </c>
      <c r="O71" s="56">
        <f t="shared" si="6"/>
        <v>0</v>
      </c>
      <c r="P71" s="56">
        <f t="shared" si="7"/>
        <v>0</v>
      </c>
      <c r="Q71" s="65">
        <f t="shared" si="4"/>
        <v>0</v>
      </c>
      <c r="R71" s="1"/>
      <c r="U71" s="68"/>
    </row>
    <row r="72">
      <c r="A72" s="1"/>
      <c r="B72" s="2"/>
      <c r="C72" s="51"/>
      <c r="D72" s="52"/>
      <c r="E72" s="70" t="str">
        <f t="shared" si="1"/>
        <v/>
      </c>
      <c r="F72" s="1"/>
      <c r="G72" s="1"/>
      <c r="H72" s="51"/>
      <c r="I72" s="52"/>
      <c r="J72" s="51"/>
      <c r="K72" s="1"/>
      <c r="L72" s="53" t="str">
        <f t="shared" si="2"/>
        <v/>
      </c>
      <c r="M72" s="54" t="str">
        <f t="shared" si="3"/>
        <v/>
      </c>
      <c r="N72" s="67" t="str">
        <f t="shared" si="5"/>
        <v/>
      </c>
      <c r="O72" s="56">
        <f t="shared" si="6"/>
        <v>0</v>
      </c>
      <c r="P72" s="56">
        <f t="shared" si="7"/>
        <v>0</v>
      </c>
      <c r="Q72" s="65">
        <f t="shared" si="4"/>
        <v>0</v>
      </c>
      <c r="R72" s="1"/>
      <c r="U72" s="68"/>
    </row>
    <row r="73">
      <c r="A73" s="1"/>
      <c r="B73" s="2"/>
      <c r="C73" s="51"/>
      <c r="D73" s="52"/>
      <c r="E73" s="70" t="str">
        <f t="shared" si="1"/>
        <v/>
      </c>
      <c r="F73" s="1"/>
      <c r="G73" s="1"/>
      <c r="H73" s="51"/>
      <c r="I73" s="52"/>
      <c r="J73" s="51"/>
      <c r="K73" s="1"/>
      <c r="L73" s="53" t="str">
        <f t="shared" si="2"/>
        <v/>
      </c>
      <c r="M73" s="54" t="str">
        <f t="shared" si="3"/>
        <v/>
      </c>
      <c r="N73" s="67" t="str">
        <f t="shared" si="5"/>
        <v/>
      </c>
      <c r="O73" s="56">
        <f t="shared" si="6"/>
        <v>0</v>
      </c>
      <c r="P73" s="56">
        <f t="shared" si="7"/>
        <v>0</v>
      </c>
      <c r="Q73" s="65">
        <f t="shared" si="4"/>
        <v>0</v>
      </c>
      <c r="R73" s="1"/>
      <c r="U73" s="68"/>
    </row>
    <row r="74">
      <c r="A74" s="1"/>
      <c r="B74" s="2"/>
      <c r="C74" s="51"/>
      <c r="D74" s="52"/>
      <c r="E74" s="70" t="str">
        <f t="shared" si="1"/>
        <v/>
      </c>
      <c r="F74" s="1"/>
      <c r="G74" s="1"/>
      <c r="H74" s="51"/>
      <c r="I74" s="52"/>
      <c r="J74" s="51"/>
      <c r="K74" s="1"/>
      <c r="L74" s="53" t="str">
        <f t="shared" si="2"/>
        <v/>
      </c>
      <c r="M74" s="54" t="str">
        <f t="shared" si="3"/>
        <v/>
      </c>
      <c r="N74" s="67" t="str">
        <f t="shared" si="5"/>
        <v/>
      </c>
      <c r="O74" s="56">
        <f t="shared" si="6"/>
        <v>0</v>
      </c>
      <c r="P74" s="56">
        <f t="shared" si="7"/>
        <v>0</v>
      </c>
      <c r="Q74" s="65">
        <f t="shared" si="4"/>
        <v>0</v>
      </c>
      <c r="R74" s="1"/>
      <c r="U74" s="68"/>
    </row>
    <row r="75">
      <c r="A75" s="1"/>
      <c r="B75" s="2"/>
      <c r="C75" s="51"/>
      <c r="D75" s="52"/>
      <c r="E75" s="70" t="str">
        <f t="shared" si="1"/>
        <v/>
      </c>
      <c r="F75" s="1"/>
      <c r="G75" s="1"/>
      <c r="H75" s="51"/>
      <c r="I75" s="52"/>
      <c r="J75" s="51"/>
      <c r="K75" s="1"/>
      <c r="L75" s="53" t="str">
        <f t="shared" si="2"/>
        <v/>
      </c>
      <c r="M75" s="54" t="str">
        <f t="shared" si="3"/>
        <v/>
      </c>
      <c r="N75" s="67" t="str">
        <f t="shared" si="5"/>
        <v/>
      </c>
      <c r="O75" s="56">
        <f t="shared" si="6"/>
        <v>0</v>
      </c>
      <c r="P75" s="56">
        <f t="shared" si="7"/>
        <v>0</v>
      </c>
      <c r="Q75" s="65">
        <f t="shared" si="4"/>
        <v>0</v>
      </c>
      <c r="R75" s="1"/>
      <c r="U75" s="68"/>
    </row>
    <row r="76">
      <c r="A76" s="1"/>
      <c r="B76" s="2"/>
      <c r="C76" s="51"/>
      <c r="D76" s="52"/>
      <c r="E76" s="70" t="str">
        <f t="shared" si="1"/>
        <v/>
      </c>
      <c r="F76" s="1"/>
      <c r="G76" s="1"/>
      <c r="H76" s="51"/>
      <c r="I76" s="52"/>
      <c r="J76" s="51"/>
      <c r="K76" s="1"/>
      <c r="L76" s="53" t="str">
        <f t="shared" si="2"/>
        <v/>
      </c>
      <c r="M76" s="54" t="str">
        <f t="shared" si="3"/>
        <v/>
      </c>
      <c r="N76" s="67" t="str">
        <f t="shared" si="5"/>
        <v/>
      </c>
      <c r="O76" s="56">
        <f t="shared" si="6"/>
        <v>0</v>
      </c>
      <c r="P76" s="56">
        <f t="shared" si="7"/>
        <v>0</v>
      </c>
      <c r="Q76" s="65">
        <f t="shared" si="4"/>
        <v>0</v>
      </c>
      <c r="R76" s="1"/>
      <c r="U76" s="68"/>
    </row>
    <row r="77">
      <c r="A77" s="1"/>
      <c r="B77" s="2"/>
      <c r="C77" s="51"/>
      <c r="D77" s="52"/>
      <c r="E77" s="70" t="str">
        <f t="shared" si="1"/>
        <v/>
      </c>
      <c r="F77" s="1"/>
      <c r="G77" s="1"/>
      <c r="H77" s="51"/>
      <c r="I77" s="52"/>
      <c r="J77" s="51"/>
      <c r="K77" s="1"/>
      <c r="L77" s="53" t="str">
        <f t="shared" si="2"/>
        <v/>
      </c>
      <c r="M77" s="54" t="str">
        <f t="shared" si="3"/>
        <v/>
      </c>
      <c r="N77" s="67" t="str">
        <f t="shared" si="5"/>
        <v/>
      </c>
      <c r="O77" s="56">
        <f t="shared" si="6"/>
        <v>0</v>
      </c>
      <c r="P77" s="56">
        <f t="shared" si="7"/>
        <v>0</v>
      </c>
      <c r="Q77" s="65">
        <f t="shared" si="4"/>
        <v>0</v>
      </c>
      <c r="R77" s="1"/>
      <c r="U77" s="68"/>
    </row>
    <row r="78">
      <c r="A78" s="1"/>
      <c r="B78" s="2"/>
      <c r="C78" s="51"/>
      <c r="D78" s="52"/>
      <c r="E78" s="70" t="str">
        <f t="shared" si="1"/>
        <v/>
      </c>
      <c r="F78" s="1"/>
      <c r="G78" s="1"/>
      <c r="H78" s="51"/>
      <c r="I78" s="52"/>
      <c r="J78" s="51"/>
      <c r="K78" s="1"/>
      <c r="L78" s="53" t="str">
        <f t="shared" si="2"/>
        <v/>
      </c>
      <c r="M78" s="54" t="str">
        <f t="shared" si="3"/>
        <v/>
      </c>
      <c r="N78" s="67" t="str">
        <f t="shared" si="5"/>
        <v/>
      </c>
      <c r="O78" s="56">
        <f t="shared" si="6"/>
        <v>0</v>
      </c>
      <c r="P78" s="56">
        <f t="shared" si="7"/>
        <v>0</v>
      </c>
      <c r="Q78" s="65">
        <f t="shared" si="4"/>
        <v>0</v>
      </c>
      <c r="R78" s="1"/>
      <c r="U78" s="68"/>
    </row>
    <row r="79">
      <c r="A79" s="1"/>
      <c r="B79" s="2"/>
      <c r="C79" s="51"/>
      <c r="D79" s="52"/>
      <c r="E79" s="70" t="str">
        <f t="shared" si="1"/>
        <v/>
      </c>
      <c r="F79" s="1"/>
      <c r="G79" s="1"/>
      <c r="H79" s="71"/>
      <c r="I79" s="52"/>
      <c r="J79" s="51"/>
      <c r="K79" s="1"/>
      <c r="L79" s="53" t="str">
        <f t="shared" si="2"/>
        <v/>
      </c>
      <c r="M79" s="54" t="str">
        <f t="shared" si="3"/>
        <v/>
      </c>
      <c r="N79" s="67" t="str">
        <f t="shared" si="5"/>
        <v/>
      </c>
      <c r="O79" s="56">
        <f t="shared" si="6"/>
        <v>0</v>
      </c>
      <c r="P79" s="56">
        <f t="shared" si="7"/>
        <v>0</v>
      </c>
      <c r="Q79" s="65">
        <f t="shared" si="4"/>
        <v>0</v>
      </c>
      <c r="R79" s="1"/>
      <c r="U79" s="68"/>
    </row>
    <row r="80">
      <c r="A80" s="1"/>
      <c r="B80" s="2"/>
      <c r="C80" s="51"/>
      <c r="D80" s="52"/>
      <c r="E80" s="70" t="str">
        <f t="shared" si="1"/>
        <v/>
      </c>
      <c r="F80" s="1"/>
      <c r="G80" s="1"/>
      <c r="H80" s="51"/>
      <c r="I80" s="52"/>
      <c r="J80" s="51"/>
      <c r="K80" s="1"/>
      <c r="L80" s="53" t="str">
        <f t="shared" si="2"/>
        <v/>
      </c>
      <c r="M80" s="54" t="str">
        <f t="shared" si="3"/>
        <v/>
      </c>
      <c r="N80" s="67" t="str">
        <f t="shared" si="5"/>
        <v/>
      </c>
      <c r="O80" s="56">
        <f t="shared" si="6"/>
        <v>0</v>
      </c>
      <c r="P80" s="56">
        <f t="shared" si="7"/>
        <v>0</v>
      </c>
      <c r="Q80" s="65">
        <f t="shared" si="4"/>
        <v>0</v>
      </c>
      <c r="R80" s="1"/>
      <c r="U80" s="68"/>
    </row>
    <row r="81">
      <c r="A81" s="1"/>
      <c r="B81" s="2"/>
      <c r="C81" s="51"/>
      <c r="D81" s="52"/>
      <c r="E81" s="70" t="str">
        <f t="shared" si="1"/>
        <v/>
      </c>
      <c r="F81" s="1"/>
      <c r="G81" s="1"/>
      <c r="H81" s="51"/>
      <c r="I81" s="52"/>
      <c r="J81" s="51"/>
      <c r="K81" s="1"/>
      <c r="L81" s="53" t="str">
        <f t="shared" si="2"/>
        <v/>
      </c>
      <c r="M81" s="54" t="str">
        <f t="shared" si="3"/>
        <v/>
      </c>
      <c r="N81" s="67" t="str">
        <f t="shared" si="5"/>
        <v/>
      </c>
      <c r="O81" s="56">
        <f t="shared" si="6"/>
        <v>0</v>
      </c>
      <c r="P81" s="56">
        <f t="shared" si="7"/>
        <v>0</v>
      </c>
      <c r="Q81" s="65">
        <f t="shared" si="4"/>
        <v>0</v>
      </c>
      <c r="R81" s="1"/>
      <c r="U81" s="68"/>
    </row>
    <row r="82">
      <c r="A82" s="1"/>
      <c r="B82" s="2"/>
      <c r="C82" s="51"/>
      <c r="D82" s="52"/>
      <c r="E82" s="70" t="str">
        <f t="shared" si="1"/>
        <v/>
      </c>
      <c r="F82" s="1"/>
      <c r="G82" s="1"/>
      <c r="H82" s="51"/>
      <c r="I82" s="52"/>
      <c r="J82" s="51"/>
      <c r="K82" s="1"/>
      <c r="L82" s="53" t="str">
        <f t="shared" si="2"/>
        <v/>
      </c>
      <c r="M82" s="54" t="str">
        <f t="shared" si="3"/>
        <v/>
      </c>
      <c r="N82" s="67" t="str">
        <f t="shared" si="5"/>
        <v/>
      </c>
      <c r="O82" s="56">
        <f t="shared" si="6"/>
        <v>0</v>
      </c>
      <c r="P82" s="56">
        <f t="shared" si="7"/>
        <v>0</v>
      </c>
      <c r="Q82" s="65">
        <f t="shared" si="4"/>
        <v>0</v>
      </c>
      <c r="R82" s="1"/>
      <c r="U82" s="68"/>
    </row>
    <row r="83">
      <c r="A83" s="1"/>
      <c r="B83" s="2"/>
      <c r="C83" s="71"/>
      <c r="D83" s="52"/>
      <c r="E83" s="70" t="str">
        <f t="shared" si="1"/>
        <v/>
      </c>
      <c r="F83" s="1"/>
      <c r="G83" s="1"/>
      <c r="H83" s="51"/>
      <c r="I83" s="52"/>
      <c r="J83" s="51"/>
      <c r="K83" s="1"/>
      <c r="L83" s="53" t="str">
        <f t="shared" si="2"/>
        <v/>
      </c>
      <c r="M83" s="54" t="str">
        <f t="shared" si="3"/>
        <v/>
      </c>
      <c r="N83" s="67" t="str">
        <f t="shared" si="5"/>
        <v/>
      </c>
      <c r="O83" s="56">
        <f t="shared" si="6"/>
        <v>0</v>
      </c>
      <c r="P83" s="56">
        <f t="shared" si="7"/>
        <v>0</v>
      </c>
      <c r="Q83" s="65">
        <f t="shared" si="4"/>
        <v>0</v>
      </c>
      <c r="R83" s="1"/>
    </row>
    <row r="84">
      <c r="A84" s="1"/>
      <c r="B84" s="2"/>
      <c r="C84" s="51"/>
      <c r="D84" s="52"/>
      <c r="E84" s="70" t="str">
        <f t="shared" si="1"/>
        <v/>
      </c>
      <c r="F84" s="1"/>
      <c r="G84" s="1"/>
      <c r="H84" s="51"/>
      <c r="I84" s="52"/>
      <c r="J84" s="51"/>
      <c r="K84" s="1"/>
      <c r="L84" s="53" t="str">
        <f t="shared" si="2"/>
        <v/>
      </c>
      <c r="M84" s="54" t="str">
        <f t="shared" si="3"/>
        <v/>
      </c>
      <c r="N84" s="67" t="str">
        <f t="shared" si="5"/>
        <v/>
      </c>
      <c r="O84" s="56">
        <f t="shared" si="6"/>
        <v>0</v>
      </c>
      <c r="P84" s="56">
        <f t="shared" si="7"/>
        <v>0</v>
      </c>
      <c r="Q84" s="65">
        <f t="shared" si="4"/>
        <v>0</v>
      </c>
      <c r="R84" s="1"/>
    </row>
    <row r="85">
      <c r="A85" s="1"/>
      <c r="B85" s="2"/>
      <c r="C85" s="51"/>
      <c r="D85" s="52"/>
      <c r="E85" s="70" t="str">
        <f t="shared" si="1"/>
        <v/>
      </c>
      <c r="F85" s="1"/>
      <c r="G85" s="1"/>
      <c r="H85" s="51"/>
      <c r="I85" s="52"/>
      <c r="J85" s="51"/>
      <c r="K85" s="1"/>
      <c r="L85" s="53" t="str">
        <f t="shared" si="2"/>
        <v/>
      </c>
      <c r="M85" s="54" t="str">
        <f t="shared" si="3"/>
        <v/>
      </c>
      <c r="N85" s="67" t="str">
        <f t="shared" si="5"/>
        <v/>
      </c>
      <c r="O85" s="56">
        <f t="shared" si="6"/>
        <v>0</v>
      </c>
      <c r="P85" s="56">
        <f t="shared" si="7"/>
        <v>0</v>
      </c>
      <c r="Q85" s="65">
        <f t="shared" si="4"/>
        <v>0</v>
      </c>
      <c r="R85" s="1"/>
    </row>
    <row r="86">
      <c r="A86" s="1"/>
      <c r="B86" s="2"/>
      <c r="C86" s="51"/>
      <c r="D86" s="52"/>
      <c r="E86" s="70" t="str">
        <f t="shared" si="1"/>
        <v/>
      </c>
      <c r="F86" s="1"/>
      <c r="G86" s="1"/>
      <c r="H86" s="71"/>
      <c r="I86" s="52"/>
      <c r="J86" s="51"/>
      <c r="K86" s="1"/>
      <c r="L86" s="53" t="str">
        <f t="shared" si="2"/>
        <v/>
      </c>
      <c r="M86" s="54" t="str">
        <f t="shared" si="3"/>
        <v/>
      </c>
      <c r="N86" s="67" t="str">
        <f t="shared" si="5"/>
        <v/>
      </c>
      <c r="O86" s="56">
        <f t="shared" si="6"/>
        <v>0</v>
      </c>
      <c r="P86" s="56">
        <f t="shared" si="7"/>
        <v>0</v>
      </c>
      <c r="Q86" s="65">
        <f t="shared" si="4"/>
        <v>0</v>
      </c>
      <c r="R86" s="1"/>
    </row>
    <row r="87">
      <c r="A87" s="1"/>
      <c r="B87" s="2"/>
      <c r="C87" s="51"/>
      <c r="D87" s="52"/>
      <c r="E87" s="70" t="str">
        <f t="shared" si="1"/>
        <v/>
      </c>
      <c r="F87" s="1"/>
      <c r="G87" s="1"/>
      <c r="H87" s="71"/>
      <c r="I87" s="52"/>
      <c r="J87" s="51"/>
      <c r="K87" s="1"/>
      <c r="L87" s="53" t="str">
        <f t="shared" si="2"/>
        <v/>
      </c>
      <c r="M87" s="54" t="str">
        <f t="shared" si="3"/>
        <v/>
      </c>
      <c r="N87" s="67" t="str">
        <f t="shared" si="5"/>
        <v/>
      </c>
      <c r="O87" s="56">
        <f t="shared" si="6"/>
        <v>0</v>
      </c>
      <c r="P87" s="56">
        <f t="shared" si="7"/>
        <v>0</v>
      </c>
      <c r="Q87" s="65">
        <f t="shared" si="4"/>
        <v>0</v>
      </c>
      <c r="R87" s="1"/>
    </row>
    <row r="88">
      <c r="A88" s="1"/>
      <c r="B88" s="2"/>
      <c r="C88" s="51"/>
      <c r="D88" s="52"/>
      <c r="E88" s="70" t="str">
        <f t="shared" si="1"/>
        <v/>
      </c>
      <c r="F88" s="1"/>
      <c r="G88" s="1"/>
      <c r="H88" s="51"/>
      <c r="I88" s="52"/>
      <c r="J88" s="51"/>
      <c r="K88" s="1"/>
      <c r="L88" s="53" t="str">
        <f t="shared" si="2"/>
        <v/>
      </c>
      <c r="M88" s="54" t="str">
        <f t="shared" si="3"/>
        <v/>
      </c>
      <c r="N88" s="67" t="str">
        <f t="shared" si="5"/>
        <v/>
      </c>
      <c r="O88" s="56">
        <f t="shared" si="6"/>
        <v>0</v>
      </c>
      <c r="P88" s="56">
        <f t="shared" si="7"/>
        <v>0</v>
      </c>
      <c r="Q88" s="65">
        <f t="shared" si="4"/>
        <v>0</v>
      </c>
      <c r="R88" s="1"/>
    </row>
    <row r="89">
      <c r="A89" s="1"/>
      <c r="B89" s="2"/>
      <c r="C89" s="51"/>
      <c r="D89" s="52"/>
      <c r="E89" s="70" t="str">
        <f t="shared" si="1"/>
        <v/>
      </c>
      <c r="F89" s="1"/>
      <c r="G89" s="1"/>
      <c r="H89" s="51"/>
      <c r="I89" s="52"/>
      <c r="J89" s="51"/>
      <c r="K89" s="1"/>
      <c r="L89" s="53" t="str">
        <f t="shared" si="2"/>
        <v/>
      </c>
      <c r="M89" s="54" t="str">
        <f t="shared" si="3"/>
        <v/>
      </c>
      <c r="N89" s="67" t="str">
        <f t="shared" si="5"/>
        <v/>
      </c>
      <c r="O89" s="56">
        <f t="shared" si="6"/>
        <v>0</v>
      </c>
      <c r="P89" s="56">
        <f t="shared" si="7"/>
        <v>0</v>
      </c>
      <c r="Q89" s="65">
        <f t="shared" si="4"/>
        <v>0</v>
      </c>
      <c r="R89" s="1"/>
    </row>
    <row r="90">
      <c r="A90" s="1"/>
      <c r="B90" s="2"/>
      <c r="C90" s="71"/>
      <c r="D90" s="52"/>
      <c r="E90" s="70" t="str">
        <f t="shared" si="1"/>
        <v/>
      </c>
      <c r="F90" s="1"/>
      <c r="G90" s="1"/>
      <c r="H90" s="51"/>
      <c r="I90" s="52"/>
      <c r="J90" s="51"/>
      <c r="K90" s="1"/>
      <c r="L90" s="53" t="str">
        <f t="shared" si="2"/>
        <v/>
      </c>
      <c r="M90" s="54" t="str">
        <f t="shared" si="3"/>
        <v/>
      </c>
      <c r="N90" s="67" t="str">
        <f t="shared" si="5"/>
        <v/>
      </c>
      <c r="O90" s="56">
        <f t="shared" si="6"/>
        <v>0</v>
      </c>
      <c r="P90" s="56">
        <f t="shared" si="7"/>
        <v>0</v>
      </c>
      <c r="Q90" s="65">
        <f t="shared" si="4"/>
        <v>0</v>
      </c>
      <c r="R90" s="1"/>
    </row>
    <row r="91">
      <c r="A91" s="1"/>
      <c r="B91" s="2"/>
      <c r="C91" s="71"/>
      <c r="D91" s="52"/>
      <c r="E91" s="70" t="str">
        <f t="shared" si="1"/>
        <v/>
      </c>
      <c r="F91" s="1"/>
      <c r="G91" s="1"/>
      <c r="H91" s="51"/>
      <c r="I91" s="52"/>
      <c r="J91" s="51"/>
      <c r="K91" s="1"/>
      <c r="L91" s="53" t="str">
        <f t="shared" si="2"/>
        <v/>
      </c>
      <c r="M91" s="54" t="str">
        <f t="shared" si="3"/>
        <v/>
      </c>
      <c r="N91" s="67" t="str">
        <f t="shared" si="5"/>
        <v/>
      </c>
      <c r="O91" s="56">
        <f t="shared" si="6"/>
        <v>0</v>
      </c>
      <c r="P91" s="56">
        <f t="shared" si="7"/>
        <v>0</v>
      </c>
      <c r="Q91" s="65">
        <f t="shared" si="4"/>
        <v>0</v>
      </c>
      <c r="R91" s="1"/>
    </row>
    <row r="92">
      <c r="A92" s="1"/>
      <c r="B92" s="2"/>
      <c r="C92" s="51"/>
      <c r="D92" s="52"/>
      <c r="E92" s="70" t="str">
        <f t="shared" si="1"/>
        <v/>
      </c>
      <c r="F92" s="1"/>
      <c r="G92" s="1"/>
      <c r="H92" s="51"/>
      <c r="I92" s="52"/>
      <c r="J92" s="51"/>
      <c r="K92" s="1"/>
      <c r="L92" s="53" t="str">
        <f t="shared" si="2"/>
        <v/>
      </c>
      <c r="M92" s="54" t="str">
        <f t="shared" si="3"/>
        <v/>
      </c>
      <c r="N92" s="67" t="str">
        <f t="shared" si="5"/>
        <v/>
      </c>
      <c r="O92" s="56">
        <f t="shared" si="6"/>
        <v>0</v>
      </c>
      <c r="P92" s="56">
        <f t="shared" si="7"/>
        <v>0</v>
      </c>
      <c r="Q92" s="65">
        <f t="shared" si="4"/>
        <v>0</v>
      </c>
      <c r="R92" s="1"/>
    </row>
    <row r="93">
      <c r="A93" s="1"/>
      <c r="B93" s="2"/>
      <c r="C93" s="51"/>
      <c r="D93" s="52"/>
      <c r="E93" s="70" t="str">
        <f t="shared" si="1"/>
        <v/>
      </c>
      <c r="F93" s="1"/>
      <c r="G93" s="1"/>
      <c r="H93" s="51"/>
      <c r="I93" s="52"/>
      <c r="J93" s="51"/>
      <c r="K93" s="1"/>
      <c r="L93" s="53" t="str">
        <f t="shared" si="2"/>
        <v/>
      </c>
      <c r="M93" s="54" t="str">
        <f t="shared" si="3"/>
        <v/>
      </c>
      <c r="N93" s="67" t="str">
        <f t="shared" si="5"/>
        <v/>
      </c>
      <c r="O93" s="56">
        <f t="shared" si="6"/>
        <v>0</v>
      </c>
      <c r="P93" s="56">
        <f t="shared" si="7"/>
        <v>0</v>
      </c>
      <c r="Q93" s="65">
        <f t="shared" si="4"/>
        <v>0</v>
      </c>
      <c r="R93" s="1"/>
    </row>
    <row r="94">
      <c r="A94" s="1"/>
      <c r="B94" s="2"/>
      <c r="C94" s="51"/>
      <c r="D94" s="52"/>
      <c r="E94" s="70" t="str">
        <f t="shared" si="1"/>
        <v/>
      </c>
      <c r="F94" s="1"/>
      <c r="G94" s="1"/>
      <c r="H94" s="51"/>
      <c r="I94" s="52"/>
      <c r="J94" s="51"/>
      <c r="K94" s="1"/>
      <c r="L94" s="53" t="str">
        <f t="shared" si="2"/>
        <v/>
      </c>
      <c r="M94" s="54" t="str">
        <f t="shared" si="3"/>
        <v/>
      </c>
      <c r="N94" s="67" t="str">
        <f t="shared" si="5"/>
        <v/>
      </c>
      <c r="O94" s="56">
        <f t="shared" si="6"/>
        <v>0</v>
      </c>
      <c r="P94" s="56">
        <f t="shared" si="7"/>
        <v>0</v>
      </c>
      <c r="Q94" s="65">
        <f t="shared" si="4"/>
        <v>0</v>
      </c>
      <c r="R94" s="1"/>
    </row>
    <row r="95">
      <c r="A95" s="1"/>
      <c r="B95" s="2"/>
      <c r="C95" s="51"/>
      <c r="D95" s="52"/>
      <c r="E95" s="70" t="str">
        <f t="shared" si="1"/>
        <v/>
      </c>
      <c r="F95" s="1"/>
      <c r="G95" s="1"/>
      <c r="H95" s="51"/>
      <c r="I95" s="52"/>
      <c r="J95" s="51"/>
      <c r="K95" s="1"/>
      <c r="L95" s="53" t="str">
        <f t="shared" si="2"/>
        <v/>
      </c>
      <c r="M95" s="54" t="str">
        <f t="shared" si="3"/>
        <v/>
      </c>
      <c r="N95" s="67" t="str">
        <f t="shared" si="5"/>
        <v/>
      </c>
      <c r="O95" s="56">
        <f t="shared" si="6"/>
        <v>0</v>
      </c>
      <c r="P95" s="56">
        <f t="shared" si="7"/>
        <v>0</v>
      </c>
      <c r="Q95" s="65">
        <f t="shared" si="4"/>
        <v>0</v>
      </c>
      <c r="R95" s="1"/>
    </row>
    <row r="96">
      <c r="A96" s="1"/>
      <c r="B96" s="2"/>
      <c r="C96" s="51"/>
      <c r="D96" s="52"/>
      <c r="E96" s="70" t="str">
        <f t="shared" si="1"/>
        <v/>
      </c>
      <c r="F96" s="1"/>
      <c r="G96" s="1"/>
      <c r="H96" s="51"/>
      <c r="I96" s="52"/>
      <c r="J96" s="51"/>
      <c r="K96" s="1"/>
      <c r="L96" s="53" t="str">
        <f t="shared" si="2"/>
        <v/>
      </c>
      <c r="M96" s="54" t="str">
        <f t="shared" si="3"/>
        <v/>
      </c>
      <c r="N96" s="67" t="str">
        <f t="shared" si="5"/>
        <v/>
      </c>
      <c r="O96" s="56">
        <f t="shared" si="6"/>
        <v>0</v>
      </c>
      <c r="P96" s="56">
        <f t="shared" si="7"/>
        <v>0</v>
      </c>
      <c r="Q96" s="65">
        <f t="shared" si="4"/>
        <v>0</v>
      </c>
      <c r="R96" s="1"/>
    </row>
    <row r="97">
      <c r="A97" s="1"/>
      <c r="B97" s="2"/>
      <c r="C97" s="51"/>
      <c r="D97" s="52"/>
      <c r="E97" s="70" t="str">
        <f t="shared" si="1"/>
        <v/>
      </c>
      <c r="F97" s="1"/>
      <c r="G97" s="1"/>
      <c r="H97" s="71"/>
      <c r="I97" s="52"/>
      <c r="J97" s="51"/>
      <c r="K97" s="1"/>
      <c r="L97" s="53" t="str">
        <f t="shared" si="2"/>
        <v/>
      </c>
      <c r="M97" s="54" t="str">
        <f t="shared" si="3"/>
        <v/>
      </c>
      <c r="N97" s="67" t="str">
        <f t="shared" si="5"/>
        <v/>
      </c>
      <c r="O97" s="56">
        <f t="shared" si="6"/>
        <v>0</v>
      </c>
      <c r="P97" s="56">
        <f t="shared" si="7"/>
        <v>0</v>
      </c>
      <c r="Q97" s="65">
        <f t="shared" si="4"/>
        <v>0</v>
      </c>
      <c r="R97" s="1"/>
    </row>
    <row r="98">
      <c r="A98" s="1"/>
      <c r="B98" s="2"/>
      <c r="C98" s="51"/>
      <c r="D98" s="52"/>
      <c r="E98" s="70" t="str">
        <f t="shared" si="1"/>
        <v/>
      </c>
      <c r="F98" s="1"/>
      <c r="G98" s="1"/>
      <c r="H98" s="51"/>
      <c r="I98" s="52"/>
      <c r="J98" s="51"/>
      <c r="K98" s="1"/>
      <c r="L98" s="53" t="str">
        <f t="shared" si="2"/>
        <v/>
      </c>
      <c r="M98" s="54" t="str">
        <f t="shared" si="3"/>
        <v/>
      </c>
      <c r="N98" s="67" t="str">
        <f t="shared" si="5"/>
        <v/>
      </c>
      <c r="O98" s="56">
        <f t="shared" si="6"/>
        <v>0</v>
      </c>
      <c r="P98" s="56">
        <f t="shared" si="7"/>
        <v>0</v>
      </c>
      <c r="Q98" s="65">
        <f t="shared" si="4"/>
        <v>0</v>
      </c>
      <c r="R98" s="1"/>
    </row>
    <row r="99">
      <c r="A99" s="1"/>
      <c r="B99" s="2"/>
      <c r="C99" s="71"/>
      <c r="D99" s="52"/>
      <c r="E99" s="70" t="str">
        <f t="shared" si="1"/>
        <v/>
      </c>
      <c r="F99" s="1"/>
      <c r="G99" s="1"/>
      <c r="H99" s="51"/>
      <c r="I99" s="52"/>
      <c r="J99" s="51"/>
      <c r="K99" s="1"/>
      <c r="L99" s="53" t="str">
        <f t="shared" si="2"/>
        <v/>
      </c>
      <c r="M99" s="54" t="str">
        <f t="shared" si="3"/>
        <v/>
      </c>
      <c r="N99" s="67" t="str">
        <f t="shared" si="5"/>
        <v/>
      </c>
      <c r="O99" s="56">
        <f t="shared" si="6"/>
        <v>0</v>
      </c>
      <c r="P99" s="56">
        <f t="shared" si="7"/>
        <v>0</v>
      </c>
      <c r="Q99" s="65">
        <f t="shared" si="4"/>
        <v>0</v>
      </c>
      <c r="R99" s="1"/>
    </row>
    <row r="100">
      <c r="A100" s="1"/>
      <c r="B100" s="2"/>
      <c r="C100" s="51"/>
      <c r="D100" s="52"/>
      <c r="E100" s="70" t="str">
        <f t="shared" si="1"/>
        <v/>
      </c>
      <c r="F100" s="1"/>
      <c r="G100" s="1"/>
      <c r="H100" s="51"/>
      <c r="I100" s="52"/>
      <c r="J100" s="51"/>
      <c r="K100" s="1"/>
      <c r="L100" s="53" t="str">
        <f t="shared" si="2"/>
        <v/>
      </c>
      <c r="M100" s="54" t="str">
        <f t="shared" si="3"/>
        <v/>
      </c>
      <c r="N100" s="67" t="str">
        <f t="shared" si="5"/>
        <v/>
      </c>
      <c r="O100" s="56">
        <f t="shared" si="6"/>
        <v>0</v>
      </c>
      <c r="P100" s="56">
        <f t="shared" si="7"/>
        <v>0</v>
      </c>
      <c r="Q100" s="65">
        <f t="shared" si="4"/>
        <v>0</v>
      </c>
      <c r="R100" s="1"/>
    </row>
    <row r="101">
      <c r="A101" s="1"/>
      <c r="B101" s="2"/>
      <c r="C101" s="51"/>
      <c r="D101" s="52"/>
      <c r="E101" s="70" t="str">
        <f t="shared" si="1"/>
        <v/>
      </c>
      <c r="F101" s="1"/>
      <c r="G101" s="1"/>
      <c r="H101" s="51"/>
      <c r="I101" s="52"/>
      <c r="J101" s="51"/>
      <c r="K101" s="1"/>
      <c r="L101" s="53" t="str">
        <f t="shared" si="2"/>
        <v/>
      </c>
      <c r="M101" s="54" t="str">
        <f t="shared" si="3"/>
        <v/>
      </c>
      <c r="N101" s="67" t="str">
        <f t="shared" si="5"/>
        <v/>
      </c>
      <c r="O101" s="56">
        <f t="shared" si="6"/>
        <v>0</v>
      </c>
      <c r="P101" s="56">
        <f t="shared" si="7"/>
        <v>0</v>
      </c>
      <c r="Q101" s="65">
        <f t="shared" si="4"/>
        <v>0</v>
      </c>
      <c r="R101" s="1"/>
    </row>
    <row r="102">
      <c r="A102" s="1"/>
      <c r="B102" s="2"/>
      <c r="C102" s="51"/>
      <c r="D102" s="52"/>
      <c r="E102" s="70" t="str">
        <f t="shared" si="1"/>
        <v/>
      </c>
      <c r="F102" s="1"/>
      <c r="G102" s="1"/>
      <c r="H102" s="51"/>
      <c r="I102" s="52"/>
      <c r="J102" s="51"/>
      <c r="K102" s="1"/>
      <c r="L102" s="53" t="str">
        <f t="shared" si="2"/>
        <v/>
      </c>
      <c r="M102" s="54" t="str">
        <f t="shared" si="3"/>
        <v/>
      </c>
      <c r="N102" s="67" t="str">
        <f t="shared" si="5"/>
        <v/>
      </c>
      <c r="O102" s="56">
        <f t="shared" si="6"/>
        <v>0</v>
      </c>
      <c r="P102" s="56">
        <f t="shared" si="7"/>
        <v>0</v>
      </c>
      <c r="Q102" s="65">
        <f t="shared" si="4"/>
        <v>0</v>
      </c>
      <c r="R102" s="1"/>
    </row>
    <row r="103">
      <c r="A103" s="1"/>
      <c r="B103" s="2"/>
      <c r="C103" s="51"/>
      <c r="D103" s="52"/>
      <c r="E103" s="70" t="str">
        <f t="shared" si="1"/>
        <v/>
      </c>
      <c r="F103" s="1"/>
      <c r="G103" s="1"/>
      <c r="H103" s="71"/>
      <c r="I103" s="52"/>
      <c r="J103" s="51"/>
      <c r="K103" s="1"/>
      <c r="L103" s="53" t="str">
        <f t="shared" si="2"/>
        <v/>
      </c>
      <c r="M103" s="54" t="str">
        <f t="shared" si="3"/>
        <v/>
      </c>
      <c r="N103" s="67" t="str">
        <f t="shared" si="5"/>
        <v/>
      </c>
      <c r="O103" s="56">
        <f t="shared" si="6"/>
        <v>0</v>
      </c>
      <c r="P103" s="56">
        <f t="shared" si="7"/>
        <v>0</v>
      </c>
      <c r="Q103" s="65">
        <f t="shared" si="4"/>
        <v>0</v>
      </c>
      <c r="R103" s="1"/>
    </row>
    <row r="104">
      <c r="A104" s="1"/>
      <c r="B104" s="2"/>
      <c r="C104" s="51"/>
      <c r="D104" s="52"/>
      <c r="E104" s="70" t="str">
        <f t="shared" si="1"/>
        <v/>
      </c>
      <c r="F104" s="1"/>
      <c r="G104" s="1"/>
      <c r="H104" s="51"/>
      <c r="I104" s="52"/>
      <c r="J104" s="51"/>
      <c r="K104" s="1"/>
      <c r="L104" s="53" t="str">
        <f t="shared" si="2"/>
        <v/>
      </c>
      <c r="M104" s="54" t="str">
        <f t="shared" si="3"/>
        <v/>
      </c>
      <c r="N104" s="67" t="str">
        <f t="shared" si="5"/>
        <v/>
      </c>
      <c r="O104" s="56">
        <f t="shared" si="6"/>
        <v>0</v>
      </c>
      <c r="P104" s="56">
        <f t="shared" si="7"/>
        <v>0</v>
      </c>
      <c r="Q104" s="65">
        <f t="shared" si="4"/>
        <v>0</v>
      </c>
      <c r="R104" s="1"/>
    </row>
    <row r="105">
      <c r="A105" s="1"/>
      <c r="B105" s="2"/>
      <c r="C105" s="71"/>
      <c r="D105" s="52"/>
      <c r="E105" s="70" t="str">
        <f t="shared" si="1"/>
        <v/>
      </c>
      <c r="F105" s="1"/>
      <c r="G105" s="1"/>
      <c r="H105" s="71"/>
      <c r="I105" s="52"/>
      <c r="J105" s="51"/>
      <c r="K105" s="1"/>
      <c r="L105" s="53" t="str">
        <f t="shared" si="2"/>
        <v/>
      </c>
      <c r="M105" s="54" t="str">
        <f t="shared" si="3"/>
        <v/>
      </c>
      <c r="N105" s="67" t="str">
        <f t="shared" si="5"/>
        <v/>
      </c>
      <c r="O105" s="56">
        <f t="shared" si="6"/>
        <v>0</v>
      </c>
      <c r="P105" s="56">
        <f t="shared" si="7"/>
        <v>0</v>
      </c>
      <c r="Q105" s="65">
        <f t="shared" si="4"/>
        <v>0</v>
      </c>
      <c r="R105" s="1"/>
    </row>
    <row r="106">
      <c r="A106" s="1"/>
      <c r="B106" s="2"/>
      <c r="C106" s="51"/>
      <c r="D106" s="52"/>
      <c r="E106" s="70" t="str">
        <f t="shared" si="1"/>
        <v/>
      </c>
      <c r="F106" s="1"/>
      <c r="G106" s="1"/>
      <c r="H106" s="51"/>
      <c r="I106" s="52"/>
      <c r="J106" s="51"/>
      <c r="K106" s="1"/>
      <c r="L106" s="53" t="str">
        <f t="shared" si="2"/>
        <v/>
      </c>
      <c r="M106" s="54" t="str">
        <f t="shared" si="3"/>
        <v/>
      </c>
      <c r="N106" s="67" t="str">
        <f t="shared" si="5"/>
        <v/>
      </c>
      <c r="O106" s="56">
        <f t="shared" si="6"/>
        <v>0</v>
      </c>
      <c r="P106" s="56">
        <f t="shared" si="7"/>
        <v>0</v>
      </c>
      <c r="Q106" s="65">
        <f t="shared" si="4"/>
        <v>0</v>
      </c>
      <c r="R106" s="1"/>
    </row>
    <row r="107">
      <c r="A107" s="1"/>
      <c r="B107" s="2"/>
      <c r="C107" s="51"/>
      <c r="D107" s="52"/>
      <c r="E107" s="70" t="str">
        <f t="shared" si="1"/>
        <v/>
      </c>
      <c r="F107" s="1"/>
      <c r="G107" s="1"/>
      <c r="H107" s="51"/>
      <c r="I107" s="52"/>
      <c r="J107" s="51"/>
      <c r="K107" s="1"/>
      <c r="L107" s="53" t="str">
        <f t="shared" si="2"/>
        <v/>
      </c>
      <c r="M107" s="54" t="str">
        <f t="shared" si="3"/>
        <v/>
      </c>
      <c r="N107" s="67" t="str">
        <f t="shared" si="5"/>
        <v/>
      </c>
      <c r="O107" s="56">
        <f t="shared" si="6"/>
        <v>0</v>
      </c>
      <c r="P107" s="56">
        <f t="shared" si="7"/>
        <v>0</v>
      </c>
      <c r="Q107" s="65">
        <f t="shared" si="4"/>
        <v>0</v>
      </c>
      <c r="R107" s="1"/>
    </row>
    <row r="108">
      <c r="A108" s="1"/>
      <c r="B108" s="2"/>
      <c r="C108" s="51"/>
      <c r="D108" s="52"/>
      <c r="E108" s="70" t="str">
        <f t="shared" si="1"/>
        <v/>
      </c>
      <c r="F108" s="1"/>
      <c r="G108" s="1"/>
      <c r="H108" s="51"/>
      <c r="I108" s="52"/>
      <c r="J108" s="51"/>
      <c r="K108" s="1"/>
      <c r="L108" s="53" t="str">
        <f t="shared" si="2"/>
        <v/>
      </c>
      <c r="M108" s="54" t="str">
        <f t="shared" si="3"/>
        <v/>
      </c>
      <c r="N108" s="67" t="str">
        <f t="shared" si="5"/>
        <v/>
      </c>
      <c r="O108" s="56">
        <f t="shared" si="6"/>
        <v>0</v>
      </c>
      <c r="P108" s="56">
        <f t="shared" si="7"/>
        <v>0</v>
      </c>
      <c r="Q108" s="65">
        <f t="shared" si="4"/>
        <v>0</v>
      </c>
      <c r="R108" s="1"/>
    </row>
    <row r="109">
      <c r="A109" s="1"/>
      <c r="B109" s="2"/>
      <c r="C109" s="51"/>
      <c r="D109" s="52"/>
      <c r="E109" s="70" t="str">
        <f t="shared" si="1"/>
        <v/>
      </c>
      <c r="F109" s="1"/>
      <c r="G109" s="1"/>
      <c r="H109" s="51"/>
      <c r="I109" s="52"/>
      <c r="J109" s="51"/>
      <c r="K109" s="1"/>
      <c r="L109" s="53" t="str">
        <f t="shared" si="2"/>
        <v/>
      </c>
      <c r="M109" s="54" t="str">
        <f t="shared" si="3"/>
        <v/>
      </c>
      <c r="N109" s="67" t="str">
        <f t="shared" si="5"/>
        <v/>
      </c>
      <c r="O109" s="56">
        <f t="shared" si="6"/>
        <v>0</v>
      </c>
      <c r="P109" s="56">
        <f t="shared" si="7"/>
        <v>0</v>
      </c>
      <c r="Q109" s="65">
        <f t="shared" si="4"/>
        <v>0</v>
      </c>
      <c r="R109" s="1"/>
    </row>
    <row r="110">
      <c r="A110" s="1"/>
      <c r="B110" s="2"/>
      <c r="C110" s="51"/>
      <c r="D110" s="52"/>
      <c r="E110" s="70" t="str">
        <f t="shared" si="1"/>
        <v/>
      </c>
      <c r="F110" s="1"/>
      <c r="G110" s="1"/>
      <c r="H110" s="51"/>
      <c r="I110" s="52"/>
      <c r="J110" s="51"/>
      <c r="K110" s="1"/>
      <c r="L110" s="53" t="str">
        <f t="shared" si="2"/>
        <v/>
      </c>
      <c r="M110" s="54" t="str">
        <f t="shared" si="3"/>
        <v/>
      </c>
      <c r="N110" s="67" t="str">
        <f t="shared" si="5"/>
        <v/>
      </c>
      <c r="O110" s="56">
        <f t="shared" si="6"/>
        <v>0</v>
      </c>
      <c r="P110" s="56">
        <f t="shared" si="7"/>
        <v>0</v>
      </c>
      <c r="Q110" s="65">
        <f t="shared" si="4"/>
        <v>0</v>
      </c>
      <c r="R110" s="1"/>
    </row>
    <row r="111">
      <c r="A111" s="1"/>
      <c r="B111" s="2"/>
      <c r="C111" s="51"/>
      <c r="D111" s="52"/>
      <c r="E111" s="70" t="str">
        <f t="shared" si="1"/>
        <v/>
      </c>
      <c r="F111" s="1"/>
      <c r="G111" s="1"/>
      <c r="H111" s="71"/>
      <c r="I111" s="52"/>
      <c r="J111" s="51"/>
      <c r="K111" s="1"/>
      <c r="L111" s="53" t="str">
        <f t="shared" si="2"/>
        <v/>
      </c>
      <c r="M111" s="54" t="str">
        <f t="shared" si="3"/>
        <v/>
      </c>
      <c r="N111" s="67" t="str">
        <f t="shared" si="5"/>
        <v/>
      </c>
      <c r="O111" s="56">
        <f t="shared" si="6"/>
        <v>0</v>
      </c>
      <c r="P111" s="56">
        <f t="shared" si="7"/>
        <v>0</v>
      </c>
      <c r="Q111" s="65">
        <f t="shared" si="4"/>
        <v>0</v>
      </c>
      <c r="R111" s="1"/>
    </row>
    <row r="112">
      <c r="A112" s="1"/>
      <c r="B112" s="2"/>
      <c r="C112" s="51"/>
      <c r="D112" s="52"/>
      <c r="E112" s="70" t="str">
        <f t="shared" si="1"/>
        <v/>
      </c>
      <c r="F112" s="1"/>
      <c r="G112" s="1"/>
      <c r="H112" s="51"/>
      <c r="I112" s="52"/>
      <c r="J112" s="51"/>
      <c r="K112" s="1"/>
      <c r="L112" s="53" t="str">
        <f t="shared" si="2"/>
        <v/>
      </c>
      <c r="M112" s="54" t="str">
        <f t="shared" si="3"/>
        <v/>
      </c>
      <c r="N112" s="67" t="str">
        <f t="shared" si="5"/>
        <v/>
      </c>
      <c r="O112" s="56">
        <f t="shared" si="6"/>
        <v>0</v>
      </c>
      <c r="P112" s="56">
        <f t="shared" si="7"/>
        <v>0</v>
      </c>
      <c r="Q112" s="65">
        <f t="shared" si="4"/>
        <v>0</v>
      </c>
      <c r="R112" s="1"/>
    </row>
    <row r="113">
      <c r="A113" s="1"/>
      <c r="B113" s="2"/>
      <c r="C113" s="51"/>
      <c r="D113" s="52"/>
      <c r="E113" s="70" t="str">
        <f t="shared" si="1"/>
        <v/>
      </c>
      <c r="F113" s="1"/>
      <c r="G113" s="1"/>
      <c r="H113" s="51"/>
      <c r="I113" s="52"/>
      <c r="J113" s="51"/>
      <c r="K113" s="1"/>
      <c r="L113" s="53" t="str">
        <f t="shared" si="2"/>
        <v/>
      </c>
      <c r="M113" s="54" t="str">
        <f t="shared" si="3"/>
        <v/>
      </c>
      <c r="N113" s="67" t="str">
        <f t="shared" si="5"/>
        <v/>
      </c>
      <c r="O113" s="56">
        <f t="shared" si="6"/>
        <v>0</v>
      </c>
      <c r="P113" s="56">
        <f t="shared" si="7"/>
        <v>0</v>
      </c>
      <c r="Q113" s="65">
        <f t="shared" si="4"/>
        <v>0</v>
      </c>
      <c r="R113" s="1"/>
    </row>
    <row r="114">
      <c r="A114" s="1"/>
      <c r="B114" s="2"/>
      <c r="C114" s="71"/>
      <c r="D114" s="52"/>
      <c r="E114" s="70" t="str">
        <f t="shared" si="1"/>
        <v/>
      </c>
      <c r="F114" s="1"/>
      <c r="G114" s="1"/>
      <c r="H114" s="51"/>
      <c r="I114" s="52"/>
      <c r="J114" s="51"/>
      <c r="K114" s="1"/>
      <c r="L114" s="53" t="str">
        <f t="shared" si="2"/>
        <v/>
      </c>
      <c r="M114" s="54" t="str">
        <f t="shared" si="3"/>
        <v/>
      </c>
      <c r="N114" s="67" t="str">
        <f t="shared" si="5"/>
        <v/>
      </c>
      <c r="O114" s="56">
        <f t="shared" si="6"/>
        <v>0</v>
      </c>
      <c r="P114" s="56">
        <f t="shared" si="7"/>
        <v>0</v>
      </c>
      <c r="Q114" s="65">
        <f t="shared" si="4"/>
        <v>0</v>
      </c>
      <c r="R114" s="1"/>
    </row>
    <row r="115">
      <c r="A115" s="1"/>
      <c r="B115" s="2"/>
      <c r="C115" s="51"/>
      <c r="D115" s="52"/>
      <c r="E115" s="70" t="str">
        <f t="shared" si="1"/>
        <v/>
      </c>
      <c r="F115" s="1"/>
      <c r="G115" s="1"/>
      <c r="H115" s="51"/>
      <c r="I115" s="52"/>
      <c r="J115" s="51"/>
      <c r="K115" s="1"/>
      <c r="L115" s="53" t="str">
        <f t="shared" si="2"/>
        <v/>
      </c>
      <c r="M115" s="54" t="str">
        <f t="shared" si="3"/>
        <v/>
      </c>
      <c r="N115" s="67" t="str">
        <f t="shared" si="5"/>
        <v/>
      </c>
      <c r="O115" s="56">
        <f t="shared" si="6"/>
        <v>0</v>
      </c>
      <c r="P115" s="56">
        <f t="shared" si="7"/>
        <v>0</v>
      </c>
      <c r="Q115" s="65">
        <f t="shared" si="4"/>
        <v>0</v>
      </c>
      <c r="R115" s="1"/>
    </row>
    <row r="116">
      <c r="A116" s="1"/>
      <c r="B116" s="2"/>
      <c r="C116" s="71"/>
      <c r="D116" s="52"/>
      <c r="E116" s="70" t="str">
        <f t="shared" si="1"/>
        <v/>
      </c>
      <c r="F116" s="1"/>
      <c r="G116" s="1"/>
      <c r="H116" s="51"/>
      <c r="I116" s="52"/>
      <c r="J116" s="51"/>
      <c r="K116" s="1"/>
      <c r="L116" s="53" t="str">
        <f t="shared" si="2"/>
        <v/>
      </c>
      <c r="M116" s="54" t="str">
        <f t="shared" si="3"/>
        <v/>
      </c>
      <c r="N116" s="67" t="str">
        <f t="shared" si="5"/>
        <v/>
      </c>
      <c r="O116" s="56">
        <f t="shared" si="6"/>
        <v>0</v>
      </c>
      <c r="P116" s="56">
        <f t="shared" si="7"/>
        <v>0</v>
      </c>
      <c r="Q116" s="65">
        <f t="shared" si="4"/>
        <v>0</v>
      </c>
      <c r="R116" s="1"/>
    </row>
    <row r="117">
      <c r="A117" s="1"/>
      <c r="B117" s="2"/>
      <c r="C117" s="51"/>
      <c r="D117" s="52"/>
      <c r="E117" s="70" t="str">
        <f t="shared" si="1"/>
        <v/>
      </c>
      <c r="F117" s="1"/>
      <c r="G117" s="1"/>
      <c r="H117" s="51"/>
      <c r="I117" s="52"/>
      <c r="J117" s="51"/>
      <c r="K117" s="1"/>
      <c r="L117" s="53" t="str">
        <f t="shared" si="2"/>
        <v/>
      </c>
      <c r="M117" s="54" t="str">
        <f t="shared" si="3"/>
        <v/>
      </c>
      <c r="N117" s="67" t="str">
        <f t="shared" si="5"/>
        <v/>
      </c>
      <c r="O117" s="56">
        <f t="shared" si="6"/>
        <v>0</v>
      </c>
      <c r="P117" s="56">
        <f t="shared" si="7"/>
        <v>0</v>
      </c>
      <c r="Q117" s="65">
        <f t="shared" si="4"/>
        <v>0</v>
      </c>
      <c r="R117" s="1"/>
    </row>
    <row r="118">
      <c r="A118" s="1"/>
      <c r="B118" s="2"/>
      <c r="C118" s="51"/>
      <c r="D118" s="52"/>
      <c r="E118" s="70" t="str">
        <f t="shared" si="1"/>
        <v/>
      </c>
      <c r="F118" s="1"/>
      <c r="G118" s="1"/>
      <c r="H118" s="51"/>
      <c r="I118" s="50"/>
      <c r="J118" s="51"/>
      <c r="K118" s="1"/>
      <c r="L118" s="53" t="str">
        <f t="shared" si="2"/>
        <v/>
      </c>
      <c r="M118" s="54" t="str">
        <f t="shared" si="3"/>
        <v/>
      </c>
      <c r="N118" s="67" t="str">
        <f t="shared" si="5"/>
        <v/>
      </c>
      <c r="O118" s="56">
        <f t="shared" si="6"/>
        <v>0</v>
      </c>
      <c r="P118" s="56">
        <f t="shared" si="7"/>
        <v>0</v>
      </c>
      <c r="Q118" s="65">
        <f t="shared" si="4"/>
        <v>0</v>
      </c>
      <c r="R118" s="1"/>
    </row>
    <row r="119">
      <c r="A119" s="1"/>
      <c r="B119" s="2"/>
      <c r="C119" s="51"/>
      <c r="D119" s="52"/>
      <c r="E119" s="70" t="str">
        <f t="shared" si="1"/>
        <v/>
      </c>
      <c r="F119" s="1"/>
      <c r="G119" s="1"/>
      <c r="H119" s="51"/>
      <c r="I119" s="50"/>
      <c r="J119" s="51"/>
      <c r="K119" s="1"/>
      <c r="L119" s="53" t="str">
        <f t="shared" si="2"/>
        <v/>
      </c>
      <c r="M119" s="54" t="str">
        <f t="shared" si="3"/>
        <v/>
      </c>
      <c r="N119" s="67" t="str">
        <f t="shared" si="5"/>
        <v/>
      </c>
      <c r="O119" s="56">
        <f t="shared" si="6"/>
        <v>0</v>
      </c>
      <c r="P119" s="56">
        <f t="shared" si="7"/>
        <v>0</v>
      </c>
      <c r="Q119" s="65">
        <f t="shared" si="4"/>
        <v>0</v>
      </c>
      <c r="R119" s="1"/>
    </row>
    <row r="120">
      <c r="A120" s="1"/>
      <c r="B120" s="1"/>
      <c r="C120" s="51"/>
      <c r="D120" s="52"/>
      <c r="E120" s="70" t="str">
        <f t="shared" si="1"/>
        <v/>
      </c>
      <c r="F120" s="1"/>
      <c r="G120" s="1"/>
      <c r="H120" s="51"/>
      <c r="I120" s="50"/>
      <c r="J120" s="51"/>
      <c r="K120" s="1"/>
      <c r="L120" s="53" t="str">
        <f t="shared" si="2"/>
        <v/>
      </c>
      <c r="M120" s="54" t="str">
        <f t="shared" si="3"/>
        <v/>
      </c>
      <c r="N120" s="67" t="str">
        <f t="shared" si="5"/>
        <v/>
      </c>
      <c r="O120" s="56">
        <f t="shared" si="6"/>
        <v>0</v>
      </c>
      <c r="P120" s="56">
        <f t="shared" si="7"/>
        <v>0</v>
      </c>
      <c r="Q120" s="65">
        <f t="shared" si="4"/>
        <v>0</v>
      </c>
      <c r="R120" s="1"/>
    </row>
    <row r="121">
      <c r="A121" s="1"/>
      <c r="B121" s="1"/>
      <c r="C121" s="51"/>
      <c r="D121" s="52"/>
      <c r="E121" s="70" t="str">
        <f t="shared" si="1"/>
        <v/>
      </c>
      <c r="F121" s="1"/>
      <c r="G121" s="1"/>
      <c r="H121" s="51"/>
      <c r="I121" s="50"/>
      <c r="J121" s="51"/>
      <c r="K121" s="1"/>
      <c r="L121" s="53" t="str">
        <f t="shared" si="2"/>
        <v/>
      </c>
      <c r="M121" s="54" t="str">
        <f t="shared" si="3"/>
        <v/>
      </c>
      <c r="N121" s="67" t="str">
        <f t="shared" si="5"/>
        <v/>
      </c>
      <c r="O121" s="56">
        <f t="shared" si="6"/>
        <v>0</v>
      </c>
      <c r="P121" s="56">
        <f t="shared" si="7"/>
        <v>0</v>
      </c>
      <c r="Q121" s="65">
        <f t="shared" si="4"/>
        <v>0</v>
      </c>
      <c r="R121" s="1"/>
    </row>
    <row r="122">
      <c r="A122" s="1"/>
      <c r="B122" s="1"/>
      <c r="C122" s="71"/>
      <c r="D122" s="52"/>
      <c r="E122" s="70" t="str">
        <f t="shared" si="1"/>
        <v/>
      </c>
      <c r="F122" s="1"/>
      <c r="G122" s="1"/>
      <c r="H122" s="51"/>
      <c r="I122" s="50"/>
      <c r="J122" s="51"/>
      <c r="K122" s="1"/>
      <c r="L122" s="53" t="str">
        <f t="shared" si="2"/>
        <v/>
      </c>
      <c r="M122" s="54" t="str">
        <f t="shared" si="3"/>
        <v/>
      </c>
      <c r="N122" s="67" t="str">
        <f t="shared" si="5"/>
        <v/>
      </c>
      <c r="O122" s="56">
        <f t="shared" si="6"/>
        <v>0</v>
      </c>
      <c r="P122" s="56">
        <f t="shared" si="7"/>
        <v>0</v>
      </c>
      <c r="Q122" s="65">
        <f t="shared" si="4"/>
        <v>0</v>
      </c>
      <c r="R122" s="1"/>
    </row>
    <row r="123">
      <c r="A123" s="1"/>
      <c r="B123" s="1"/>
      <c r="C123" s="51"/>
      <c r="D123" s="52"/>
      <c r="E123" s="70" t="str">
        <f t="shared" si="1"/>
        <v/>
      </c>
      <c r="F123" s="1"/>
      <c r="G123" s="1"/>
      <c r="H123" s="51"/>
      <c r="I123" s="50"/>
      <c r="J123" s="51"/>
      <c r="K123" s="1"/>
      <c r="L123" s="53" t="str">
        <f t="shared" si="2"/>
        <v/>
      </c>
      <c r="M123" s="54" t="str">
        <f t="shared" si="3"/>
        <v/>
      </c>
      <c r="N123" s="67" t="str">
        <f t="shared" si="5"/>
        <v/>
      </c>
      <c r="O123" s="56">
        <f t="shared" si="6"/>
        <v>0</v>
      </c>
      <c r="P123" s="56">
        <f t="shared" si="7"/>
        <v>0</v>
      </c>
      <c r="Q123" s="65">
        <f t="shared" si="4"/>
        <v>0</v>
      </c>
      <c r="R123" s="1"/>
    </row>
    <row r="124">
      <c r="A124" s="1"/>
      <c r="B124" s="1"/>
      <c r="C124" s="51"/>
      <c r="D124" s="52"/>
      <c r="E124" s="70" t="str">
        <f t="shared" si="1"/>
        <v/>
      </c>
      <c r="F124" s="1"/>
      <c r="G124" s="1"/>
      <c r="H124" s="51"/>
      <c r="I124" s="50"/>
      <c r="J124" s="51"/>
      <c r="K124" s="1"/>
      <c r="L124" s="53" t="str">
        <f t="shared" si="2"/>
        <v/>
      </c>
      <c r="M124" s="54" t="str">
        <f t="shared" si="3"/>
        <v/>
      </c>
      <c r="N124" s="67" t="str">
        <f t="shared" si="5"/>
        <v/>
      </c>
      <c r="O124" s="56">
        <f t="shared" si="6"/>
        <v>0</v>
      </c>
      <c r="P124" s="56">
        <f t="shared" si="7"/>
        <v>0</v>
      </c>
      <c r="Q124" s="65">
        <f t="shared" si="4"/>
        <v>0</v>
      </c>
      <c r="R124" s="1"/>
    </row>
    <row r="125">
      <c r="A125" s="1"/>
      <c r="B125" s="1"/>
      <c r="C125" s="51"/>
      <c r="D125" s="52"/>
      <c r="E125" s="70" t="str">
        <f t="shared" si="1"/>
        <v/>
      </c>
      <c r="F125" s="1"/>
      <c r="G125" s="1"/>
      <c r="H125" s="51"/>
      <c r="I125" s="50"/>
      <c r="J125" s="51"/>
      <c r="K125" s="1"/>
      <c r="L125" s="53" t="str">
        <f t="shared" si="2"/>
        <v/>
      </c>
      <c r="M125" s="54" t="str">
        <f t="shared" si="3"/>
        <v/>
      </c>
      <c r="N125" s="67" t="str">
        <f t="shared" si="5"/>
        <v/>
      </c>
      <c r="O125" s="56">
        <f t="shared" si="6"/>
        <v>0</v>
      </c>
      <c r="P125" s="56">
        <f t="shared" si="7"/>
        <v>0</v>
      </c>
      <c r="Q125" s="65">
        <f t="shared" si="4"/>
        <v>0</v>
      </c>
      <c r="R125" s="1"/>
    </row>
    <row r="126">
      <c r="A126" s="1"/>
      <c r="B126" s="1"/>
      <c r="C126" s="51"/>
      <c r="D126" s="52"/>
      <c r="E126" s="70" t="str">
        <f t="shared" si="1"/>
        <v/>
      </c>
      <c r="F126" s="1"/>
      <c r="G126" s="1"/>
      <c r="H126" s="51"/>
      <c r="I126" s="50"/>
      <c r="J126" s="51"/>
      <c r="K126" s="1"/>
      <c r="L126" s="53" t="str">
        <f t="shared" si="2"/>
        <v/>
      </c>
      <c r="M126" s="54" t="str">
        <f t="shared" si="3"/>
        <v/>
      </c>
      <c r="N126" s="67" t="str">
        <f t="shared" si="5"/>
        <v/>
      </c>
      <c r="O126" s="56">
        <f t="shared" si="6"/>
        <v>0</v>
      </c>
      <c r="P126" s="56">
        <f t="shared" si="7"/>
        <v>0</v>
      </c>
      <c r="Q126" s="65">
        <f t="shared" si="4"/>
        <v>0</v>
      </c>
      <c r="R126" s="1"/>
    </row>
    <row r="127">
      <c r="A127" s="1"/>
      <c r="B127" s="1"/>
      <c r="C127" s="51"/>
      <c r="D127" s="52"/>
      <c r="E127" s="70" t="str">
        <f t="shared" si="1"/>
        <v/>
      </c>
      <c r="F127" s="1"/>
      <c r="G127" s="1"/>
      <c r="H127" s="51"/>
      <c r="I127" s="50"/>
      <c r="J127" s="51"/>
      <c r="K127" s="1"/>
      <c r="L127" s="53" t="str">
        <f t="shared" si="2"/>
        <v/>
      </c>
      <c r="M127" s="54" t="str">
        <f t="shared" si="3"/>
        <v/>
      </c>
      <c r="N127" s="67" t="str">
        <f t="shared" si="5"/>
        <v/>
      </c>
      <c r="O127" s="56">
        <f t="shared" si="6"/>
        <v>0</v>
      </c>
      <c r="P127" s="56">
        <f t="shared" si="7"/>
        <v>0</v>
      </c>
      <c r="Q127" s="65">
        <f t="shared" si="4"/>
        <v>0</v>
      </c>
      <c r="R127" s="1"/>
    </row>
    <row r="128">
      <c r="A128" s="1"/>
      <c r="B128" s="1"/>
      <c r="C128" s="51"/>
      <c r="D128" s="52"/>
      <c r="E128" s="70" t="str">
        <f t="shared" si="1"/>
        <v/>
      </c>
      <c r="F128" s="1"/>
      <c r="G128" s="1"/>
      <c r="H128" s="51"/>
      <c r="I128" s="50"/>
      <c r="J128" s="51"/>
      <c r="K128" s="1"/>
      <c r="L128" s="53" t="str">
        <f t="shared" si="2"/>
        <v/>
      </c>
      <c r="M128" s="54" t="str">
        <f t="shared" si="3"/>
        <v/>
      </c>
      <c r="N128" s="67" t="str">
        <f t="shared" si="5"/>
        <v/>
      </c>
      <c r="O128" s="56">
        <f t="shared" si="6"/>
        <v>0</v>
      </c>
      <c r="P128" s="56">
        <f t="shared" si="7"/>
        <v>0</v>
      </c>
      <c r="Q128" s="65">
        <f t="shared" si="4"/>
        <v>0</v>
      </c>
      <c r="R128" s="1"/>
    </row>
    <row r="129">
      <c r="A129" s="1"/>
      <c r="B129" s="1"/>
      <c r="C129" s="51"/>
      <c r="D129" s="52"/>
      <c r="E129" s="70" t="str">
        <f t="shared" si="1"/>
        <v/>
      </c>
      <c r="F129" s="1"/>
      <c r="G129" s="1"/>
      <c r="H129" s="51"/>
      <c r="I129" s="50"/>
      <c r="J129" s="51"/>
      <c r="K129" s="1"/>
      <c r="L129" s="53" t="str">
        <f t="shared" si="2"/>
        <v/>
      </c>
      <c r="M129" s="54" t="str">
        <f t="shared" si="3"/>
        <v/>
      </c>
      <c r="N129" s="67" t="str">
        <f t="shared" si="5"/>
        <v/>
      </c>
      <c r="O129" s="56">
        <f t="shared" si="6"/>
        <v>0</v>
      </c>
      <c r="P129" s="56">
        <f t="shared" si="7"/>
        <v>0</v>
      </c>
      <c r="Q129" s="65">
        <f t="shared" si="4"/>
        <v>0</v>
      </c>
      <c r="R129" s="1"/>
    </row>
    <row r="130">
      <c r="A130" s="1"/>
      <c r="B130" s="1"/>
      <c r="C130" s="51"/>
      <c r="D130" s="50"/>
      <c r="E130" s="70" t="str">
        <f t="shared" si="1"/>
        <v/>
      </c>
      <c r="F130" s="1"/>
      <c r="G130" s="1"/>
      <c r="H130" s="51"/>
      <c r="I130" s="50"/>
      <c r="J130" s="51"/>
      <c r="K130" s="1"/>
      <c r="L130" s="53" t="str">
        <f t="shared" si="2"/>
        <v/>
      </c>
      <c r="M130" s="54" t="str">
        <f t="shared" si="3"/>
        <v/>
      </c>
      <c r="N130" s="67" t="str">
        <f t="shared" si="5"/>
        <v/>
      </c>
      <c r="O130" s="56">
        <f t="shared" si="6"/>
        <v>0</v>
      </c>
      <c r="P130" s="56">
        <f t="shared" si="7"/>
        <v>0</v>
      </c>
      <c r="Q130" s="65">
        <f t="shared" si="4"/>
        <v>0</v>
      </c>
      <c r="R130" s="1"/>
    </row>
    <row r="131">
      <c r="A131" s="1"/>
      <c r="B131" s="1"/>
      <c r="C131" s="51"/>
      <c r="D131" s="50"/>
      <c r="E131" s="70" t="str">
        <f t="shared" si="1"/>
        <v/>
      </c>
      <c r="F131" s="1"/>
      <c r="G131" s="1"/>
      <c r="H131" s="51"/>
      <c r="I131" s="50"/>
      <c r="J131" s="51"/>
      <c r="K131" s="1"/>
      <c r="L131" s="53" t="str">
        <f t="shared" si="2"/>
        <v/>
      </c>
      <c r="M131" s="54" t="str">
        <f t="shared" si="3"/>
        <v/>
      </c>
      <c r="N131" s="67" t="str">
        <f t="shared" si="5"/>
        <v/>
      </c>
      <c r="O131" s="56">
        <f t="shared" si="6"/>
        <v>0</v>
      </c>
      <c r="P131" s="56">
        <f t="shared" si="7"/>
        <v>0</v>
      </c>
      <c r="Q131" s="65">
        <f t="shared" si="4"/>
        <v>0</v>
      </c>
      <c r="R131" s="1"/>
    </row>
    <row r="132">
      <c r="A132" s="1"/>
      <c r="B132" s="1"/>
      <c r="C132" s="51"/>
      <c r="D132" s="50"/>
      <c r="E132" s="70" t="str">
        <f t="shared" si="1"/>
        <v/>
      </c>
      <c r="F132" s="1"/>
      <c r="G132" s="1"/>
      <c r="H132" s="51"/>
      <c r="I132" s="50"/>
      <c r="J132" s="51"/>
      <c r="K132" s="1"/>
      <c r="L132" s="53" t="str">
        <f t="shared" si="2"/>
        <v/>
      </c>
      <c r="M132" s="54" t="str">
        <f t="shared" si="3"/>
        <v/>
      </c>
      <c r="N132" s="67" t="str">
        <f t="shared" si="5"/>
        <v/>
      </c>
      <c r="O132" s="56">
        <f t="shared" si="6"/>
        <v>0</v>
      </c>
      <c r="P132" s="56">
        <f t="shared" si="7"/>
        <v>0</v>
      </c>
      <c r="Q132" s="65">
        <f t="shared" si="4"/>
        <v>0</v>
      </c>
      <c r="R132" s="1"/>
    </row>
    <row r="133">
      <c r="A133" s="1"/>
      <c r="B133" s="1"/>
      <c r="C133" s="51"/>
      <c r="D133" s="50"/>
      <c r="E133" s="70" t="str">
        <f t="shared" si="1"/>
        <v/>
      </c>
      <c r="F133" s="1"/>
      <c r="G133" s="1"/>
      <c r="H133" s="51"/>
      <c r="I133" s="50"/>
      <c r="J133" s="51"/>
      <c r="K133" s="1"/>
      <c r="L133" s="53" t="str">
        <f t="shared" si="2"/>
        <v/>
      </c>
      <c r="M133" s="54" t="str">
        <f t="shared" si="3"/>
        <v/>
      </c>
      <c r="N133" s="67" t="str">
        <f t="shared" si="5"/>
        <v/>
      </c>
      <c r="O133" s="56">
        <f t="shared" si="6"/>
        <v>0</v>
      </c>
      <c r="P133" s="56">
        <f t="shared" si="7"/>
        <v>0</v>
      </c>
      <c r="Q133" s="65">
        <f t="shared" si="4"/>
        <v>0</v>
      </c>
      <c r="R133" s="1"/>
    </row>
    <row r="134">
      <c r="A134" s="1"/>
      <c r="B134" s="1"/>
      <c r="C134" s="51"/>
      <c r="D134" s="50"/>
      <c r="E134" s="70" t="str">
        <f t="shared" si="1"/>
        <v/>
      </c>
      <c r="F134" s="1"/>
      <c r="G134" s="1"/>
      <c r="H134" s="51"/>
      <c r="I134" s="50"/>
      <c r="J134" s="51"/>
      <c r="K134" s="1"/>
      <c r="L134" s="53" t="str">
        <f t="shared" si="2"/>
        <v/>
      </c>
      <c r="M134" s="54" t="str">
        <f t="shared" si="3"/>
        <v/>
      </c>
      <c r="N134" s="67" t="str">
        <f t="shared" si="5"/>
        <v/>
      </c>
      <c r="O134" s="56">
        <f t="shared" si="6"/>
        <v>0</v>
      </c>
      <c r="P134" s="56">
        <f t="shared" si="7"/>
        <v>0</v>
      </c>
      <c r="Q134" s="65">
        <f t="shared" si="4"/>
        <v>0</v>
      </c>
      <c r="R134" s="1"/>
    </row>
    <row r="135">
      <c r="A135" s="1"/>
      <c r="B135" s="1"/>
      <c r="C135" s="51"/>
      <c r="D135" s="50"/>
      <c r="E135" s="70" t="str">
        <f t="shared" si="1"/>
        <v/>
      </c>
      <c r="F135" s="1"/>
      <c r="G135" s="1"/>
      <c r="H135" s="51"/>
      <c r="I135" s="50"/>
      <c r="J135" s="51"/>
      <c r="K135" s="1"/>
      <c r="L135" s="53" t="str">
        <f t="shared" si="2"/>
        <v/>
      </c>
      <c r="M135" s="54" t="str">
        <f t="shared" si="3"/>
        <v/>
      </c>
      <c r="N135" s="67" t="str">
        <f t="shared" si="5"/>
        <v/>
      </c>
      <c r="O135" s="56">
        <f t="shared" si="6"/>
        <v>0</v>
      </c>
      <c r="P135" s="56">
        <f t="shared" si="7"/>
        <v>0</v>
      </c>
      <c r="Q135" s="65">
        <f t="shared" si="4"/>
        <v>0</v>
      </c>
      <c r="R135" s="1"/>
    </row>
    <row r="136">
      <c r="A136" s="1"/>
      <c r="B136" s="1"/>
      <c r="C136" s="51"/>
      <c r="D136" s="50"/>
      <c r="E136" s="70" t="str">
        <f t="shared" si="1"/>
        <v/>
      </c>
      <c r="F136" s="1"/>
      <c r="G136" s="1"/>
      <c r="H136" s="51"/>
      <c r="I136" s="50"/>
      <c r="J136" s="51"/>
      <c r="K136" s="1"/>
      <c r="L136" s="53" t="str">
        <f t="shared" si="2"/>
        <v/>
      </c>
      <c r="M136" s="54" t="str">
        <f t="shared" si="3"/>
        <v/>
      </c>
      <c r="N136" s="67" t="str">
        <f t="shared" si="5"/>
        <v/>
      </c>
      <c r="O136" s="56">
        <f t="shared" si="6"/>
        <v>0</v>
      </c>
      <c r="P136" s="56">
        <f t="shared" si="7"/>
        <v>0</v>
      </c>
      <c r="Q136" s="65">
        <f t="shared" si="4"/>
        <v>0</v>
      </c>
      <c r="R136" s="1"/>
    </row>
    <row r="137">
      <c r="A137" s="1"/>
      <c r="B137" s="1"/>
      <c r="C137" s="51"/>
      <c r="D137" s="50"/>
      <c r="E137" s="70" t="str">
        <f t="shared" si="1"/>
        <v/>
      </c>
      <c r="F137" s="1"/>
      <c r="G137" s="1"/>
      <c r="H137" s="51"/>
      <c r="I137" s="50"/>
      <c r="J137" s="51"/>
      <c r="K137" s="1"/>
      <c r="L137" s="53" t="str">
        <f t="shared" si="2"/>
        <v/>
      </c>
      <c r="M137" s="54" t="str">
        <f t="shared" si="3"/>
        <v/>
      </c>
      <c r="N137" s="67" t="str">
        <f t="shared" si="5"/>
        <v/>
      </c>
      <c r="O137" s="56">
        <f t="shared" si="6"/>
        <v>0</v>
      </c>
      <c r="P137" s="56">
        <f t="shared" si="7"/>
        <v>0</v>
      </c>
      <c r="Q137" s="65">
        <f t="shared" si="4"/>
        <v>0</v>
      </c>
      <c r="R137" s="1"/>
    </row>
    <row r="138">
      <c r="A138" s="1"/>
      <c r="B138" s="1"/>
      <c r="C138" s="51"/>
      <c r="D138" s="50"/>
      <c r="E138" s="70" t="str">
        <f t="shared" si="1"/>
        <v/>
      </c>
      <c r="F138" s="1"/>
      <c r="G138" s="1"/>
      <c r="H138" s="51"/>
      <c r="I138" s="50"/>
      <c r="J138" s="51"/>
      <c r="K138" s="1"/>
      <c r="L138" s="53" t="str">
        <f t="shared" si="2"/>
        <v/>
      </c>
      <c r="M138" s="54" t="str">
        <f t="shared" si="3"/>
        <v/>
      </c>
      <c r="N138" s="67" t="str">
        <f t="shared" si="5"/>
        <v/>
      </c>
      <c r="O138" s="56">
        <f t="shared" si="6"/>
        <v>0</v>
      </c>
      <c r="P138" s="56">
        <f t="shared" si="7"/>
        <v>0</v>
      </c>
      <c r="Q138" s="65">
        <f t="shared" si="4"/>
        <v>0</v>
      </c>
      <c r="R138" s="1"/>
    </row>
    <row r="139">
      <c r="A139" s="1"/>
      <c r="B139" s="1"/>
      <c r="C139" s="51"/>
      <c r="D139" s="50"/>
      <c r="E139" s="70" t="str">
        <f t="shared" si="1"/>
        <v/>
      </c>
      <c r="F139" s="1"/>
      <c r="G139" s="1"/>
      <c r="H139" s="51"/>
      <c r="I139" s="50"/>
      <c r="J139" s="51"/>
      <c r="K139" s="1"/>
      <c r="L139" s="53" t="str">
        <f t="shared" si="2"/>
        <v/>
      </c>
      <c r="M139" s="54" t="str">
        <f t="shared" si="3"/>
        <v/>
      </c>
      <c r="N139" s="67" t="str">
        <f t="shared" si="5"/>
        <v/>
      </c>
      <c r="O139" s="56">
        <f t="shared" si="6"/>
        <v>0</v>
      </c>
      <c r="P139" s="56">
        <f t="shared" si="7"/>
        <v>0</v>
      </c>
      <c r="Q139" s="65">
        <f t="shared" si="4"/>
        <v>0</v>
      </c>
      <c r="R139" s="1"/>
    </row>
    <row r="140">
      <c r="A140" s="1"/>
      <c r="B140" s="1"/>
      <c r="C140" s="51"/>
      <c r="D140" s="50"/>
      <c r="E140" s="70" t="str">
        <f t="shared" si="1"/>
        <v/>
      </c>
      <c r="F140" s="1"/>
      <c r="G140" s="1"/>
      <c r="H140" s="51"/>
      <c r="I140" s="50"/>
      <c r="J140" s="51"/>
      <c r="K140" s="1"/>
      <c r="L140" s="53" t="str">
        <f t="shared" si="2"/>
        <v/>
      </c>
      <c r="M140" s="54" t="str">
        <f t="shared" si="3"/>
        <v/>
      </c>
      <c r="N140" s="67" t="str">
        <f t="shared" si="5"/>
        <v/>
      </c>
      <c r="O140" s="56">
        <f t="shared" si="6"/>
        <v>0</v>
      </c>
      <c r="P140" s="56">
        <f t="shared" si="7"/>
        <v>0</v>
      </c>
      <c r="Q140" s="65">
        <f t="shared" si="4"/>
        <v>0</v>
      </c>
      <c r="R140" s="1"/>
    </row>
    <row r="141">
      <c r="A141" s="1"/>
      <c r="B141" s="1"/>
      <c r="C141" s="51"/>
      <c r="D141" s="50"/>
      <c r="E141" s="70" t="str">
        <f t="shared" si="1"/>
        <v/>
      </c>
      <c r="F141" s="1"/>
      <c r="G141" s="1"/>
      <c r="H141" s="1"/>
      <c r="I141" s="1"/>
      <c r="J141" s="1"/>
      <c r="K141" s="1"/>
      <c r="L141" s="53" t="str">
        <f t="shared" si="2"/>
        <v/>
      </c>
      <c r="M141" s="54" t="str">
        <f t="shared" si="3"/>
        <v/>
      </c>
      <c r="N141" s="67" t="str">
        <f t="shared" si="5"/>
        <v/>
      </c>
      <c r="O141" s="56">
        <f t="shared" si="6"/>
        <v>0</v>
      </c>
      <c r="P141" s="56">
        <f t="shared" si="7"/>
        <v>0</v>
      </c>
      <c r="Q141" s="65">
        <f t="shared" si="4"/>
        <v>0</v>
      </c>
      <c r="R141" s="1"/>
    </row>
    <row r="142">
      <c r="A142" s="1"/>
      <c r="B142" s="1"/>
      <c r="C142" s="51"/>
      <c r="D142" s="50"/>
      <c r="E142" s="70" t="str">
        <f t="shared" si="1"/>
        <v/>
      </c>
      <c r="F142" s="1"/>
      <c r="G142" s="1"/>
      <c r="H142" s="1"/>
      <c r="I142" s="1"/>
      <c r="J142" s="1"/>
      <c r="K142" s="1"/>
      <c r="L142" s="53" t="str">
        <f t="shared" si="2"/>
        <v/>
      </c>
      <c r="M142" s="54" t="str">
        <f t="shared" si="3"/>
        <v/>
      </c>
      <c r="N142" s="67" t="str">
        <f t="shared" si="5"/>
        <v/>
      </c>
      <c r="O142" s="56">
        <f t="shared" si="6"/>
        <v>0</v>
      </c>
      <c r="P142" s="56">
        <f t="shared" si="7"/>
        <v>0</v>
      </c>
      <c r="Q142" s="65">
        <f t="shared" si="4"/>
        <v>0</v>
      </c>
      <c r="R142" s="1"/>
    </row>
    <row r="143">
      <c r="A143" s="1"/>
      <c r="B143" s="1"/>
      <c r="C143" s="51"/>
      <c r="D143" s="50"/>
      <c r="E143" s="70" t="str">
        <f t="shared" si="1"/>
        <v/>
      </c>
      <c r="F143" s="1"/>
      <c r="G143" s="1"/>
      <c r="H143" s="1"/>
      <c r="I143" s="1"/>
      <c r="J143" s="1"/>
      <c r="K143" s="1"/>
      <c r="L143" s="53" t="str">
        <f t="shared" si="2"/>
        <v/>
      </c>
      <c r="M143" s="54" t="str">
        <f t="shared" si="3"/>
        <v/>
      </c>
      <c r="N143" s="67" t="str">
        <f t="shared" si="5"/>
        <v/>
      </c>
      <c r="O143" s="56">
        <f t="shared" si="6"/>
        <v>0</v>
      </c>
      <c r="P143" s="56">
        <f t="shared" si="7"/>
        <v>0</v>
      </c>
      <c r="Q143" s="65">
        <f t="shared" si="4"/>
        <v>0</v>
      </c>
      <c r="R143" s="1"/>
    </row>
    <row r="144">
      <c r="A144" s="1"/>
      <c r="B144" s="1"/>
      <c r="C144" s="51"/>
      <c r="D144" s="50"/>
      <c r="E144" s="70" t="str">
        <f t="shared" si="1"/>
        <v/>
      </c>
      <c r="F144" s="1"/>
      <c r="G144" s="1"/>
      <c r="H144" s="1"/>
      <c r="I144" s="1"/>
      <c r="J144" s="1"/>
      <c r="K144" s="1"/>
      <c r="L144" s="53" t="str">
        <f t="shared" si="2"/>
        <v/>
      </c>
      <c r="M144" s="54" t="str">
        <f t="shared" si="3"/>
        <v/>
      </c>
      <c r="N144" s="67" t="str">
        <f t="shared" si="5"/>
        <v/>
      </c>
      <c r="O144" s="56">
        <f t="shared" si="6"/>
        <v>0</v>
      </c>
      <c r="P144" s="56">
        <f t="shared" si="7"/>
        <v>0</v>
      </c>
      <c r="Q144" s="65">
        <f t="shared" si="4"/>
        <v>0</v>
      </c>
      <c r="R144" s="1"/>
    </row>
    <row r="145">
      <c r="A145" s="1"/>
      <c r="B145" s="1"/>
      <c r="C145" s="51"/>
      <c r="D145" s="50"/>
      <c r="E145" s="70" t="str">
        <f t="shared" si="1"/>
        <v/>
      </c>
      <c r="F145" s="1"/>
      <c r="G145" s="1"/>
      <c r="H145" s="1"/>
      <c r="I145" s="1"/>
      <c r="J145" s="1"/>
      <c r="K145" s="1"/>
      <c r="L145" s="53" t="str">
        <f t="shared" si="2"/>
        <v/>
      </c>
      <c r="M145" s="54" t="str">
        <f t="shared" si="3"/>
        <v/>
      </c>
      <c r="N145" s="67" t="str">
        <f t="shared" si="5"/>
        <v/>
      </c>
      <c r="O145" s="56">
        <f t="shared" si="6"/>
        <v>0</v>
      </c>
      <c r="P145" s="56">
        <f t="shared" si="7"/>
        <v>0</v>
      </c>
      <c r="Q145" s="65">
        <f t="shared" si="4"/>
        <v>0</v>
      </c>
      <c r="R145" s="1"/>
    </row>
    <row r="146">
      <c r="A146" s="1"/>
      <c r="B146" s="1"/>
      <c r="C146" s="51"/>
      <c r="D146" s="50"/>
      <c r="E146" s="70" t="str">
        <f t="shared" si="1"/>
        <v/>
      </c>
      <c r="F146" s="1"/>
      <c r="G146" s="1"/>
      <c r="H146" s="1"/>
      <c r="I146" s="1"/>
      <c r="J146" s="1"/>
      <c r="K146" s="1"/>
      <c r="L146" s="53" t="str">
        <f t="shared" si="2"/>
        <v/>
      </c>
      <c r="M146" s="54" t="str">
        <f t="shared" si="3"/>
        <v/>
      </c>
      <c r="N146" s="67" t="str">
        <f t="shared" si="5"/>
        <v/>
      </c>
      <c r="O146" s="56">
        <f t="shared" si="6"/>
        <v>0</v>
      </c>
      <c r="P146" s="56">
        <f t="shared" si="7"/>
        <v>0</v>
      </c>
      <c r="Q146" s="65">
        <f t="shared" si="4"/>
        <v>0</v>
      </c>
      <c r="R146" s="1"/>
    </row>
    <row r="147">
      <c r="A147" s="1"/>
      <c r="B147" s="1"/>
      <c r="C147" s="51"/>
      <c r="D147" s="50"/>
      <c r="E147" s="70" t="str">
        <f t="shared" si="1"/>
        <v/>
      </c>
      <c r="F147" s="1"/>
      <c r="G147" s="1"/>
      <c r="H147" s="1"/>
      <c r="I147" s="1"/>
      <c r="J147" s="1"/>
      <c r="K147" s="1"/>
      <c r="L147" s="53" t="str">
        <f t="shared" si="2"/>
        <v/>
      </c>
      <c r="M147" s="54" t="str">
        <f t="shared" si="3"/>
        <v/>
      </c>
      <c r="N147" s="67" t="str">
        <f t="shared" si="5"/>
        <v/>
      </c>
      <c r="O147" s="56">
        <f t="shared" si="6"/>
        <v>0</v>
      </c>
      <c r="P147" s="56">
        <f t="shared" si="7"/>
        <v>0</v>
      </c>
      <c r="Q147" s="65">
        <f t="shared" si="4"/>
        <v>0</v>
      </c>
      <c r="R147" s="1"/>
    </row>
    <row r="148">
      <c r="A148" s="1"/>
      <c r="B148" s="1"/>
      <c r="C148" s="51"/>
      <c r="D148" s="50"/>
      <c r="E148" s="70" t="str">
        <f t="shared" si="1"/>
        <v/>
      </c>
      <c r="F148" s="1"/>
      <c r="G148" s="1"/>
      <c r="H148" s="1"/>
      <c r="I148" s="1"/>
      <c r="J148" s="1"/>
      <c r="K148" s="1"/>
      <c r="L148" s="53" t="str">
        <f t="shared" si="2"/>
        <v/>
      </c>
      <c r="M148" s="54" t="str">
        <f t="shared" si="3"/>
        <v/>
      </c>
      <c r="N148" s="67" t="str">
        <f t="shared" si="5"/>
        <v/>
      </c>
      <c r="O148" s="56">
        <f t="shared" si="6"/>
        <v>0</v>
      </c>
      <c r="P148" s="56">
        <f t="shared" si="7"/>
        <v>0</v>
      </c>
      <c r="Q148" s="65">
        <f t="shared" si="4"/>
        <v>0</v>
      </c>
      <c r="R148" s="1"/>
    </row>
    <row r="149">
      <c r="A149" s="1"/>
      <c r="B149" s="1"/>
      <c r="C149" s="51"/>
      <c r="D149" s="50"/>
      <c r="E149" s="70" t="str">
        <f t="shared" si="1"/>
        <v/>
      </c>
      <c r="F149" s="1"/>
      <c r="G149" s="1"/>
      <c r="H149" s="1"/>
      <c r="I149" s="1"/>
      <c r="J149" s="1"/>
      <c r="K149" s="1"/>
      <c r="L149" s="53" t="str">
        <f t="shared" si="2"/>
        <v/>
      </c>
      <c r="M149" s="54" t="str">
        <f t="shared" si="3"/>
        <v/>
      </c>
      <c r="N149" s="67" t="str">
        <f t="shared" si="5"/>
        <v/>
      </c>
      <c r="O149" s="56">
        <f t="shared" si="6"/>
        <v>0</v>
      </c>
      <c r="P149" s="56">
        <f t="shared" si="7"/>
        <v>0</v>
      </c>
      <c r="Q149" s="65">
        <f t="shared" si="4"/>
        <v>0</v>
      </c>
      <c r="R149" s="1"/>
    </row>
    <row r="150">
      <c r="A150" s="1"/>
      <c r="B150" s="1"/>
      <c r="C150" s="51"/>
      <c r="D150" s="50"/>
      <c r="E150" s="70" t="str">
        <f t="shared" si="1"/>
        <v/>
      </c>
      <c r="F150" s="1"/>
      <c r="G150" s="1"/>
      <c r="H150" s="1"/>
      <c r="I150" s="1"/>
      <c r="J150" s="1"/>
      <c r="K150" s="1"/>
      <c r="L150" s="53" t="str">
        <f t="shared" si="2"/>
        <v/>
      </c>
      <c r="M150" s="54" t="str">
        <f t="shared" si="3"/>
        <v/>
      </c>
      <c r="N150" s="67" t="str">
        <f t="shared" si="5"/>
        <v/>
      </c>
      <c r="O150" s="56">
        <f t="shared" si="6"/>
        <v>0</v>
      </c>
      <c r="P150" s="56">
        <f t="shared" si="7"/>
        <v>0</v>
      </c>
      <c r="Q150" s="65">
        <f t="shared" si="4"/>
        <v>0</v>
      </c>
      <c r="R150" s="1"/>
    </row>
    <row r="151">
      <c r="A151" s="1"/>
      <c r="B151" s="1"/>
      <c r="C151" s="71"/>
      <c r="D151" s="50"/>
      <c r="E151" s="70" t="str">
        <f t="shared" si="1"/>
        <v/>
      </c>
      <c r="F151" s="1"/>
      <c r="G151" s="1"/>
      <c r="H151" s="1"/>
      <c r="I151" s="1"/>
      <c r="J151" s="1"/>
      <c r="K151" s="1"/>
      <c r="L151" s="53" t="str">
        <f t="shared" si="2"/>
        <v/>
      </c>
      <c r="M151" s="54" t="str">
        <f t="shared" si="3"/>
        <v/>
      </c>
      <c r="N151" s="67" t="str">
        <f t="shared" si="5"/>
        <v/>
      </c>
      <c r="O151" s="56">
        <f t="shared" si="6"/>
        <v>0</v>
      </c>
      <c r="P151" s="56">
        <f t="shared" si="7"/>
        <v>0</v>
      </c>
      <c r="Q151" s="65">
        <f t="shared" si="4"/>
        <v>0</v>
      </c>
      <c r="R151" s="1"/>
    </row>
    <row r="152">
      <c r="A152" s="1"/>
      <c r="B152" s="1"/>
      <c r="C152" s="51"/>
      <c r="D152" s="50"/>
      <c r="E152" s="70" t="str">
        <f t="shared" si="1"/>
        <v/>
      </c>
      <c r="F152" s="1"/>
      <c r="G152" s="1"/>
      <c r="H152" s="1"/>
      <c r="I152" s="1"/>
      <c r="J152" s="1"/>
      <c r="K152" s="1"/>
      <c r="L152" s="53" t="str">
        <f t="shared" si="2"/>
        <v/>
      </c>
      <c r="M152" s="54" t="str">
        <f t="shared" si="3"/>
        <v/>
      </c>
      <c r="N152" s="67" t="str">
        <f t="shared" si="5"/>
        <v/>
      </c>
      <c r="O152" s="56">
        <f t="shared" si="6"/>
        <v>0</v>
      </c>
      <c r="P152" s="56">
        <f t="shared" si="7"/>
        <v>0</v>
      </c>
      <c r="Q152" s="65">
        <f t="shared" si="4"/>
        <v>0</v>
      </c>
      <c r="R152" s="1"/>
    </row>
    <row r="153">
      <c r="A153" s="1"/>
      <c r="B153" s="1"/>
      <c r="C153" s="71"/>
      <c r="D153" s="50"/>
      <c r="E153" s="70" t="str">
        <f t="shared" si="1"/>
        <v/>
      </c>
      <c r="F153" s="1"/>
      <c r="G153" s="1"/>
      <c r="H153" s="1"/>
      <c r="I153" s="1"/>
      <c r="J153" s="1"/>
      <c r="K153" s="1"/>
      <c r="L153" s="53" t="str">
        <f t="shared" si="2"/>
        <v/>
      </c>
      <c r="M153" s="54" t="str">
        <f t="shared" si="3"/>
        <v/>
      </c>
      <c r="N153" s="67" t="str">
        <f t="shared" si="5"/>
        <v/>
      </c>
      <c r="O153" s="56">
        <f t="shared" si="6"/>
        <v>0</v>
      </c>
      <c r="P153" s="56">
        <f t="shared" si="7"/>
        <v>0</v>
      </c>
      <c r="Q153" s="65">
        <f t="shared" si="4"/>
        <v>0</v>
      </c>
      <c r="R153" s="1"/>
    </row>
    <row r="154">
      <c r="A154" s="1"/>
      <c r="B154" s="1"/>
      <c r="C154" s="51"/>
      <c r="D154" s="50"/>
      <c r="E154" s="70" t="str">
        <f t="shared" si="1"/>
        <v/>
      </c>
      <c r="F154" s="1"/>
      <c r="G154" s="1"/>
      <c r="H154" s="1"/>
      <c r="I154" s="1"/>
      <c r="J154" s="1"/>
      <c r="K154" s="1"/>
      <c r="L154" s="53" t="str">
        <f t="shared" si="2"/>
        <v/>
      </c>
      <c r="M154" s="54" t="str">
        <f t="shared" si="3"/>
        <v/>
      </c>
      <c r="N154" s="67" t="str">
        <f t="shared" si="5"/>
        <v/>
      </c>
      <c r="O154" s="56">
        <f t="shared" si="6"/>
        <v>0</v>
      </c>
      <c r="P154" s="56">
        <f t="shared" si="7"/>
        <v>0</v>
      </c>
      <c r="Q154" s="65">
        <f t="shared" si="4"/>
        <v>0</v>
      </c>
      <c r="R154" s="1"/>
    </row>
    <row r="155">
      <c r="A155" s="50"/>
      <c r="B155" s="50"/>
      <c r="C155" s="51"/>
      <c r="D155" s="50"/>
      <c r="E155" s="70" t="str">
        <f t="shared" si="1"/>
        <v/>
      </c>
      <c r="F155" s="1"/>
      <c r="G155" s="1"/>
      <c r="H155" s="1"/>
      <c r="I155" s="1"/>
      <c r="J155" s="1"/>
      <c r="K155" s="1"/>
      <c r="L155" s="53" t="str">
        <f t="shared" si="2"/>
        <v/>
      </c>
      <c r="M155" s="54" t="str">
        <f t="shared" si="3"/>
        <v/>
      </c>
      <c r="N155" s="67" t="str">
        <f t="shared" si="5"/>
        <v/>
      </c>
      <c r="O155" s="56">
        <f t="shared" si="6"/>
        <v>0</v>
      </c>
      <c r="P155" s="56">
        <f t="shared" si="7"/>
        <v>0</v>
      </c>
      <c r="Q155" s="65">
        <f t="shared" si="4"/>
        <v>0</v>
      </c>
      <c r="R155" s="1"/>
    </row>
    <row r="156">
      <c r="A156" s="50"/>
      <c r="B156" s="50"/>
      <c r="C156" s="51"/>
      <c r="D156" s="50"/>
      <c r="E156" s="70" t="str">
        <f t="shared" si="1"/>
        <v/>
      </c>
      <c r="F156" s="1"/>
      <c r="G156" s="1"/>
      <c r="H156" s="1"/>
      <c r="I156" s="1"/>
      <c r="J156" s="1"/>
      <c r="K156" s="1"/>
      <c r="L156" s="53" t="str">
        <f t="shared" si="2"/>
        <v/>
      </c>
      <c r="M156" s="54" t="str">
        <f t="shared" si="3"/>
        <v/>
      </c>
      <c r="N156" s="67" t="str">
        <f t="shared" si="5"/>
        <v/>
      </c>
      <c r="O156" s="56">
        <f t="shared" si="6"/>
        <v>0</v>
      </c>
      <c r="P156" s="56">
        <f t="shared" si="7"/>
        <v>0</v>
      </c>
      <c r="Q156" s="65">
        <f t="shared" si="4"/>
        <v>0</v>
      </c>
      <c r="R156" s="1"/>
    </row>
    <row r="157">
      <c r="A157" s="50"/>
      <c r="B157" s="50"/>
      <c r="C157" s="51"/>
      <c r="D157" s="50"/>
      <c r="E157" s="70" t="str">
        <f t="shared" si="1"/>
        <v/>
      </c>
      <c r="F157" s="1"/>
      <c r="G157" s="1"/>
      <c r="H157" s="1"/>
      <c r="I157" s="1"/>
      <c r="J157" s="1"/>
      <c r="K157" s="1"/>
      <c r="L157" s="53" t="str">
        <f t="shared" si="2"/>
        <v/>
      </c>
      <c r="M157" s="54" t="str">
        <f t="shared" si="3"/>
        <v/>
      </c>
      <c r="N157" s="67" t="str">
        <f t="shared" si="5"/>
        <v/>
      </c>
      <c r="O157" s="56">
        <f t="shared" si="6"/>
        <v>0</v>
      </c>
      <c r="P157" s="56">
        <f t="shared" si="7"/>
        <v>0</v>
      </c>
      <c r="Q157" s="65">
        <f t="shared" si="4"/>
        <v>0</v>
      </c>
      <c r="R157" s="1"/>
    </row>
    <row r="158">
      <c r="A158" s="50"/>
      <c r="B158" s="50"/>
      <c r="C158" s="51"/>
      <c r="D158" s="50"/>
      <c r="E158" s="70" t="str">
        <f t="shared" si="1"/>
        <v/>
      </c>
      <c r="F158" s="1"/>
      <c r="G158" s="1"/>
      <c r="H158" s="1"/>
      <c r="I158" s="1"/>
      <c r="J158" s="1"/>
      <c r="K158" s="1"/>
      <c r="L158" s="53" t="str">
        <f t="shared" si="2"/>
        <v/>
      </c>
      <c r="M158" s="54" t="str">
        <f t="shared" si="3"/>
        <v/>
      </c>
      <c r="N158" s="67" t="str">
        <f t="shared" si="5"/>
        <v/>
      </c>
      <c r="O158" s="56">
        <f t="shared" si="6"/>
        <v>0</v>
      </c>
      <c r="P158" s="56">
        <f t="shared" si="7"/>
        <v>0</v>
      </c>
      <c r="Q158" s="65">
        <f t="shared" si="4"/>
        <v>0</v>
      </c>
      <c r="R158" s="1"/>
    </row>
    <row r="159">
      <c r="A159" s="1"/>
      <c r="B159" s="1"/>
      <c r="C159" s="51"/>
      <c r="D159" s="50"/>
      <c r="E159" s="70" t="str">
        <f t="shared" si="1"/>
        <v/>
      </c>
      <c r="F159" s="1"/>
      <c r="G159" s="1"/>
      <c r="H159" s="1"/>
      <c r="I159" s="1"/>
      <c r="J159" s="1"/>
      <c r="K159" s="1"/>
      <c r="L159" s="53" t="str">
        <f t="shared" si="2"/>
        <v/>
      </c>
      <c r="M159" s="54" t="str">
        <f t="shared" si="3"/>
        <v/>
      </c>
      <c r="N159" s="67" t="str">
        <f t="shared" si="5"/>
        <v/>
      </c>
      <c r="O159" s="56">
        <f t="shared" si="6"/>
        <v>0</v>
      </c>
      <c r="P159" s="56">
        <f t="shared" si="7"/>
        <v>0</v>
      </c>
      <c r="Q159" s="65">
        <f t="shared" si="4"/>
        <v>0</v>
      </c>
      <c r="R159" s="1"/>
    </row>
    <row r="160">
      <c r="A160" s="1"/>
      <c r="B160" s="1"/>
      <c r="C160" s="51"/>
      <c r="D160" s="50"/>
      <c r="E160" s="70" t="str">
        <f t="shared" si="1"/>
        <v/>
      </c>
      <c r="F160" s="1"/>
      <c r="G160" s="1"/>
      <c r="H160" s="1"/>
      <c r="I160" s="1"/>
      <c r="J160" s="1"/>
      <c r="K160" s="1"/>
      <c r="L160" s="53" t="str">
        <f t="shared" si="2"/>
        <v/>
      </c>
      <c r="M160" s="54" t="str">
        <f t="shared" si="3"/>
        <v/>
      </c>
      <c r="N160" s="67" t="str">
        <f t="shared" si="5"/>
        <v/>
      </c>
      <c r="O160" s="56">
        <f t="shared" si="6"/>
        <v>0</v>
      </c>
      <c r="P160" s="56">
        <f t="shared" si="7"/>
        <v>0</v>
      </c>
      <c r="Q160" s="65">
        <f t="shared" si="4"/>
        <v>0</v>
      </c>
      <c r="R160" s="1"/>
    </row>
    <row r="161">
      <c r="A161" s="1"/>
      <c r="B161" s="1"/>
      <c r="C161" s="51"/>
      <c r="D161" s="50"/>
      <c r="E161" s="70" t="str">
        <f t="shared" si="1"/>
        <v/>
      </c>
      <c r="F161" s="1"/>
      <c r="G161" s="1"/>
      <c r="H161" s="1"/>
      <c r="I161" s="1"/>
      <c r="J161" s="1"/>
      <c r="K161" s="1"/>
      <c r="L161" s="53" t="str">
        <f t="shared" si="2"/>
        <v/>
      </c>
      <c r="M161" s="54" t="str">
        <f t="shared" si="3"/>
        <v/>
      </c>
      <c r="N161" s="67" t="str">
        <f t="shared" si="5"/>
        <v/>
      </c>
      <c r="O161" s="56">
        <f t="shared" si="6"/>
        <v>0</v>
      </c>
      <c r="P161" s="56">
        <f t="shared" si="7"/>
        <v>0</v>
      </c>
      <c r="Q161" s="65">
        <f t="shared" si="4"/>
        <v>0</v>
      </c>
      <c r="R161" s="1"/>
    </row>
    <row r="162">
      <c r="A162" s="1"/>
      <c r="B162" s="1"/>
      <c r="C162" s="51"/>
      <c r="D162" s="50"/>
      <c r="E162" s="70" t="str">
        <f t="shared" si="1"/>
        <v/>
      </c>
      <c r="F162" s="1"/>
      <c r="G162" s="1"/>
      <c r="H162" s="1"/>
      <c r="I162" s="1"/>
      <c r="J162" s="1"/>
      <c r="K162" s="1"/>
      <c r="L162" s="53" t="str">
        <f t="shared" si="2"/>
        <v/>
      </c>
      <c r="M162" s="54" t="str">
        <f t="shared" si="3"/>
        <v/>
      </c>
      <c r="N162" s="67" t="str">
        <f t="shared" si="5"/>
        <v/>
      </c>
      <c r="O162" s="56">
        <f t="shared" si="6"/>
        <v>0</v>
      </c>
      <c r="P162" s="56">
        <f t="shared" si="7"/>
        <v>0</v>
      </c>
      <c r="Q162" s="65">
        <f t="shared" si="4"/>
        <v>0</v>
      </c>
      <c r="R162" s="1"/>
    </row>
    <row r="163">
      <c r="A163" s="1"/>
      <c r="B163" s="1"/>
      <c r="C163" s="51"/>
      <c r="D163" s="50"/>
      <c r="E163" s="70" t="str">
        <f t="shared" si="1"/>
        <v/>
      </c>
      <c r="F163" s="1"/>
      <c r="G163" s="1"/>
      <c r="H163" s="1"/>
      <c r="I163" s="1"/>
      <c r="J163" s="1"/>
      <c r="K163" s="1"/>
      <c r="L163" s="53" t="str">
        <f t="shared" si="2"/>
        <v/>
      </c>
      <c r="M163" s="54" t="str">
        <f t="shared" si="3"/>
        <v/>
      </c>
      <c r="N163" s="67" t="str">
        <f t="shared" si="5"/>
        <v/>
      </c>
      <c r="O163" s="56">
        <f t="shared" si="6"/>
        <v>0</v>
      </c>
      <c r="P163" s="56">
        <f t="shared" si="7"/>
        <v>0</v>
      </c>
      <c r="Q163" s="65">
        <f t="shared" si="4"/>
        <v>0</v>
      </c>
      <c r="R163" s="1"/>
    </row>
    <row r="164">
      <c r="A164" s="1"/>
      <c r="B164" s="1"/>
      <c r="C164" s="51"/>
      <c r="D164" s="50"/>
      <c r="E164" s="70" t="str">
        <f t="shared" si="1"/>
        <v/>
      </c>
      <c r="F164" s="1"/>
      <c r="G164" s="1"/>
      <c r="H164" s="1"/>
      <c r="I164" s="1"/>
      <c r="J164" s="1"/>
      <c r="K164" s="1"/>
      <c r="L164" s="53" t="str">
        <f t="shared" si="2"/>
        <v/>
      </c>
      <c r="M164" s="54" t="str">
        <f t="shared" si="3"/>
        <v/>
      </c>
      <c r="N164" s="67" t="str">
        <f t="shared" si="5"/>
        <v/>
      </c>
      <c r="O164" s="56">
        <f t="shared" si="6"/>
        <v>0</v>
      </c>
      <c r="P164" s="56">
        <f t="shared" si="7"/>
        <v>0</v>
      </c>
      <c r="Q164" s="65">
        <f t="shared" si="4"/>
        <v>0</v>
      </c>
      <c r="R164" s="1"/>
    </row>
    <row r="165">
      <c r="A165" s="1"/>
      <c r="B165" s="1"/>
      <c r="C165" s="51"/>
      <c r="D165" s="50"/>
      <c r="E165" s="70" t="str">
        <f t="shared" si="1"/>
        <v/>
      </c>
      <c r="F165" s="1"/>
      <c r="G165" s="1"/>
      <c r="H165" s="1"/>
      <c r="I165" s="1"/>
      <c r="J165" s="1"/>
      <c r="K165" s="1"/>
      <c r="L165" s="53" t="str">
        <f t="shared" si="2"/>
        <v/>
      </c>
      <c r="M165" s="54" t="str">
        <f t="shared" si="3"/>
        <v/>
      </c>
      <c r="N165" s="67" t="str">
        <f t="shared" si="5"/>
        <v/>
      </c>
      <c r="O165" s="56">
        <f t="shared" si="6"/>
        <v>0</v>
      </c>
      <c r="P165" s="56">
        <f t="shared" si="7"/>
        <v>0</v>
      </c>
      <c r="Q165" s="65">
        <f t="shared" si="4"/>
        <v>0</v>
      </c>
      <c r="R165" s="1"/>
    </row>
    <row r="166">
      <c r="A166" s="1"/>
      <c r="B166" s="1"/>
      <c r="C166" s="51"/>
      <c r="D166" s="50"/>
      <c r="E166" s="70" t="str">
        <f t="shared" si="1"/>
        <v/>
      </c>
      <c r="F166" s="1"/>
      <c r="G166" s="1"/>
      <c r="H166" s="1"/>
      <c r="I166" s="1"/>
      <c r="J166" s="1"/>
      <c r="K166" s="1"/>
      <c r="L166" s="53" t="str">
        <f t="shared" si="2"/>
        <v/>
      </c>
      <c r="M166" s="54" t="str">
        <f t="shared" si="3"/>
        <v/>
      </c>
      <c r="N166" s="67" t="str">
        <f t="shared" si="5"/>
        <v/>
      </c>
      <c r="O166" s="56">
        <f t="shared" si="6"/>
        <v>0</v>
      </c>
      <c r="P166" s="56">
        <f t="shared" si="7"/>
        <v>0</v>
      </c>
      <c r="Q166" s="65">
        <f t="shared" si="4"/>
        <v>0</v>
      </c>
      <c r="R166" s="1"/>
    </row>
    <row r="167">
      <c r="A167" s="1"/>
      <c r="B167" s="1"/>
      <c r="C167" s="51"/>
      <c r="D167" s="50"/>
      <c r="E167" s="70" t="str">
        <f t="shared" si="1"/>
        <v/>
      </c>
      <c r="F167" s="1"/>
      <c r="G167" s="1"/>
      <c r="H167" s="1"/>
      <c r="I167" s="1"/>
      <c r="J167" s="1"/>
      <c r="K167" s="1"/>
      <c r="L167" s="53" t="str">
        <f t="shared" si="2"/>
        <v/>
      </c>
      <c r="M167" s="54" t="str">
        <f t="shared" si="3"/>
        <v/>
      </c>
      <c r="N167" s="81" t="str">
        <f t="shared" si="5"/>
        <v/>
      </c>
      <c r="O167" s="56">
        <f t="shared" si="6"/>
        <v>0</v>
      </c>
      <c r="P167" s="56">
        <f t="shared" si="7"/>
        <v>0</v>
      </c>
      <c r="Q167" s="65">
        <f t="shared" si="4"/>
        <v>0</v>
      </c>
      <c r="R167" s="1"/>
    </row>
    <row r="168">
      <c r="A168" s="1"/>
      <c r="B168" s="1"/>
      <c r="C168" s="51"/>
      <c r="D168" s="50"/>
      <c r="E168" s="70" t="str">
        <f t="shared" si="1"/>
        <v/>
      </c>
      <c r="F168" s="1"/>
      <c r="G168" s="1"/>
      <c r="H168" s="1"/>
      <c r="I168" s="1"/>
      <c r="J168" s="1"/>
      <c r="K168" s="1"/>
      <c r="L168" s="53" t="str">
        <f t="shared" si="2"/>
        <v/>
      </c>
      <c r="M168" s="54" t="str">
        <f t="shared" si="3"/>
        <v/>
      </c>
      <c r="N168" s="81" t="str">
        <f t="shared" si="5"/>
        <v/>
      </c>
      <c r="O168" s="56">
        <f t="shared" si="6"/>
        <v>0</v>
      </c>
      <c r="P168" s="56">
        <f t="shared" si="7"/>
        <v>0</v>
      </c>
      <c r="Q168" s="65">
        <f t="shared" si="4"/>
        <v>0</v>
      </c>
      <c r="R168" s="1"/>
    </row>
    <row r="169">
      <c r="A169" s="1"/>
      <c r="B169" s="1"/>
      <c r="C169" s="51"/>
      <c r="D169" s="50"/>
      <c r="E169" s="70" t="str">
        <f t="shared" si="1"/>
        <v/>
      </c>
      <c r="F169" s="1"/>
      <c r="G169" s="1"/>
      <c r="H169" s="1"/>
      <c r="I169" s="1"/>
      <c r="J169" s="1"/>
      <c r="K169" s="1"/>
      <c r="L169" s="53" t="str">
        <f t="shared" si="2"/>
        <v/>
      </c>
      <c r="M169" s="54" t="str">
        <f t="shared" si="3"/>
        <v/>
      </c>
      <c r="N169" s="81" t="str">
        <f t="shared" si="5"/>
        <v/>
      </c>
      <c r="O169" s="56">
        <f t="shared" si="6"/>
        <v>0</v>
      </c>
      <c r="P169" s="56">
        <f t="shared" si="7"/>
        <v>0</v>
      </c>
      <c r="Q169" s="65">
        <f t="shared" si="4"/>
        <v>0</v>
      </c>
      <c r="R169" s="1"/>
    </row>
    <row r="170">
      <c r="A170" s="1"/>
      <c r="B170" s="1"/>
      <c r="C170" s="51"/>
      <c r="D170" s="50"/>
      <c r="E170" s="70" t="str">
        <f t="shared" si="1"/>
        <v/>
      </c>
      <c r="F170" s="1"/>
      <c r="G170" s="1"/>
      <c r="H170" s="1"/>
      <c r="I170" s="1"/>
      <c r="J170" s="1"/>
      <c r="K170" s="1"/>
      <c r="L170" s="53" t="str">
        <f t="shared" si="2"/>
        <v/>
      </c>
      <c r="M170" s="54" t="str">
        <f t="shared" si="3"/>
        <v/>
      </c>
      <c r="N170" s="81" t="str">
        <f t="shared" si="5"/>
        <v/>
      </c>
      <c r="O170" s="56">
        <f t="shared" si="6"/>
        <v>0</v>
      </c>
      <c r="P170" s="56">
        <f t="shared" si="7"/>
        <v>0</v>
      </c>
      <c r="Q170" s="65">
        <f t="shared" si="4"/>
        <v>0</v>
      </c>
      <c r="R170" s="1"/>
    </row>
    <row r="171">
      <c r="A171" s="1"/>
      <c r="B171" s="1"/>
      <c r="C171" s="51"/>
      <c r="D171" s="50"/>
      <c r="E171" s="70" t="str">
        <f t="shared" si="1"/>
        <v/>
      </c>
      <c r="F171" s="1"/>
      <c r="G171" s="1"/>
      <c r="H171" s="1"/>
      <c r="I171" s="1"/>
      <c r="J171" s="1"/>
      <c r="K171" s="1"/>
      <c r="L171" s="53" t="str">
        <f t="shared" si="2"/>
        <v/>
      </c>
      <c r="M171" s="54" t="str">
        <f t="shared" si="3"/>
        <v/>
      </c>
      <c r="N171" s="81" t="str">
        <f t="shared" si="5"/>
        <v/>
      </c>
      <c r="O171" s="56">
        <f t="shared" si="6"/>
        <v>0</v>
      </c>
      <c r="P171" s="56">
        <f t="shared" si="7"/>
        <v>0</v>
      </c>
      <c r="Q171" s="65">
        <f t="shared" si="4"/>
        <v>0</v>
      </c>
      <c r="R171" s="1"/>
    </row>
    <row r="172">
      <c r="A172" s="1"/>
      <c r="B172" s="1"/>
      <c r="C172" s="51"/>
      <c r="D172" s="50"/>
      <c r="E172" s="70" t="str">
        <f t="shared" si="1"/>
        <v/>
      </c>
      <c r="F172" s="1"/>
      <c r="G172" s="1"/>
      <c r="H172" s="1"/>
      <c r="I172" s="1"/>
      <c r="J172" s="1"/>
      <c r="K172" s="1"/>
      <c r="L172" s="53" t="str">
        <f t="shared" si="2"/>
        <v/>
      </c>
      <c r="M172" s="54" t="str">
        <f t="shared" si="3"/>
        <v/>
      </c>
      <c r="N172" s="81" t="str">
        <f t="shared" si="5"/>
        <v/>
      </c>
      <c r="O172" s="56">
        <f t="shared" si="6"/>
        <v>0</v>
      </c>
      <c r="P172" s="56">
        <f t="shared" si="7"/>
        <v>0</v>
      </c>
      <c r="Q172" s="65">
        <f t="shared" si="4"/>
        <v>0</v>
      </c>
      <c r="R172" s="1"/>
    </row>
    <row r="173">
      <c r="A173" s="1"/>
      <c r="B173" s="1"/>
      <c r="C173" s="51"/>
      <c r="D173" s="50"/>
      <c r="E173" s="70" t="str">
        <f t="shared" si="1"/>
        <v/>
      </c>
      <c r="F173" s="1"/>
      <c r="G173" s="1"/>
      <c r="H173" s="1"/>
      <c r="I173" s="1"/>
      <c r="J173" s="1"/>
      <c r="K173" s="1"/>
      <c r="L173" s="53" t="str">
        <f t="shared" si="2"/>
        <v/>
      </c>
      <c r="M173" s="54" t="str">
        <f t="shared" si="3"/>
        <v/>
      </c>
      <c r="N173" s="81" t="str">
        <f t="shared" si="5"/>
        <v/>
      </c>
      <c r="O173" s="56">
        <f t="shared" si="6"/>
        <v>0</v>
      </c>
      <c r="P173" s="56">
        <f t="shared" si="7"/>
        <v>0</v>
      </c>
      <c r="Q173" s="65">
        <f t="shared" si="4"/>
        <v>0</v>
      </c>
      <c r="R173" s="1"/>
    </row>
    <row r="174">
      <c r="A174" s="1"/>
      <c r="B174" s="1"/>
      <c r="C174" s="51"/>
      <c r="D174" s="50"/>
      <c r="E174" s="70" t="str">
        <f t="shared" si="1"/>
        <v/>
      </c>
      <c r="F174" s="1"/>
      <c r="G174" s="1"/>
      <c r="H174" s="1"/>
      <c r="I174" s="1"/>
      <c r="J174" s="1"/>
      <c r="K174" s="1"/>
      <c r="L174" s="53" t="str">
        <f t="shared" si="2"/>
        <v/>
      </c>
      <c r="M174" s="54" t="str">
        <f t="shared" si="3"/>
        <v/>
      </c>
      <c r="N174" s="81" t="str">
        <f t="shared" si="5"/>
        <v/>
      </c>
      <c r="O174" s="56">
        <f t="shared" si="6"/>
        <v>0</v>
      </c>
      <c r="P174" s="56">
        <f t="shared" si="7"/>
        <v>0</v>
      </c>
      <c r="Q174" s="65">
        <f t="shared" si="4"/>
        <v>0</v>
      </c>
      <c r="R174" s="1"/>
    </row>
    <row r="175">
      <c r="A175" s="1"/>
      <c r="B175" s="1"/>
      <c r="C175" s="51"/>
      <c r="D175" s="50"/>
      <c r="E175" s="70" t="str">
        <f t="shared" si="1"/>
        <v/>
      </c>
      <c r="F175" s="1"/>
      <c r="G175" s="1"/>
      <c r="H175" s="1"/>
      <c r="I175" s="1"/>
      <c r="J175" s="1"/>
      <c r="K175" s="1"/>
      <c r="L175" s="53" t="str">
        <f t="shared" si="2"/>
        <v/>
      </c>
      <c r="M175" s="54" t="str">
        <f t="shared" si="3"/>
        <v/>
      </c>
      <c r="N175" s="81" t="str">
        <f t="shared" si="5"/>
        <v/>
      </c>
      <c r="O175" s="56">
        <f t="shared" si="6"/>
        <v>0</v>
      </c>
      <c r="P175" s="56">
        <f t="shared" si="7"/>
        <v>0</v>
      </c>
      <c r="Q175" s="65">
        <f t="shared" si="4"/>
        <v>0</v>
      </c>
      <c r="R175" s="1"/>
    </row>
    <row r="176">
      <c r="A176" s="1"/>
      <c r="B176" s="1"/>
      <c r="C176" s="51"/>
      <c r="D176" s="50"/>
      <c r="E176" s="70" t="str">
        <f t="shared" si="1"/>
        <v/>
      </c>
      <c r="F176" s="1"/>
      <c r="G176" s="1"/>
      <c r="H176" s="1"/>
      <c r="I176" s="1"/>
      <c r="J176" s="1"/>
      <c r="K176" s="1"/>
      <c r="L176" s="53" t="str">
        <f t="shared" si="2"/>
        <v/>
      </c>
      <c r="M176" s="54" t="str">
        <f t="shared" si="3"/>
        <v/>
      </c>
      <c r="N176" s="81" t="str">
        <f t="shared" si="5"/>
        <v/>
      </c>
      <c r="O176" s="56">
        <f t="shared" si="6"/>
        <v>0</v>
      </c>
      <c r="P176" s="56">
        <f t="shared" si="7"/>
        <v>0</v>
      </c>
      <c r="Q176" s="65">
        <f t="shared" si="4"/>
        <v>0</v>
      </c>
      <c r="R176" s="1"/>
    </row>
    <row r="177">
      <c r="A177" s="1"/>
      <c r="B177" s="1"/>
      <c r="C177" s="51"/>
      <c r="D177" s="50"/>
      <c r="E177" s="70" t="str">
        <f t="shared" si="1"/>
        <v/>
      </c>
      <c r="F177" s="1"/>
      <c r="G177" s="1"/>
      <c r="H177" s="1"/>
      <c r="I177" s="1"/>
      <c r="J177" s="1"/>
      <c r="K177" s="1"/>
      <c r="L177" s="53" t="str">
        <f t="shared" si="2"/>
        <v/>
      </c>
      <c r="M177" s="54" t="str">
        <f t="shared" si="3"/>
        <v/>
      </c>
      <c r="N177" s="81" t="str">
        <f t="shared" si="5"/>
        <v/>
      </c>
      <c r="O177" s="56">
        <f t="shared" si="6"/>
        <v>0</v>
      </c>
      <c r="P177" s="56">
        <f t="shared" si="7"/>
        <v>0</v>
      </c>
      <c r="Q177" s="65">
        <f t="shared" si="4"/>
        <v>0</v>
      </c>
      <c r="R177" s="1"/>
    </row>
    <row r="178">
      <c r="A178" s="1"/>
      <c r="B178" s="1"/>
      <c r="C178" s="51"/>
      <c r="D178" s="50"/>
      <c r="E178" s="70" t="str">
        <f t="shared" si="1"/>
        <v/>
      </c>
      <c r="F178" s="1"/>
      <c r="G178" s="1"/>
      <c r="H178" s="1"/>
      <c r="I178" s="1"/>
      <c r="J178" s="1"/>
      <c r="K178" s="1"/>
      <c r="L178" s="53" t="str">
        <f t="shared" si="2"/>
        <v/>
      </c>
      <c r="M178" s="54" t="str">
        <f t="shared" si="3"/>
        <v/>
      </c>
      <c r="N178" s="81" t="str">
        <f t="shared" si="5"/>
        <v/>
      </c>
      <c r="O178" s="56">
        <f t="shared" si="6"/>
        <v>0</v>
      </c>
      <c r="P178" s="56">
        <f t="shared" si="7"/>
        <v>0</v>
      </c>
      <c r="Q178" s="65">
        <f t="shared" si="4"/>
        <v>0</v>
      </c>
      <c r="R178" s="1"/>
    </row>
    <row r="179">
      <c r="A179" s="1"/>
      <c r="B179" s="1"/>
      <c r="C179" s="51"/>
      <c r="D179" s="50"/>
      <c r="E179" s="70" t="str">
        <f t="shared" si="1"/>
        <v/>
      </c>
      <c r="F179" s="1"/>
      <c r="G179" s="1"/>
      <c r="H179" s="1"/>
      <c r="I179" s="1"/>
      <c r="J179" s="1"/>
      <c r="K179" s="1"/>
      <c r="L179" s="53" t="str">
        <f t="shared" si="2"/>
        <v/>
      </c>
      <c r="M179" s="54" t="str">
        <f t="shared" si="3"/>
        <v/>
      </c>
      <c r="N179" s="81" t="str">
        <f t="shared" si="5"/>
        <v/>
      </c>
      <c r="O179" s="56">
        <f t="shared" si="6"/>
        <v>0</v>
      </c>
      <c r="P179" s="56">
        <f t="shared" si="7"/>
        <v>0</v>
      </c>
      <c r="Q179" s="65">
        <f t="shared" si="4"/>
        <v>0</v>
      </c>
      <c r="R179" s="1"/>
    </row>
    <row r="180">
      <c r="A180" s="1"/>
      <c r="B180" s="1"/>
      <c r="C180" s="51"/>
      <c r="D180" s="50"/>
      <c r="E180" s="70" t="str">
        <f t="shared" si="1"/>
        <v/>
      </c>
      <c r="F180" s="1"/>
      <c r="G180" s="1"/>
      <c r="H180" s="1"/>
      <c r="I180" s="1"/>
      <c r="J180" s="1"/>
      <c r="K180" s="1"/>
      <c r="L180" s="53" t="str">
        <f t="shared" si="2"/>
        <v/>
      </c>
      <c r="M180" s="54" t="str">
        <f t="shared" si="3"/>
        <v/>
      </c>
      <c r="N180" s="81" t="str">
        <f t="shared" si="5"/>
        <v/>
      </c>
      <c r="O180" s="56">
        <f t="shared" si="6"/>
        <v>0</v>
      </c>
      <c r="P180" s="56">
        <f t="shared" si="7"/>
        <v>0</v>
      </c>
      <c r="Q180" s="65">
        <f t="shared" si="4"/>
        <v>0</v>
      </c>
      <c r="R180" s="1"/>
    </row>
    <row r="181">
      <c r="A181" s="1"/>
      <c r="B181" s="1"/>
      <c r="C181" s="51"/>
      <c r="D181" s="50"/>
      <c r="E181" s="70" t="str">
        <f t="shared" si="1"/>
        <v/>
      </c>
      <c r="F181" s="1"/>
      <c r="G181" s="1"/>
      <c r="H181" s="1"/>
      <c r="I181" s="1"/>
      <c r="J181" s="1"/>
      <c r="K181" s="1"/>
      <c r="L181" s="53" t="str">
        <f t="shared" si="2"/>
        <v/>
      </c>
      <c r="M181" s="54" t="str">
        <f t="shared" si="3"/>
        <v/>
      </c>
      <c r="N181" s="81" t="str">
        <f t="shared" si="5"/>
        <v/>
      </c>
      <c r="O181" s="56">
        <f t="shared" si="6"/>
        <v>0</v>
      </c>
      <c r="P181" s="56">
        <f t="shared" si="7"/>
        <v>0</v>
      </c>
      <c r="Q181" s="65">
        <f t="shared" si="4"/>
        <v>0</v>
      </c>
      <c r="R181" s="1"/>
    </row>
    <row r="182">
      <c r="A182" s="1"/>
      <c r="B182" s="1"/>
      <c r="C182" s="51"/>
      <c r="D182" s="50"/>
      <c r="E182" s="70" t="str">
        <f t="shared" si="1"/>
        <v/>
      </c>
      <c r="F182" s="1"/>
      <c r="G182" s="1"/>
      <c r="H182" s="1"/>
      <c r="I182" s="1"/>
      <c r="J182" s="1"/>
      <c r="K182" s="1"/>
      <c r="L182" s="53" t="str">
        <f t="shared" si="2"/>
        <v/>
      </c>
      <c r="M182" s="54" t="str">
        <f t="shared" si="3"/>
        <v/>
      </c>
      <c r="N182" s="81" t="str">
        <f t="shared" si="5"/>
        <v/>
      </c>
      <c r="O182" s="56">
        <f t="shared" si="6"/>
        <v>0</v>
      </c>
      <c r="P182" s="56">
        <f t="shared" si="7"/>
        <v>0</v>
      </c>
      <c r="Q182" s="65">
        <f t="shared" si="4"/>
        <v>0</v>
      </c>
      <c r="R182" s="1"/>
    </row>
    <row r="183">
      <c r="A183" s="1"/>
      <c r="B183" s="1"/>
      <c r="C183" s="51"/>
      <c r="D183" s="50"/>
      <c r="E183" s="70" t="str">
        <f t="shared" si="1"/>
        <v/>
      </c>
      <c r="F183" s="1"/>
      <c r="G183" s="1"/>
      <c r="H183" s="1"/>
      <c r="I183" s="1"/>
      <c r="J183" s="1"/>
      <c r="K183" s="1"/>
      <c r="L183" s="53" t="str">
        <f t="shared" si="2"/>
        <v/>
      </c>
      <c r="M183" s="54" t="str">
        <f t="shared" si="3"/>
        <v/>
      </c>
      <c r="N183" s="81" t="str">
        <f t="shared" si="5"/>
        <v/>
      </c>
      <c r="O183" s="56">
        <f t="shared" si="6"/>
        <v>0</v>
      </c>
      <c r="P183" s="56">
        <f t="shared" si="7"/>
        <v>0</v>
      </c>
      <c r="Q183" s="65">
        <f t="shared" si="4"/>
        <v>0</v>
      </c>
      <c r="R183" s="1"/>
    </row>
    <row r="184">
      <c r="A184" s="1"/>
      <c r="B184" s="1"/>
      <c r="C184" s="51"/>
      <c r="D184" s="50"/>
      <c r="E184" s="70" t="str">
        <f t="shared" si="1"/>
        <v/>
      </c>
      <c r="F184" s="1"/>
      <c r="G184" s="1"/>
      <c r="H184" s="1"/>
      <c r="I184" s="1"/>
      <c r="J184" s="1"/>
      <c r="K184" s="1"/>
      <c r="L184" s="53" t="str">
        <f t="shared" si="2"/>
        <v/>
      </c>
      <c r="M184" s="54" t="str">
        <f t="shared" si="3"/>
        <v/>
      </c>
      <c r="N184" s="81" t="str">
        <f t="shared" si="5"/>
        <v/>
      </c>
      <c r="O184" s="56">
        <f t="shared" si="6"/>
        <v>0</v>
      </c>
      <c r="P184" s="56">
        <f t="shared" si="7"/>
        <v>0</v>
      </c>
      <c r="Q184" s="65">
        <f t="shared" si="4"/>
        <v>0</v>
      </c>
      <c r="R184" s="1"/>
    </row>
    <row r="185">
      <c r="A185" s="1"/>
      <c r="B185" s="1"/>
      <c r="C185" s="51"/>
      <c r="D185" s="50"/>
      <c r="E185" s="70" t="str">
        <f t="shared" si="1"/>
        <v/>
      </c>
      <c r="F185" s="1"/>
      <c r="G185" s="1"/>
      <c r="H185" s="1"/>
      <c r="I185" s="1"/>
      <c r="J185" s="1"/>
      <c r="K185" s="1"/>
      <c r="L185" s="53" t="str">
        <f t="shared" si="2"/>
        <v/>
      </c>
      <c r="M185" s="54" t="str">
        <f t="shared" si="3"/>
        <v/>
      </c>
      <c r="N185" s="81" t="str">
        <f t="shared" si="5"/>
        <v/>
      </c>
      <c r="O185" s="56">
        <f t="shared" si="6"/>
        <v>0</v>
      </c>
      <c r="P185" s="56">
        <f t="shared" si="7"/>
        <v>0</v>
      </c>
      <c r="Q185" s="65">
        <f t="shared" si="4"/>
        <v>0</v>
      </c>
      <c r="R185" s="1"/>
    </row>
    <row r="186">
      <c r="A186" s="1"/>
      <c r="B186" s="1"/>
      <c r="C186" s="51"/>
      <c r="D186" s="50"/>
      <c r="E186" s="70" t="str">
        <f t="shared" si="1"/>
        <v/>
      </c>
      <c r="F186" s="1"/>
      <c r="G186" s="1"/>
      <c r="H186" s="1"/>
      <c r="I186" s="1"/>
      <c r="J186" s="1"/>
      <c r="K186" s="1"/>
      <c r="L186" s="53" t="str">
        <f t="shared" si="2"/>
        <v/>
      </c>
      <c r="M186" s="54" t="str">
        <f t="shared" si="3"/>
        <v/>
      </c>
      <c r="N186" s="81" t="str">
        <f t="shared" si="5"/>
        <v/>
      </c>
      <c r="O186" s="56">
        <f t="shared" si="6"/>
        <v>0</v>
      </c>
      <c r="P186" s="56">
        <f t="shared" si="7"/>
        <v>0</v>
      </c>
      <c r="Q186" s="65">
        <f t="shared" si="4"/>
        <v>0</v>
      </c>
      <c r="R186" s="1"/>
    </row>
    <row r="187">
      <c r="A187" s="1"/>
      <c r="B187" s="1"/>
      <c r="C187" s="51"/>
      <c r="D187" s="50"/>
      <c r="E187" s="70" t="str">
        <f t="shared" si="1"/>
        <v/>
      </c>
      <c r="F187" s="1"/>
      <c r="G187" s="1"/>
      <c r="H187" s="1"/>
      <c r="I187" s="1"/>
      <c r="J187" s="1"/>
      <c r="K187" s="1"/>
      <c r="L187" s="53" t="str">
        <f t="shared" si="2"/>
        <v/>
      </c>
      <c r="M187" s="54" t="str">
        <f t="shared" si="3"/>
        <v/>
      </c>
      <c r="N187" s="81" t="str">
        <f t="shared" si="5"/>
        <v/>
      </c>
      <c r="O187" s="56">
        <f t="shared" si="6"/>
        <v>0</v>
      </c>
      <c r="P187" s="56">
        <f t="shared" si="7"/>
        <v>0</v>
      </c>
      <c r="Q187" s="65">
        <f t="shared" si="4"/>
        <v>0</v>
      </c>
      <c r="R187" s="1"/>
    </row>
    <row r="188">
      <c r="A188" s="1"/>
      <c r="B188" s="1"/>
      <c r="C188" s="51"/>
      <c r="D188" s="50"/>
      <c r="E188" s="70" t="str">
        <f t="shared" si="1"/>
        <v/>
      </c>
      <c r="F188" s="1"/>
      <c r="G188" s="1"/>
      <c r="H188" s="1"/>
      <c r="I188" s="1"/>
      <c r="J188" s="1"/>
      <c r="K188" s="1"/>
      <c r="L188" s="53" t="str">
        <f t="shared" si="2"/>
        <v/>
      </c>
      <c r="M188" s="54" t="str">
        <f t="shared" si="3"/>
        <v/>
      </c>
      <c r="N188" s="81" t="str">
        <f t="shared" si="5"/>
        <v/>
      </c>
      <c r="O188" s="56">
        <f t="shared" si="6"/>
        <v>0</v>
      </c>
      <c r="P188" s="56">
        <f t="shared" si="7"/>
        <v>0</v>
      </c>
      <c r="Q188" s="65">
        <f t="shared" si="4"/>
        <v>0</v>
      </c>
      <c r="R188" s="1"/>
    </row>
    <row r="189">
      <c r="A189" s="1"/>
      <c r="B189" s="1"/>
      <c r="C189" s="71"/>
      <c r="D189" s="50"/>
      <c r="E189" s="70" t="str">
        <f t="shared" si="1"/>
        <v/>
      </c>
      <c r="F189" s="1"/>
      <c r="G189" s="1"/>
      <c r="H189" s="1"/>
      <c r="I189" s="1"/>
      <c r="J189" s="1"/>
      <c r="K189" s="1"/>
      <c r="L189" s="53" t="str">
        <f t="shared" si="2"/>
        <v/>
      </c>
      <c r="M189" s="54" t="str">
        <f t="shared" si="3"/>
        <v/>
      </c>
      <c r="N189" s="81" t="str">
        <f t="shared" si="5"/>
        <v/>
      </c>
      <c r="O189" s="56">
        <f t="shared" si="6"/>
        <v>0</v>
      </c>
      <c r="P189" s="56">
        <f t="shared" si="7"/>
        <v>0</v>
      </c>
      <c r="Q189" s="65">
        <f t="shared" si="4"/>
        <v>0</v>
      </c>
      <c r="R189" s="1"/>
    </row>
    <row r="190">
      <c r="A190" s="1"/>
      <c r="B190" s="1"/>
      <c r="C190" s="51"/>
      <c r="D190" s="50"/>
      <c r="E190" s="70" t="str">
        <f t="shared" si="1"/>
        <v/>
      </c>
      <c r="F190" s="1"/>
      <c r="G190" s="1"/>
      <c r="H190" s="1"/>
      <c r="I190" s="1"/>
      <c r="J190" s="1"/>
      <c r="K190" s="1"/>
      <c r="L190" s="53" t="str">
        <f t="shared" si="2"/>
        <v/>
      </c>
      <c r="M190" s="54" t="str">
        <f t="shared" si="3"/>
        <v/>
      </c>
      <c r="N190" s="81" t="str">
        <f t="shared" si="5"/>
        <v/>
      </c>
      <c r="O190" s="56">
        <f t="shared" si="6"/>
        <v>0</v>
      </c>
      <c r="P190" s="56">
        <f t="shared" si="7"/>
        <v>0</v>
      </c>
      <c r="Q190" s="65">
        <f t="shared" si="4"/>
        <v>0</v>
      </c>
      <c r="R190" s="1"/>
    </row>
    <row r="191">
      <c r="A191" s="1"/>
      <c r="B191" s="1"/>
      <c r="C191" s="51"/>
      <c r="D191" s="50"/>
      <c r="E191" s="70" t="str">
        <f t="shared" si="1"/>
        <v/>
      </c>
      <c r="F191" s="1"/>
      <c r="G191" s="1"/>
      <c r="H191" s="1"/>
      <c r="I191" s="1"/>
      <c r="J191" s="1"/>
      <c r="K191" s="1"/>
      <c r="L191" s="53" t="str">
        <f t="shared" si="2"/>
        <v/>
      </c>
      <c r="M191" s="54" t="str">
        <f t="shared" si="3"/>
        <v/>
      </c>
      <c r="N191" s="81" t="str">
        <f t="shared" si="5"/>
        <v/>
      </c>
      <c r="O191" s="56">
        <f t="shared" si="6"/>
        <v>0</v>
      </c>
      <c r="P191" s="56">
        <f t="shared" si="7"/>
        <v>0</v>
      </c>
      <c r="Q191" s="65">
        <f t="shared" si="4"/>
        <v>0</v>
      </c>
      <c r="R191" s="1"/>
    </row>
    <row r="192">
      <c r="A192" s="1"/>
      <c r="B192" s="1"/>
      <c r="C192" s="51"/>
      <c r="D192" s="50"/>
      <c r="E192" s="70" t="str">
        <f t="shared" si="1"/>
        <v/>
      </c>
      <c r="F192" s="1"/>
      <c r="G192" s="1"/>
      <c r="H192" s="1"/>
      <c r="I192" s="1"/>
      <c r="J192" s="1"/>
      <c r="K192" s="1"/>
      <c r="L192" s="53" t="str">
        <f t="shared" si="2"/>
        <v/>
      </c>
      <c r="M192" s="54" t="str">
        <f t="shared" si="3"/>
        <v/>
      </c>
      <c r="N192" s="81" t="str">
        <f t="shared" si="5"/>
        <v/>
      </c>
      <c r="O192" s="56">
        <f t="shared" si="6"/>
        <v>0</v>
      </c>
      <c r="P192" s="56">
        <f t="shared" si="7"/>
        <v>0</v>
      </c>
      <c r="Q192" s="65">
        <f t="shared" si="4"/>
        <v>0</v>
      </c>
      <c r="R192" s="1"/>
    </row>
    <row r="193">
      <c r="A193" s="1"/>
      <c r="B193" s="1"/>
      <c r="C193" s="51"/>
      <c r="D193" s="50"/>
      <c r="E193" s="70" t="str">
        <f t="shared" si="1"/>
        <v/>
      </c>
      <c r="F193" s="1"/>
      <c r="G193" s="1"/>
      <c r="H193" s="1"/>
      <c r="I193" s="1"/>
      <c r="J193" s="1"/>
      <c r="K193" s="1"/>
      <c r="L193" s="53" t="str">
        <f t="shared" si="2"/>
        <v/>
      </c>
      <c r="M193" s="54" t="str">
        <f t="shared" si="3"/>
        <v/>
      </c>
      <c r="N193" s="81" t="str">
        <f t="shared" si="5"/>
        <v/>
      </c>
      <c r="O193" s="56">
        <f t="shared" si="6"/>
        <v>0</v>
      </c>
      <c r="P193" s="56">
        <f t="shared" si="7"/>
        <v>0</v>
      </c>
      <c r="Q193" s="65">
        <f t="shared" si="4"/>
        <v>0</v>
      </c>
      <c r="R193" s="1"/>
    </row>
    <row r="194">
      <c r="A194" s="1"/>
      <c r="B194" s="1"/>
      <c r="C194" s="71"/>
      <c r="D194" s="50"/>
      <c r="E194" s="70" t="str">
        <f t="shared" si="1"/>
        <v/>
      </c>
      <c r="F194" s="1"/>
      <c r="G194" s="1"/>
      <c r="H194" s="1"/>
      <c r="I194" s="1"/>
      <c r="J194" s="1"/>
      <c r="K194" s="1"/>
      <c r="L194" s="53" t="str">
        <f t="shared" si="2"/>
        <v/>
      </c>
      <c r="M194" s="54" t="str">
        <f t="shared" si="3"/>
        <v/>
      </c>
      <c r="N194" s="81" t="str">
        <f t="shared" si="5"/>
        <v/>
      </c>
      <c r="O194" s="56">
        <f t="shared" si="6"/>
        <v>0</v>
      </c>
      <c r="P194" s="56">
        <f t="shared" si="7"/>
        <v>0</v>
      </c>
      <c r="Q194" s="65">
        <f t="shared" si="4"/>
        <v>0</v>
      </c>
      <c r="R194" s="1"/>
    </row>
    <row r="195">
      <c r="A195" s="1"/>
      <c r="B195" s="1"/>
      <c r="C195" s="51"/>
      <c r="D195" s="50"/>
      <c r="E195" s="70" t="str">
        <f t="shared" si="1"/>
        <v/>
      </c>
      <c r="F195" s="1"/>
      <c r="G195" s="1"/>
      <c r="H195" s="1"/>
      <c r="I195" s="1"/>
      <c r="J195" s="1"/>
      <c r="K195" s="1"/>
      <c r="L195" s="53" t="str">
        <f t="shared" si="2"/>
        <v/>
      </c>
      <c r="M195" s="54" t="str">
        <f t="shared" si="3"/>
        <v/>
      </c>
      <c r="N195" s="81" t="str">
        <f t="shared" si="5"/>
        <v/>
      </c>
      <c r="O195" s="56">
        <f t="shared" si="6"/>
        <v>0</v>
      </c>
      <c r="P195" s="56">
        <f t="shared" si="7"/>
        <v>0</v>
      </c>
      <c r="Q195" s="65">
        <f t="shared" si="4"/>
        <v>0</v>
      </c>
      <c r="R195" s="1"/>
    </row>
    <row r="196">
      <c r="A196" s="1"/>
      <c r="B196" s="1"/>
      <c r="C196" s="51"/>
      <c r="D196" s="50"/>
      <c r="E196" s="70" t="str">
        <f t="shared" si="1"/>
        <v/>
      </c>
      <c r="F196" s="1"/>
      <c r="G196" s="1"/>
      <c r="H196" s="1"/>
      <c r="I196" s="1"/>
      <c r="J196" s="1"/>
      <c r="K196" s="1"/>
      <c r="L196" s="53" t="str">
        <f t="shared" si="2"/>
        <v/>
      </c>
      <c r="M196" s="54" t="str">
        <f t="shared" si="3"/>
        <v/>
      </c>
      <c r="N196" s="81" t="str">
        <f t="shared" si="5"/>
        <v/>
      </c>
      <c r="O196" s="56">
        <f t="shared" si="6"/>
        <v>0</v>
      </c>
      <c r="P196" s="56">
        <f t="shared" si="7"/>
        <v>0</v>
      </c>
      <c r="Q196" s="65">
        <f t="shared" si="4"/>
        <v>0</v>
      </c>
      <c r="R196" s="1"/>
    </row>
    <row r="197">
      <c r="A197" s="1"/>
      <c r="B197" s="1"/>
      <c r="C197" s="51"/>
      <c r="D197" s="50"/>
      <c r="E197" s="70" t="str">
        <f t="shared" si="1"/>
        <v/>
      </c>
      <c r="F197" s="1"/>
      <c r="G197" s="1"/>
      <c r="H197" s="1"/>
      <c r="I197" s="1"/>
      <c r="J197" s="1"/>
      <c r="K197" s="1"/>
      <c r="L197" s="53" t="str">
        <f t="shared" si="2"/>
        <v/>
      </c>
      <c r="M197" s="54" t="str">
        <f t="shared" si="3"/>
        <v/>
      </c>
      <c r="N197" s="81" t="str">
        <f t="shared" si="5"/>
        <v/>
      </c>
      <c r="O197" s="56">
        <f t="shared" si="6"/>
        <v>0</v>
      </c>
      <c r="P197" s="56">
        <f t="shared" si="7"/>
        <v>0</v>
      </c>
      <c r="Q197" s="65">
        <f t="shared" si="4"/>
        <v>0</v>
      </c>
      <c r="R197" s="1"/>
    </row>
    <row r="198">
      <c r="A198" s="1"/>
      <c r="B198" s="1"/>
      <c r="C198" s="51"/>
      <c r="D198" s="50"/>
      <c r="E198" s="70" t="str">
        <f t="shared" si="1"/>
        <v/>
      </c>
      <c r="F198" s="1"/>
      <c r="G198" s="1"/>
      <c r="H198" s="1"/>
      <c r="I198" s="1"/>
      <c r="J198" s="1"/>
      <c r="K198" s="1"/>
      <c r="L198" s="53" t="str">
        <f t="shared" si="2"/>
        <v/>
      </c>
      <c r="M198" s="54" t="str">
        <f t="shared" si="3"/>
        <v/>
      </c>
      <c r="N198" s="81" t="str">
        <f t="shared" si="5"/>
        <v/>
      </c>
      <c r="O198" s="56">
        <f t="shared" si="6"/>
        <v>0</v>
      </c>
      <c r="P198" s="56">
        <f t="shared" si="7"/>
        <v>0</v>
      </c>
      <c r="Q198" s="65">
        <f t="shared" si="4"/>
        <v>0</v>
      </c>
      <c r="R198" s="1"/>
    </row>
    <row r="199">
      <c r="A199" s="1"/>
      <c r="B199" s="1"/>
      <c r="C199" s="51"/>
      <c r="D199" s="50"/>
      <c r="E199" s="70" t="str">
        <f t="shared" si="1"/>
        <v/>
      </c>
      <c r="F199" s="1"/>
      <c r="G199" s="1"/>
      <c r="H199" s="1"/>
      <c r="I199" s="1"/>
      <c r="J199" s="1"/>
      <c r="K199" s="1"/>
      <c r="L199" s="53" t="str">
        <f t="shared" si="2"/>
        <v/>
      </c>
      <c r="M199" s="54" t="str">
        <f t="shared" si="3"/>
        <v/>
      </c>
      <c r="N199" s="81" t="str">
        <f t="shared" si="5"/>
        <v/>
      </c>
      <c r="O199" s="56">
        <f t="shared" si="6"/>
        <v>0</v>
      </c>
      <c r="P199" s="56">
        <f t="shared" si="7"/>
        <v>0</v>
      </c>
      <c r="Q199" s="65">
        <f t="shared" si="4"/>
        <v>0</v>
      </c>
      <c r="R199" s="1"/>
    </row>
    <row r="200">
      <c r="A200" s="1"/>
      <c r="B200" s="1"/>
      <c r="C200" s="51"/>
      <c r="D200" s="50"/>
      <c r="E200" s="70" t="str">
        <f t="shared" si="1"/>
        <v/>
      </c>
      <c r="F200" s="1"/>
      <c r="G200" s="1"/>
      <c r="H200" s="1"/>
      <c r="I200" s="1"/>
      <c r="J200" s="1"/>
      <c r="K200" s="1"/>
      <c r="L200" s="53" t="str">
        <f t="shared" si="2"/>
        <v/>
      </c>
      <c r="M200" s="54" t="str">
        <f t="shared" si="3"/>
        <v/>
      </c>
      <c r="N200" s="81" t="str">
        <f t="shared" si="5"/>
        <v/>
      </c>
      <c r="O200" s="56">
        <f t="shared" si="6"/>
        <v>0</v>
      </c>
      <c r="P200" s="56">
        <f t="shared" si="7"/>
        <v>0</v>
      </c>
      <c r="Q200" s="65">
        <f t="shared" si="4"/>
        <v>0</v>
      </c>
      <c r="R200" s="1"/>
    </row>
    <row r="201">
      <c r="A201" s="1"/>
      <c r="B201" s="1"/>
      <c r="C201" s="51"/>
      <c r="D201" s="50"/>
      <c r="E201" s="70" t="str">
        <f t="shared" si="1"/>
        <v/>
      </c>
      <c r="F201" s="1"/>
      <c r="G201" s="1"/>
      <c r="H201" s="1"/>
      <c r="I201" s="1"/>
      <c r="J201" s="1"/>
      <c r="K201" s="1"/>
      <c r="L201" s="53" t="str">
        <f t="shared" si="2"/>
        <v/>
      </c>
      <c r="M201" s="54" t="str">
        <f t="shared" si="3"/>
        <v/>
      </c>
      <c r="N201" s="81" t="str">
        <f t="shared" si="5"/>
        <v/>
      </c>
      <c r="O201" s="56">
        <f t="shared" si="6"/>
        <v>0</v>
      </c>
      <c r="P201" s="56">
        <f t="shared" si="7"/>
        <v>0</v>
      </c>
      <c r="Q201" s="65">
        <f t="shared" si="4"/>
        <v>0</v>
      </c>
      <c r="R201" s="1"/>
    </row>
    <row r="202">
      <c r="A202" s="1"/>
      <c r="B202" s="1"/>
      <c r="C202" s="51"/>
      <c r="D202" s="50"/>
      <c r="E202" s="70" t="str">
        <f t="shared" si="1"/>
        <v/>
      </c>
      <c r="F202" s="1"/>
      <c r="G202" s="1"/>
      <c r="H202" s="1"/>
      <c r="I202" s="1"/>
      <c r="J202" s="1"/>
      <c r="K202" s="1"/>
      <c r="L202" s="53" t="str">
        <f t="shared" si="2"/>
        <v/>
      </c>
      <c r="M202" s="54" t="str">
        <f t="shared" si="3"/>
        <v/>
      </c>
      <c r="N202" s="81" t="str">
        <f t="shared" si="5"/>
        <v/>
      </c>
      <c r="O202" s="56">
        <f t="shared" si="6"/>
        <v>0</v>
      </c>
      <c r="P202" s="56">
        <f t="shared" si="7"/>
        <v>0</v>
      </c>
      <c r="Q202" s="65">
        <f t="shared" si="4"/>
        <v>0</v>
      </c>
      <c r="R202" s="1"/>
    </row>
    <row r="203">
      <c r="A203" s="1"/>
      <c r="B203" s="1"/>
      <c r="C203" s="51"/>
      <c r="D203" s="50"/>
      <c r="E203" s="70" t="str">
        <f t="shared" si="1"/>
        <v/>
      </c>
      <c r="F203" s="1"/>
      <c r="G203" s="1"/>
      <c r="H203" s="1"/>
      <c r="I203" s="1"/>
      <c r="J203" s="1"/>
      <c r="K203" s="1"/>
      <c r="L203" s="53" t="str">
        <f t="shared" si="2"/>
        <v/>
      </c>
      <c r="M203" s="54" t="str">
        <f t="shared" si="3"/>
        <v/>
      </c>
      <c r="N203" s="81" t="str">
        <f t="shared" si="5"/>
        <v/>
      </c>
      <c r="O203" s="56">
        <f t="shared" si="6"/>
        <v>0</v>
      </c>
      <c r="P203" s="56">
        <f t="shared" si="7"/>
        <v>0</v>
      </c>
      <c r="Q203" s="65">
        <f t="shared" si="4"/>
        <v>0</v>
      </c>
      <c r="R203" s="1"/>
    </row>
    <row r="204">
      <c r="A204" s="1"/>
      <c r="B204" s="1"/>
      <c r="C204" s="51"/>
      <c r="D204" s="50"/>
      <c r="E204" s="70" t="str">
        <f t="shared" si="1"/>
        <v/>
      </c>
      <c r="F204" s="1"/>
      <c r="G204" s="1"/>
      <c r="H204" s="1"/>
      <c r="I204" s="1"/>
      <c r="J204" s="1"/>
      <c r="K204" s="1"/>
      <c r="L204" s="53" t="str">
        <f t="shared" si="2"/>
        <v/>
      </c>
      <c r="M204" s="54" t="str">
        <f t="shared" si="3"/>
        <v/>
      </c>
      <c r="N204" s="81" t="str">
        <f t="shared" si="5"/>
        <v/>
      </c>
      <c r="O204" s="56">
        <f t="shared" si="6"/>
        <v>0</v>
      </c>
      <c r="P204" s="56">
        <f t="shared" si="7"/>
        <v>0</v>
      </c>
      <c r="Q204" s="65">
        <f t="shared" si="4"/>
        <v>0</v>
      </c>
      <c r="R204" s="1"/>
    </row>
    <row r="205">
      <c r="A205" s="1"/>
      <c r="B205" s="1"/>
      <c r="C205" s="51"/>
      <c r="D205" s="50"/>
      <c r="E205" s="70" t="str">
        <f t="shared" si="1"/>
        <v/>
      </c>
      <c r="F205" s="1"/>
      <c r="G205" s="1"/>
      <c r="H205" s="1"/>
      <c r="I205" s="1"/>
      <c r="J205" s="1"/>
      <c r="K205" s="1"/>
      <c r="L205" s="53" t="str">
        <f t="shared" si="2"/>
        <v/>
      </c>
      <c r="M205" s="54" t="str">
        <f t="shared" si="3"/>
        <v/>
      </c>
      <c r="N205" s="81" t="str">
        <f t="shared" si="5"/>
        <v/>
      </c>
      <c r="O205" s="56">
        <f t="shared" si="6"/>
        <v>0</v>
      </c>
      <c r="P205" s="56">
        <f t="shared" si="7"/>
        <v>0</v>
      </c>
      <c r="Q205" s="65">
        <f t="shared" si="4"/>
        <v>0</v>
      </c>
      <c r="R205" s="1"/>
    </row>
    <row r="206">
      <c r="A206" s="1"/>
      <c r="B206" s="1"/>
      <c r="C206" s="51"/>
      <c r="D206" s="50"/>
      <c r="E206" s="70" t="str">
        <f t="shared" si="1"/>
        <v/>
      </c>
      <c r="F206" s="1"/>
      <c r="G206" s="1"/>
      <c r="H206" s="1"/>
      <c r="I206" s="1"/>
      <c r="J206" s="1"/>
      <c r="K206" s="1"/>
      <c r="L206" s="53" t="str">
        <f t="shared" si="2"/>
        <v/>
      </c>
      <c r="M206" s="54" t="str">
        <f t="shared" si="3"/>
        <v/>
      </c>
      <c r="N206" s="81" t="str">
        <f t="shared" si="5"/>
        <v/>
      </c>
      <c r="O206" s="56">
        <f t="shared" si="6"/>
        <v>0</v>
      </c>
      <c r="P206" s="56">
        <f t="shared" si="7"/>
        <v>0</v>
      </c>
      <c r="Q206" s="65">
        <f t="shared" si="4"/>
        <v>0</v>
      </c>
      <c r="R206" s="1"/>
    </row>
    <row r="207">
      <c r="A207" s="1"/>
      <c r="B207" s="1"/>
      <c r="C207" s="51"/>
      <c r="D207" s="50"/>
      <c r="E207" s="70" t="str">
        <f t="shared" si="1"/>
        <v/>
      </c>
      <c r="F207" s="1"/>
      <c r="G207" s="1"/>
      <c r="H207" s="1"/>
      <c r="I207" s="1"/>
      <c r="J207" s="1"/>
      <c r="K207" s="1"/>
      <c r="L207" s="53" t="str">
        <f t="shared" si="2"/>
        <v/>
      </c>
      <c r="M207" s="54" t="str">
        <f t="shared" si="3"/>
        <v/>
      </c>
      <c r="N207" s="81" t="str">
        <f t="shared" si="5"/>
        <v/>
      </c>
      <c r="O207" s="56">
        <f t="shared" si="6"/>
        <v>0</v>
      </c>
      <c r="P207" s="56">
        <f t="shared" si="7"/>
        <v>0</v>
      </c>
      <c r="Q207" s="65">
        <f t="shared" si="4"/>
        <v>0</v>
      </c>
      <c r="R207" s="1"/>
    </row>
    <row r="208">
      <c r="A208" s="1"/>
      <c r="B208" s="1"/>
      <c r="C208" s="51"/>
      <c r="D208" s="50"/>
      <c r="E208" s="70" t="str">
        <f t="shared" si="1"/>
        <v/>
      </c>
      <c r="F208" s="1"/>
      <c r="G208" s="1"/>
      <c r="H208" s="1"/>
      <c r="I208" s="1"/>
      <c r="J208" s="1"/>
      <c r="K208" s="1"/>
      <c r="L208" s="53" t="str">
        <f t="shared" si="2"/>
        <v/>
      </c>
      <c r="M208" s="54" t="str">
        <f t="shared" si="3"/>
        <v/>
      </c>
      <c r="N208" s="81" t="str">
        <f t="shared" si="5"/>
        <v/>
      </c>
      <c r="O208" s="56">
        <f t="shared" si="6"/>
        <v>0</v>
      </c>
      <c r="P208" s="56">
        <f t="shared" si="7"/>
        <v>0</v>
      </c>
      <c r="Q208" s="65">
        <f t="shared" si="4"/>
        <v>0</v>
      </c>
      <c r="R208" s="1"/>
    </row>
    <row r="209">
      <c r="A209" s="1"/>
      <c r="B209" s="1"/>
      <c r="C209" s="51"/>
      <c r="D209" s="50"/>
      <c r="E209" s="70" t="str">
        <f t="shared" si="1"/>
        <v/>
      </c>
      <c r="F209" s="1"/>
      <c r="G209" s="1"/>
      <c r="H209" s="1"/>
      <c r="I209" s="1"/>
      <c r="J209" s="1"/>
      <c r="K209" s="1"/>
      <c r="L209" s="53" t="str">
        <f t="shared" si="2"/>
        <v/>
      </c>
      <c r="M209" s="54" t="str">
        <f t="shared" si="3"/>
        <v/>
      </c>
      <c r="N209" s="81" t="str">
        <f t="shared" si="5"/>
        <v/>
      </c>
      <c r="O209" s="56">
        <f t="shared" si="6"/>
        <v>0</v>
      </c>
      <c r="P209" s="56">
        <f t="shared" si="7"/>
        <v>0</v>
      </c>
      <c r="Q209" s="65">
        <f t="shared" si="4"/>
        <v>0</v>
      </c>
      <c r="R209" s="1"/>
    </row>
    <row r="210">
      <c r="A210" s="1"/>
      <c r="B210" s="1"/>
      <c r="C210" s="51"/>
      <c r="D210" s="50"/>
      <c r="E210" s="70" t="str">
        <f t="shared" si="1"/>
        <v/>
      </c>
      <c r="F210" s="1"/>
      <c r="G210" s="1"/>
      <c r="H210" s="1"/>
      <c r="I210" s="1"/>
      <c r="J210" s="1"/>
      <c r="K210" s="1"/>
      <c r="L210" s="53" t="str">
        <f t="shared" si="2"/>
        <v/>
      </c>
      <c r="M210" s="54" t="str">
        <f t="shared" si="3"/>
        <v/>
      </c>
      <c r="N210" s="81" t="str">
        <f t="shared" si="5"/>
        <v/>
      </c>
      <c r="O210" s="56">
        <f t="shared" si="6"/>
        <v>0</v>
      </c>
      <c r="P210" s="56">
        <f t="shared" si="7"/>
        <v>0</v>
      </c>
      <c r="Q210" s="65">
        <f t="shared" si="4"/>
        <v>0</v>
      </c>
      <c r="R210" s="1"/>
    </row>
    <row r="211">
      <c r="A211" s="1"/>
      <c r="B211" s="1"/>
      <c r="C211" s="51"/>
      <c r="D211" s="50"/>
      <c r="E211" s="70" t="str">
        <f t="shared" si="1"/>
        <v/>
      </c>
      <c r="F211" s="1"/>
      <c r="G211" s="1"/>
      <c r="H211" s="1"/>
      <c r="I211" s="1"/>
      <c r="J211" s="1"/>
      <c r="K211" s="1"/>
      <c r="L211" s="53" t="str">
        <f t="shared" si="2"/>
        <v/>
      </c>
      <c r="M211" s="54" t="str">
        <f t="shared" si="3"/>
        <v/>
      </c>
      <c r="N211" s="81" t="str">
        <f t="shared" si="5"/>
        <v/>
      </c>
      <c r="O211" s="56">
        <f t="shared" si="6"/>
        <v>0</v>
      </c>
      <c r="P211" s="56">
        <f t="shared" si="7"/>
        <v>0</v>
      </c>
      <c r="Q211" s="65">
        <f t="shared" si="4"/>
        <v>0</v>
      </c>
      <c r="R211" s="1"/>
    </row>
    <row r="212">
      <c r="A212" s="1"/>
      <c r="B212" s="1"/>
      <c r="C212" s="51"/>
      <c r="D212" s="50"/>
      <c r="E212" s="70" t="str">
        <f t="shared" si="1"/>
        <v/>
      </c>
      <c r="F212" s="1"/>
      <c r="G212" s="1"/>
      <c r="H212" s="1"/>
      <c r="I212" s="1"/>
      <c r="J212" s="1"/>
      <c r="K212" s="1"/>
      <c r="L212" s="53" t="str">
        <f t="shared" si="2"/>
        <v/>
      </c>
      <c r="M212" s="54" t="str">
        <f t="shared" si="3"/>
        <v/>
      </c>
      <c r="N212" s="81" t="str">
        <f t="shared" si="5"/>
        <v/>
      </c>
      <c r="O212" s="56">
        <f t="shared" si="6"/>
        <v>0</v>
      </c>
      <c r="P212" s="56">
        <f t="shared" si="7"/>
        <v>0</v>
      </c>
      <c r="Q212" s="65">
        <f t="shared" si="4"/>
        <v>0</v>
      </c>
      <c r="R212" s="1"/>
    </row>
    <row r="213">
      <c r="A213" s="1"/>
      <c r="B213" s="1"/>
      <c r="C213" s="51"/>
      <c r="D213" s="50"/>
      <c r="E213" s="70" t="str">
        <f t="shared" si="1"/>
        <v/>
      </c>
      <c r="F213" s="1"/>
      <c r="G213" s="1"/>
      <c r="H213" s="1"/>
      <c r="I213" s="1"/>
      <c r="J213" s="1"/>
      <c r="K213" s="1"/>
      <c r="L213" s="53" t="str">
        <f t="shared" si="2"/>
        <v/>
      </c>
      <c r="M213" s="54" t="str">
        <f t="shared" si="3"/>
        <v/>
      </c>
      <c r="N213" s="81" t="str">
        <f t="shared" si="5"/>
        <v/>
      </c>
      <c r="O213" s="56">
        <f t="shared" si="6"/>
        <v>0</v>
      </c>
      <c r="P213" s="56">
        <f t="shared" si="7"/>
        <v>0</v>
      </c>
      <c r="Q213" s="65">
        <f t="shared" si="4"/>
        <v>0</v>
      </c>
      <c r="R213" s="1"/>
    </row>
    <row r="214">
      <c r="A214" s="1"/>
      <c r="B214" s="1"/>
      <c r="C214" s="51"/>
      <c r="D214" s="50"/>
      <c r="E214" s="70" t="str">
        <f t="shared" si="1"/>
        <v/>
      </c>
      <c r="F214" s="1"/>
      <c r="G214" s="1"/>
      <c r="H214" s="1"/>
      <c r="I214" s="1"/>
      <c r="J214" s="1"/>
      <c r="K214" s="1"/>
      <c r="L214" s="53" t="str">
        <f t="shared" si="2"/>
        <v/>
      </c>
      <c r="M214" s="54" t="str">
        <f t="shared" si="3"/>
        <v/>
      </c>
      <c r="N214" s="81" t="str">
        <f t="shared" si="5"/>
        <v/>
      </c>
      <c r="O214" s="56">
        <f t="shared" si="6"/>
        <v>0</v>
      </c>
      <c r="P214" s="56">
        <f t="shared" si="7"/>
        <v>0</v>
      </c>
      <c r="Q214" s="65">
        <f t="shared" si="4"/>
        <v>0</v>
      </c>
      <c r="R214" s="1"/>
    </row>
    <row r="215">
      <c r="A215" s="1"/>
      <c r="B215" s="1"/>
      <c r="C215" s="51"/>
      <c r="D215" s="50"/>
      <c r="E215" s="70" t="str">
        <f t="shared" si="1"/>
        <v/>
      </c>
      <c r="F215" s="1"/>
      <c r="G215" s="1"/>
      <c r="H215" s="1"/>
      <c r="I215" s="1"/>
      <c r="J215" s="1"/>
      <c r="K215" s="1"/>
      <c r="L215" s="53" t="str">
        <f t="shared" si="2"/>
        <v/>
      </c>
      <c r="M215" s="54" t="str">
        <f t="shared" si="3"/>
        <v/>
      </c>
      <c r="N215" s="81" t="str">
        <f t="shared" si="5"/>
        <v/>
      </c>
      <c r="O215" s="56">
        <f t="shared" si="6"/>
        <v>0</v>
      </c>
      <c r="P215" s="56">
        <f t="shared" si="7"/>
        <v>0</v>
      </c>
      <c r="Q215" s="65">
        <f t="shared" si="4"/>
        <v>0</v>
      </c>
      <c r="R215" s="1"/>
    </row>
    <row r="216">
      <c r="A216" s="1"/>
      <c r="B216" s="1"/>
      <c r="C216" s="51"/>
      <c r="D216" s="50"/>
      <c r="E216" s="70" t="str">
        <f t="shared" si="1"/>
        <v/>
      </c>
      <c r="F216" s="1"/>
      <c r="G216" s="1"/>
      <c r="H216" s="1"/>
      <c r="I216" s="1"/>
      <c r="J216" s="1"/>
      <c r="K216" s="1"/>
      <c r="L216" s="53" t="str">
        <f t="shared" si="2"/>
        <v/>
      </c>
      <c r="M216" s="54" t="str">
        <f t="shared" si="3"/>
        <v/>
      </c>
      <c r="N216" s="81" t="str">
        <f t="shared" si="5"/>
        <v/>
      </c>
      <c r="O216" s="56">
        <f t="shared" si="6"/>
        <v>0</v>
      </c>
      <c r="P216" s="56">
        <f t="shared" si="7"/>
        <v>0</v>
      </c>
      <c r="Q216" s="65">
        <f t="shared" si="4"/>
        <v>0</v>
      </c>
      <c r="R216" s="1"/>
    </row>
    <row r="217">
      <c r="A217" s="1"/>
      <c r="B217" s="1"/>
      <c r="C217" s="51"/>
      <c r="D217" s="50"/>
      <c r="E217" s="70" t="str">
        <f t="shared" si="1"/>
        <v/>
      </c>
      <c r="F217" s="1"/>
      <c r="G217" s="1"/>
      <c r="H217" s="1"/>
      <c r="I217" s="1"/>
      <c r="J217" s="1"/>
      <c r="K217" s="1"/>
      <c r="L217" s="53" t="str">
        <f t="shared" si="2"/>
        <v/>
      </c>
      <c r="M217" s="54" t="str">
        <f t="shared" si="3"/>
        <v/>
      </c>
      <c r="N217" s="81" t="str">
        <f t="shared" si="5"/>
        <v/>
      </c>
      <c r="O217" s="56">
        <f t="shared" si="6"/>
        <v>0</v>
      </c>
      <c r="P217" s="56">
        <f t="shared" si="7"/>
        <v>0</v>
      </c>
      <c r="Q217" s="65">
        <f t="shared" si="4"/>
        <v>0</v>
      </c>
      <c r="R217" s="1"/>
    </row>
    <row r="218">
      <c r="A218" s="1"/>
      <c r="B218" s="1"/>
      <c r="C218" s="51"/>
      <c r="D218" s="50"/>
      <c r="E218" s="70" t="str">
        <f t="shared" si="1"/>
        <v/>
      </c>
      <c r="F218" s="1"/>
      <c r="G218" s="1"/>
      <c r="H218" s="1"/>
      <c r="I218" s="1"/>
      <c r="J218" s="1"/>
      <c r="K218" s="1"/>
      <c r="L218" s="53" t="str">
        <f t="shared" si="2"/>
        <v/>
      </c>
      <c r="M218" s="54" t="str">
        <f t="shared" si="3"/>
        <v/>
      </c>
      <c r="N218" s="81" t="str">
        <f t="shared" si="5"/>
        <v/>
      </c>
      <c r="O218" s="56">
        <f t="shared" si="6"/>
        <v>0</v>
      </c>
      <c r="P218" s="56">
        <f t="shared" si="7"/>
        <v>0</v>
      </c>
      <c r="Q218" s="65">
        <f t="shared" si="4"/>
        <v>0</v>
      </c>
      <c r="R218" s="1"/>
    </row>
    <row r="219">
      <c r="A219" s="1"/>
      <c r="B219" s="1"/>
      <c r="C219" s="51"/>
      <c r="D219" s="50"/>
      <c r="E219" s="70" t="str">
        <f t="shared" si="1"/>
        <v/>
      </c>
      <c r="F219" s="1"/>
      <c r="G219" s="1"/>
      <c r="H219" s="1"/>
      <c r="I219" s="1"/>
      <c r="J219" s="1"/>
      <c r="K219" s="1"/>
      <c r="L219" s="53" t="str">
        <f t="shared" si="2"/>
        <v/>
      </c>
      <c r="M219" s="54" t="str">
        <f t="shared" si="3"/>
        <v/>
      </c>
      <c r="N219" s="81" t="str">
        <f t="shared" si="5"/>
        <v/>
      </c>
      <c r="O219" s="56">
        <f t="shared" si="6"/>
        <v>0</v>
      </c>
      <c r="P219" s="56">
        <f t="shared" si="7"/>
        <v>0</v>
      </c>
      <c r="Q219" s="65">
        <f t="shared" si="4"/>
        <v>0</v>
      </c>
      <c r="R219" s="1"/>
    </row>
    <row r="220">
      <c r="A220" s="1"/>
      <c r="B220" s="1"/>
      <c r="C220" s="51"/>
      <c r="D220" s="50"/>
      <c r="E220" s="70" t="str">
        <f t="shared" si="1"/>
        <v/>
      </c>
      <c r="F220" s="1"/>
      <c r="G220" s="1"/>
      <c r="H220" s="1"/>
      <c r="I220" s="1"/>
      <c r="J220" s="1"/>
      <c r="K220" s="1"/>
      <c r="L220" s="53" t="str">
        <f t="shared" si="2"/>
        <v/>
      </c>
      <c r="M220" s="54" t="str">
        <f t="shared" si="3"/>
        <v/>
      </c>
      <c r="N220" s="81" t="str">
        <f t="shared" si="5"/>
        <v/>
      </c>
      <c r="O220" s="56">
        <f t="shared" si="6"/>
        <v>0</v>
      </c>
      <c r="P220" s="56">
        <f t="shared" si="7"/>
        <v>0</v>
      </c>
      <c r="Q220" s="65">
        <f t="shared" si="4"/>
        <v>0</v>
      </c>
      <c r="R220" s="1"/>
    </row>
    <row r="221">
      <c r="A221" s="1"/>
      <c r="B221" s="1"/>
      <c r="C221" s="51"/>
      <c r="D221" s="50"/>
      <c r="E221" s="70" t="str">
        <f t="shared" si="1"/>
        <v/>
      </c>
      <c r="F221" s="1"/>
      <c r="G221" s="1"/>
      <c r="H221" s="1"/>
      <c r="I221" s="1"/>
      <c r="J221" s="1"/>
      <c r="K221" s="1"/>
      <c r="L221" s="53" t="str">
        <f t="shared" si="2"/>
        <v/>
      </c>
      <c r="M221" s="54" t="str">
        <f t="shared" si="3"/>
        <v/>
      </c>
      <c r="N221" s="81" t="str">
        <f t="shared" si="5"/>
        <v/>
      </c>
      <c r="O221" s="56">
        <f t="shared" si="6"/>
        <v>0</v>
      </c>
      <c r="P221" s="56">
        <f t="shared" si="7"/>
        <v>0</v>
      </c>
      <c r="Q221" s="65">
        <f t="shared" si="4"/>
        <v>0</v>
      </c>
      <c r="R221" s="1"/>
    </row>
    <row r="222">
      <c r="A222" s="1"/>
      <c r="B222" s="1"/>
      <c r="C222" s="51"/>
      <c r="D222" s="50"/>
      <c r="E222" s="70" t="str">
        <f t="shared" si="1"/>
        <v/>
      </c>
      <c r="F222" s="1"/>
      <c r="G222" s="1"/>
      <c r="H222" s="1"/>
      <c r="I222" s="1"/>
      <c r="J222" s="1"/>
      <c r="K222" s="1"/>
      <c r="L222" s="53" t="str">
        <f t="shared" si="2"/>
        <v/>
      </c>
      <c r="M222" s="54" t="str">
        <f t="shared" si="3"/>
        <v/>
      </c>
      <c r="N222" s="81" t="str">
        <f t="shared" si="5"/>
        <v/>
      </c>
      <c r="O222" s="56">
        <f t="shared" si="6"/>
        <v>0</v>
      </c>
      <c r="P222" s="56">
        <f t="shared" si="7"/>
        <v>0</v>
      </c>
      <c r="Q222" s="65">
        <f t="shared" si="4"/>
        <v>0</v>
      </c>
      <c r="R222" s="1"/>
    </row>
    <row r="223">
      <c r="A223" s="1"/>
      <c r="B223" s="1"/>
      <c r="C223" s="51"/>
      <c r="D223" s="50"/>
      <c r="E223" s="70" t="str">
        <f t="shared" si="1"/>
        <v/>
      </c>
      <c r="F223" s="1"/>
      <c r="G223" s="1"/>
      <c r="H223" s="1"/>
      <c r="I223" s="1"/>
      <c r="J223" s="1"/>
      <c r="K223" s="1"/>
      <c r="L223" s="53" t="str">
        <f t="shared" si="2"/>
        <v/>
      </c>
      <c r="M223" s="54" t="str">
        <f t="shared" si="3"/>
        <v/>
      </c>
      <c r="N223" s="81" t="str">
        <f t="shared" si="5"/>
        <v/>
      </c>
      <c r="O223" s="56">
        <f t="shared" si="6"/>
        <v>0</v>
      </c>
      <c r="P223" s="56">
        <f t="shared" si="7"/>
        <v>0</v>
      </c>
      <c r="Q223" s="65">
        <f t="shared" si="4"/>
        <v>0</v>
      </c>
      <c r="R223" s="1"/>
    </row>
    <row r="224">
      <c r="A224" s="1"/>
      <c r="B224" s="1"/>
      <c r="C224" s="51"/>
      <c r="D224" s="50"/>
      <c r="E224" s="70" t="str">
        <f t="shared" si="1"/>
        <v/>
      </c>
      <c r="F224" s="1"/>
      <c r="G224" s="1"/>
      <c r="H224" s="1"/>
      <c r="I224" s="1"/>
      <c r="J224" s="1"/>
      <c r="K224" s="1"/>
      <c r="L224" s="53" t="str">
        <f t="shared" si="2"/>
        <v/>
      </c>
      <c r="M224" s="54" t="str">
        <f t="shared" si="3"/>
        <v/>
      </c>
      <c r="N224" s="81" t="str">
        <f t="shared" si="5"/>
        <v/>
      </c>
      <c r="O224" s="56">
        <f t="shared" si="6"/>
        <v>0</v>
      </c>
      <c r="P224" s="56">
        <f t="shared" si="7"/>
        <v>0</v>
      </c>
      <c r="Q224" s="65">
        <f t="shared" si="4"/>
        <v>0</v>
      </c>
      <c r="R224" s="1"/>
    </row>
    <row r="225">
      <c r="A225" s="1"/>
      <c r="B225" s="1"/>
      <c r="C225" s="51"/>
      <c r="D225" s="50"/>
      <c r="E225" s="70" t="str">
        <f t="shared" si="1"/>
        <v/>
      </c>
      <c r="F225" s="1"/>
      <c r="G225" s="1"/>
      <c r="H225" s="1"/>
      <c r="I225" s="1"/>
      <c r="J225" s="1"/>
      <c r="K225" s="1"/>
      <c r="L225" s="53" t="str">
        <f t="shared" si="2"/>
        <v/>
      </c>
      <c r="M225" s="54" t="str">
        <f t="shared" si="3"/>
        <v/>
      </c>
      <c r="N225" s="81" t="str">
        <f t="shared" si="5"/>
        <v/>
      </c>
      <c r="O225" s="56">
        <f t="shared" si="6"/>
        <v>0</v>
      </c>
      <c r="P225" s="56">
        <f t="shared" si="7"/>
        <v>0</v>
      </c>
      <c r="Q225" s="65">
        <f t="shared" si="4"/>
        <v>0</v>
      </c>
      <c r="R225" s="1"/>
    </row>
    <row r="226">
      <c r="A226" s="1"/>
      <c r="B226" s="1"/>
      <c r="C226" s="51"/>
      <c r="D226" s="50"/>
      <c r="E226" s="70" t="str">
        <f t="shared" si="1"/>
        <v/>
      </c>
      <c r="F226" s="1"/>
      <c r="G226" s="1"/>
      <c r="H226" s="1"/>
      <c r="I226" s="1"/>
      <c r="J226" s="1"/>
      <c r="K226" s="1"/>
      <c r="L226" s="53" t="str">
        <f t="shared" si="2"/>
        <v/>
      </c>
      <c r="M226" s="54" t="str">
        <f t="shared" si="3"/>
        <v/>
      </c>
      <c r="N226" s="81" t="str">
        <f t="shared" si="5"/>
        <v/>
      </c>
      <c r="O226" s="56">
        <f t="shared" si="6"/>
        <v>0</v>
      </c>
      <c r="P226" s="56">
        <f t="shared" si="7"/>
        <v>0</v>
      </c>
      <c r="Q226" s="65">
        <f t="shared" si="4"/>
        <v>0</v>
      </c>
      <c r="R226" s="1"/>
    </row>
    <row r="227">
      <c r="A227" s="1"/>
      <c r="B227" s="1"/>
      <c r="C227" s="51"/>
      <c r="D227" s="50"/>
      <c r="E227" s="70" t="str">
        <f t="shared" si="1"/>
        <v/>
      </c>
      <c r="F227" s="1"/>
      <c r="G227" s="1"/>
      <c r="H227" s="1"/>
      <c r="I227" s="1"/>
      <c r="J227" s="1"/>
      <c r="K227" s="1"/>
      <c r="L227" s="53" t="str">
        <f t="shared" si="2"/>
        <v/>
      </c>
      <c r="M227" s="54" t="str">
        <f t="shared" si="3"/>
        <v/>
      </c>
      <c r="N227" s="81" t="str">
        <f t="shared" si="5"/>
        <v/>
      </c>
      <c r="O227" s="56">
        <f t="shared" si="6"/>
        <v>0</v>
      </c>
      <c r="P227" s="56">
        <f t="shared" si="7"/>
        <v>0</v>
      </c>
      <c r="Q227" s="65">
        <f t="shared" si="4"/>
        <v>0</v>
      </c>
      <c r="R227" s="1"/>
    </row>
    <row r="228">
      <c r="A228" s="1"/>
      <c r="B228" s="1"/>
      <c r="C228" s="51"/>
      <c r="D228" s="50"/>
      <c r="E228" s="70" t="str">
        <f t="shared" si="1"/>
        <v/>
      </c>
      <c r="F228" s="1"/>
      <c r="G228" s="1"/>
      <c r="H228" s="1"/>
      <c r="I228" s="1"/>
      <c r="J228" s="1"/>
      <c r="K228" s="1"/>
      <c r="L228" s="53" t="str">
        <f t="shared" si="2"/>
        <v/>
      </c>
      <c r="M228" s="54" t="str">
        <f t="shared" si="3"/>
        <v/>
      </c>
      <c r="N228" s="81" t="str">
        <f t="shared" si="5"/>
        <v/>
      </c>
      <c r="O228" s="56">
        <f t="shared" si="6"/>
        <v>0</v>
      </c>
      <c r="P228" s="56">
        <f t="shared" si="7"/>
        <v>0</v>
      </c>
      <c r="Q228" s="65">
        <f t="shared" si="4"/>
        <v>0</v>
      </c>
      <c r="R228" s="1"/>
    </row>
    <row r="229">
      <c r="A229" s="1"/>
      <c r="B229" s="1"/>
      <c r="C229" s="51"/>
      <c r="D229" s="50"/>
      <c r="E229" s="70" t="str">
        <f t="shared" si="1"/>
        <v/>
      </c>
      <c r="F229" s="1"/>
      <c r="G229" s="1"/>
      <c r="H229" s="1"/>
      <c r="I229" s="1"/>
      <c r="J229" s="1"/>
      <c r="K229" s="1"/>
      <c r="L229" s="53" t="str">
        <f t="shared" si="2"/>
        <v/>
      </c>
      <c r="M229" s="54" t="str">
        <f t="shared" si="3"/>
        <v/>
      </c>
      <c r="N229" s="81" t="str">
        <f t="shared" si="5"/>
        <v/>
      </c>
      <c r="O229" s="56">
        <f t="shared" si="6"/>
        <v>0</v>
      </c>
      <c r="P229" s="56">
        <f t="shared" si="7"/>
        <v>0</v>
      </c>
      <c r="Q229" s="65">
        <f t="shared" si="4"/>
        <v>0</v>
      </c>
      <c r="R229" s="1"/>
    </row>
    <row r="230">
      <c r="A230" s="1"/>
      <c r="B230" s="1"/>
      <c r="C230" s="51"/>
      <c r="D230" s="50"/>
      <c r="E230" s="70" t="str">
        <f t="shared" si="1"/>
        <v/>
      </c>
      <c r="F230" s="1"/>
      <c r="G230" s="1"/>
      <c r="H230" s="1"/>
      <c r="I230" s="1"/>
      <c r="J230" s="1"/>
      <c r="K230" s="1"/>
      <c r="L230" s="53" t="str">
        <f t="shared" si="2"/>
        <v/>
      </c>
      <c r="M230" s="54" t="str">
        <f t="shared" si="3"/>
        <v/>
      </c>
      <c r="N230" s="81" t="str">
        <f t="shared" si="5"/>
        <v/>
      </c>
      <c r="O230" s="56">
        <f t="shared" si="6"/>
        <v>0</v>
      </c>
      <c r="P230" s="56">
        <f t="shared" si="7"/>
        <v>0</v>
      </c>
      <c r="Q230" s="65">
        <f t="shared" si="4"/>
        <v>0</v>
      </c>
      <c r="R230" s="1"/>
    </row>
    <row r="231">
      <c r="A231" s="1"/>
      <c r="B231" s="1"/>
      <c r="C231" s="51"/>
      <c r="D231" s="50"/>
      <c r="E231" s="70" t="str">
        <f t="shared" si="1"/>
        <v/>
      </c>
      <c r="F231" s="1"/>
      <c r="G231" s="1"/>
      <c r="H231" s="1"/>
      <c r="I231" s="1"/>
      <c r="J231" s="1"/>
      <c r="K231" s="1"/>
      <c r="L231" s="53" t="str">
        <f t="shared" si="2"/>
        <v/>
      </c>
      <c r="M231" s="54" t="str">
        <f t="shared" si="3"/>
        <v/>
      </c>
      <c r="N231" s="81" t="str">
        <f t="shared" si="5"/>
        <v/>
      </c>
      <c r="O231" s="56">
        <f t="shared" si="6"/>
        <v>0</v>
      </c>
      <c r="P231" s="56">
        <f t="shared" si="7"/>
        <v>0</v>
      </c>
      <c r="Q231" s="65">
        <f t="shared" si="4"/>
        <v>0</v>
      </c>
      <c r="R231" s="1"/>
    </row>
    <row r="232">
      <c r="A232" s="1"/>
      <c r="B232" s="1"/>
      <c r="C232" s="51"/>
      <c r="D232" s="50"/>
      <c r="E232" s="70" t="str">
        <f t="shared" si="1"/>
        <v/>
      </c>
      <c r="F232" s="1"/>
      <c r="G232" s="1"/>
      <c r="H232" s="1"/>
      <c r="I232" s="1"/>
      <c r="J232" s="1"/>
      <c r="K232" s="1"/>
      <c r="L232" s="53" t="str">
        <f t="shared" si="2"/>
        <v/>
      </c>
      <c r="M232" s="54" t="str">
        <f t="shared" si="3"/>
        <v/>
      </c>
      <c r="N232" s="81" t="str">
        <f t="shared" si="5"/>
        <v/>
      </c>
      <c r="O232" s="56">
        <f t="shared" si="6"/>
        <v>0</v>
      </c>
      <c r="P232" s="56">
        <f t="shared" si="7"/>
        <v>0</v>
      </c>
      <c r="Q232" s="65">
        <f t="shared" si="4"/>
        <v>0</v>
      </c>
      <c r="R232" s="1"/>
    </row>
    <row r="233">
      <c r="A233" s="1"/>
      <c r="B233" s="1"/>
      <c r="C233" s="51"/>
      <c r="D233" s="50"/>
      <c r="E233" s="70" t="str">
        <f t="shared" si="1"/>
        <v/>
      </c>
      <c r="F233" s="1"/>
      <c r="G233" s="1"/>
      <c r="H233" s="1"/>
      <c r="I233" s="1"/>
      <c r="J233" s="1"/>
      <c r="K233" s="1"/>
      <c r="L233" s="53" t="str">
        <f t="shared" si="2"/>
        <v/>
      </c>
      <c r="M233" s="54" t="str">
        <f t="shared" si="3"/>
        <v/>
      </c>
      <c r="N233" s="81" t="str">
        <f t="shared" si="5"/>
        <v/>
      </c>
      <c r="O233" s="56">
        <f t="shared" si="6"/>
        <v>0</v>
      </c>
      <c r="P233" s="56">
        <f t="shared" si="7"/>
        <v>0</v>
      </c>
      <c r="Q233" s="65">
        <f t="shared" si="4"/>
        <v>0</v>
      </c>
      <c r="R233" s="1"/>
    </row>
    <row r="234">
      <c r="A234" s="1"/>
      <c r="B234" s="1"/>
      <c r="C234" s="51"/>
      <c r="D234" s="50"/>
      <c r="E234" s="70" t="str">
        <f t="shared" si="1"/>
        <v/>
      </c>
      <c r="F234" s="1"/>
      <c r="G234" s="1"/>
      <c r="H234" s="1"/>
      <c r="I234" s="1"/>
      <c r="J234" s="1"/>
      <c r="K234" s="1"/>
      <c r="L234" s="53" t="str">
        <f t="shared" si="2"/>
        <v/>
      </c>
      <c r="M234" s="54" t="str">
        <f t="shared" si="3"/>
        <v/>
      </c>
      <c r="N234" s="81" t="str">
        <f t="shared" si="5"/>
        <v/>
      </c>
      <c r="O234" s="56">
        <f t="shared" si="6"/>
        <v>0</v>
      </c>
      <c r="P234" s="56">
        <f t="shared" si="7"/>
        <v>0</v>
      </c>
      <c r="Q234" s="65">
        <f t="shared" si="4"/>
        <v>0</v>
      </c>
      <c r="R234" s="1"/>
    </row>
    <row r="235">
      <c r="A235" s="1"/>
      <c r="B235" s="1"/>
      <c r="C235" s="51"/>
      <c r="D235" s="50"/>
      <c r="E235" s="70" t="str">
        <f t="shared" si="1"/>
        <v/>
      </c>
      <c r="F235" s="1"/>
      <c r="G235" s="1"/>
      <c r="H235" s="1"/>
      <c r="I235" s="1"/>
      <c r="J235" s="1"/>
      <c r="K235" s="1"/>
      <c r="L235" s="53" t="str">
        <f t="shared" si="2"/>
        <v/>
      </c>
      <c r="M235" s="54" t="str">
        <f t="shared" si="3"/>
        <v/>
      </c>
      <c r="N235" s="81" t="str">
        <f t="shared" si="5"/>
        <v/>
      </c>
      <c r="O235" s="56">
        <f t="shared" si="6"/>
        <v>0</v>
      </c>
      <c r="P235" s="56">
        <f t="shared" si="7"/>
        <v>0</v>
      </c>
      <c r="Q235" s="65">
        <f t="shared" si="4"/>
        <v>0</v>
      </c>
      <c r="R235" s="1"/>
    </row>
    <row r="236">
      <c r="A236" s="1"/>
      <c r="B236" s="1"/>
      <c r="C236" s="51"/>
      <c r="D236" s="50"/>
      <c r="E236" s="70" t="str">
        <f t="shared" si="1"/>
        <v/>
      </c>
      <c r="F236" s="1"/>
      <c r="G236" s="1"/>
      <c r="H236" s="1"/>
      <c r="I236" s="1"/>
      <c r="J236" s="1"/>
      <c r="K236" s="1"/>
      <c r="L236" s="53" t="str">
        <f t="shared" si="2"/>
        <v/>
      </c>
      <c r="M236" s="54" t="str">
        <f t="shared" si="3"/>
        <v/>
      </c>
      <c r="N236" s="81" t="str">
        <f t="shared" si="5"/>
        <v/>
      </c>
      <c r="O236" s="56">
        <f t="shared" si="6"/>
        <v>0</v>
      </c>
      <c r="P236" s="56">
        <f t="shared" si="7"/>
        <v>0</v>
      </c>
      <c r="Q236" s="65">
        <f t="shared" si="4"/>
        <v>0</v>
      </c>
      <c r="R236" s="1"/>
    </row>
    <row r="237">
      <c r="A237" s="1"/>
      <c r="B237" s="1"/>
      <c r="C237" s="51"/>
      <c r="D237" s="50"/>
      <c r="E237" s="70" t="str">
        <f t="shared" si="1"/>
        <v/>
      </c>
      <c r="F237" s="1"/>
      <c r="G237" s="1"/>
      <c r="H237" s="1"/>
      <c r="I237" s="1"/>
      <c r="J237" s="1"/>
      <c r="K237" s="1"/>
      <c r="L237" s="53" t="str">
        <f t="shared" si="2"/>
        <v/>
      </c>
      <c r="M237" s="54" t="str">
        <f t="shared" si="3"/>
        <v/>
      </c>
      <c r="N237" s="81" t="str">
        <f t="shared" si="5"/>
        <v/>
      </c>
      <c r="O237" s="56">
        <f t="shared" si="6"/>
        <v>0</v>
      </c>
      <c r="P237" s="56">
        <f t="shared" si="7"/>
        <v>0</v>
      </c>
      <c r="Q237" s="65">
        <f t="shared" si="4"/>
        <v>0</v>
      </c>
      <c r="R237" s="1"/>
    </row>
    <row r="238">
      <c r="A238" s="1"/>
      <c r="B238" s="1"/>
      <c r="C238" s="51"/>
      <c r="D238" s="50"/>
      <c r="E238" s="70" t="str">
        <f t="shared" si="1"/>
        <v/>
      </c>
      <c r="F238" s="1"/>
      <c r="G238" s="1"/>
      <c r="H238" s="1"/>
      <c r="I238" s="1"/>
      <c r="J238" s="1"/>
      <c r="K238" s="1"/>
      <c r="L238" s="53" t="str">
        <f t="shared" si="2"/>
        <v/>
      </c>
      <c r="M238" s="54" t="str">
        <f t="shared" si="3"/>
        <v/>
      </c>
      <c r="N238" s="81" t="str">
        <f t="shared" si="5"/>
        <v/>
      </c>
      <c r="O238" s="56">
        <f t="shared" si="6"/>
        <v>0</v>
      </c>
      <c r="P238" s="56">
        <f t="shared" si="7"/>
        <v>0</v>
      </c>
      <c r="Q238" s="65">
        <f t="shared" si="4"/>
        <v>0</v>
      </c>
      <c r="R238" s="1"/>
    </row>
    <row r="239">
      <c r="A239" s="1"/>
      <c r="B239" s="1"/>
      <c r="C239" s="51"/>
      <c r="D239" s="50"/>
      <c r="E239" s="70" t="str">
        <f t="shared" si="1"/>
        <v/>
      </c>
      <c r="F239" s="1"/>
      <c r="G239" s="1"/>
      <c r="H239" s="1"/>
      <c r="I239" s="1"/>
      <c r="J239" s="1"/>
      <c r="K239" s="1"/>
      <c r="L239" s="53" t="str">
        <f t="shared" si="2"/>
        <v/>
      </c>
      <c r="M239" s="54" t="str">
        <f t="shared" si="3"/>
        <v/>
      </c>
      <c r="N239" s="81" t="str">
        <f t="shared" si="5"/>
        <v/>
      </c>
      <c r="O239" s="56">
        <f t="shared" si="6"/>
        <v>0</v>
      </c>
      <c r="P239" s="56">
        <f t="shared" si="7"/>
        <v>0</v>
      </c>
      <c r="Q239" s="65">
        <f t="shared" si="4"/>
        <v>0</v>
      </c>
      <c r="R239" s="1"/>
    </row>
    <row r="240">
      <c r="A240" s="1"/>
      <c r="B240" s="1"/>
      <c r="C240" s="51"/>
      <c r="D240" s="50"/>
      <c r="E240" s="70" t="str">
        <f t="shared" si="1"/>
        <v/>
      </c>
      <c r="F240" s="1"/>
      <c r="G240" s="1"/>
      <c r="H240" s="1"/>
      <c r="I240" s="1"/>
      <c r="J240" s="1"/>
      <c r="K240" s="1"/>
      <c r="L240" s="53" t="str">
        <f t="shared" si="2"/>
        <v/>
      </c>
      <c r="M240" s="54" t="str">
        <f t="shared" si="3"/>
        <v/>
      </c>
      <c r="N240" s="81" t="str">
        <f t="shared" si="5"/>
        <v/>
      </c>
      <c r="O240" s="56">
        <f t="shared" si="6"/>
        <v>0</v>
      </c>
      <c r="P240" s="56">
        <f t="shared" si="7"/>
        <v>0</v>
      </c>
      <c r="Q240" s="65">
        <f t="shared" si="4"/>
        <v>0</v>
      </c>
      <c r="R240" s="1"/>
    </row>
    <row r="241">
      <c r="A241" s="1"/>
      <c r="B241" s="1"/>
      <c r="C241" s="51"/>
      <c r="D241" s="50"/>
      <c r="E241" s="70" t="str">
        <f t="shared" si="1"/>
        <v/>
      </c>
      <c r="F241" s="1"/>
      <c r="G241" s="1"/>
      <c r="H241" s="1"/>
      <c r="I241" s="1"/>
      <c r="J241" s="1"/>
      <c r="K241" s="1"/>
      <c r="L241" s="53" t="str">
        <f t="shared" si="2"/>
        <v/>
      </c>
      <c r="M241" s="54" t="str">
        <f t="shared" si="3"/>
        <v/>
      </c>
      <c r="N241" s="81" t="str">
        <f t="shared" si="5"/>
        <v/>
      </c>
      <c r="O241" s="56">
        <f t="shared" si="6"/>
        <v>0</v>
      </c>
      <c r="P241" s="56">
        <f t="shared" si="7"/>
        <v>0</v>
      </c>
      <c r="Q241" s="65">
        <f t="shared" si="4"/>
        <v>0</v>
      </c>
      <c r="R241" s="1"/>
    </row>
    <row r="242">
      <c r="A242" s="1"/>
      <c r="B242" s="1"/>
      <c r="C242" s="51"/>
      <c r="D242" s="50"/>
      <c r="E242" s="70" t="str">
        <f t="shared" si="1"/>
        <v/>
      </c>
      <c r="F242" s="1"/>
      <c r="G242" s="1"/>
      <c r="H242" s="1"/>
      <c r="I242" s="1"/>
      <c r="J242" s="1"/>
      <c r="K242" s="1"/>
      <c r="L242" s="53" t="str">
        <f t="shared" si="2"/>
        <v/>
      </c>
      <c r="M242" s="54" t="str">
        <f t="shared" si="3"/>
        <v/>
      </c>
      <c r="N242" s="81" t="str">
        <f t="shared" si="5"/>
        <v/>
      </c>
      <c r="O242" s="56">
        <f t="shared" si="6"/>
        <v>0</v>
      </c>
      <c r="P242" s="56">
        <f t="shared" si="7"/>
        <v>0</v>
      </c>
      <c r="Q242" s="65">
        <f t="shared" si="4"/>
        <v>0</v>
      </c>
      <c r="R242" s="1"/>
    </row>
    <row r="243">
      <c r="A243" s="1"/>
      <c r="B243" s="1"/>
      <c r="C243" s="51"/>
      <c r="D243" s="50"/>
      <c r="E243" s="70" t="str">
        <f t="shared" si="1"/>
        <v/>
      </c>
      <c r="F243" s="1"/>
      <c r="G243" s="1"/>
      <c r="H243" s="1"/>
      <c r="I243" s="1"/>
      <c r="J243" s="1"/>
      <c r="K243" s="1"/>
      <c r="L243" s="53" t="str">
        <f t="shared" si="2"/>
        <v/>
      </c>
      <c r="M243" s="54" t="str">
        <f t="shared" si="3"/>
        <v/>
      </c>
      <c r="N243" s="81" t="str">
        <f t="shared" si="5"/>
        <v/>
      </c>
      <c r="O243" s="56">
        <f t="shared" si="6"/>
        <v>0</v>
      </c>
      <c r="P243" s="56">
        <f t="shared" si="7"/>
        <v>0</v>
      </c>
      <c r="Q243" s="65">
        <f t="shared" si="4"/>
        <v>0</v>
      </c>
      <c r="R243" s="1"/>
    </row>
    <row r="244">
      <c r="A244" s="1"/>
      <c r="B244" s="1"/>
      <c r="C244" s="51"/>
      <c r="D244" s="50"/>
      <c r="E244" s="70" t="str">
        <f t="shared" si="1"/>
        <v/>
      </c>
      <c r="F244" s="1"/>
      <c r="G244" s="1"/>
      <c r="H244" s="1"/>
      <c r="I244" s="1"/>
      <c r="J244" s="1"/>
      <c r="K244" s="1"/>
      <c r="L244" s="53" t="str">
        <f t="shared" si="2"/>
        <v/>
      </c>
      <c r="M244" s="54" t="str">
        <f t="shared" si="3"/>
        <v/>
      </c>
      <c r="N244" s="81" t="str">
        <f t="shared" si="5"/>
        <v/>
      </c>
      <c r="O244" s="56">
        <f t="shared" si="6"/>
        <v>0</v>
      </c>
      <c r="P244" s="56">
        <f t="shared" si="7"/>
        <v>0</v>
      </c>
      <c r="Q244" s="65">
        <f t="shared" si="4"/>
        <v>0</v>
      </c>
      <c r="R244" s="1"/>
    </row>
    <row r="245">
      <c r="A245" s="1"/>
      <c r="B245" s="1"/>
      <c r="C245" s="51"/>
      <c r="D245" s="50"/>
      <c r="E245" s="70" t="str">
        <f t="shared" si="1"/>
        <v/>
      </c>
      <c r="F245" s="1"/>
      <c r="G245" s="1"/>
      <c r="H245" s="1"/>
      <c r="I245" s="1"/>
      <c r="J245" s="1"/>
      <c r="K245" s="1"/>
      <c r="L245" s="53" t="str">
        <f t="shared" si="2"/>
        <v/>
      </c>
      <c r="M245" s="54" t="str">
        <f t="shared" si="3"/>
        <v/>
      </c>
      <c r="N245" s="81" t="str">
        <f t="shared" si="5"/>
        <v/>
      </c>
      <c r="O245" s="56">
        <f t="shared" si="6"/>
        <v>0</v>
      </c>
      <c r="P245" s="56">
        <f t="shared" si="7"/>
        <v>0</v>
      </c>
      <c r="Q245" s="65">
        <f t="shared" si="4"/>
        <v>0</v>
      </c>
      <c r="R245" s="1"/>
    </row>
    <row r="246">
      <c r="A246" s="1"/>
      <c r="B246" s="1"/>
      <c r="C246" s="51"/>
      <c r="D246" s="50"/>
      <c r="E246" s="70" t="str">
        <f t="shared" si="1"/>
        <v/>
      </c>
      <c r="F246" s="1"/>
      <c r="G246" s="1"/>
      <c r="H246" s="1"/>
      <c r="I246" s="1"/>
      <c r="J246" s="1"/>
      <c r="K246" s="1"/>
      <c r="L246" s="53" t="str">
        <f t="shared" si="2"/>
        <v/>
      </c>
      <c r="M246" s="54" t="str">
        <f t="shared" si="3"/>
        <v/>
      </c>
      <c r="N246" s="81" t="str">
        <f t="shared" si="5"/>
        <v/>
      </c>
      <c r="O246" s="56">
        <f t="shared" si="6"/>
        <v>0</v>
      </c>
      <c r="P246" s="56">
        <f t="shared" si="7"/>
        <v>0</v>
      </c>
      <c r="Q246" s="65">
        <f t="shared" si="4"/>
        <v>0</v>
      </c>
      <c r="R246" s="1"/>
    </row>
    <row r="247">
      <c r="A247" s="1"/>
      <c r="B247" s="1"/>
      <c r="C247" s="51"/>
      <c r="D247" s="50"/>
      <c r="E247" s="70" t="str">
        <f t="shared" si="1"/>
        <v/>
      </c>
      <c r="F247" s="1"/>
      <c r="G247" s="1"/>
      <c r="H247" s="1"/>
      <c r="I247" s="1"/>
      <c r="J247" s="1"/>
      <c r="K247" s="1"/>
      <c r="L247" s="53" t="str">
        <f t="shared" si="2"/>
        <v/>
      </c>
      <c r="M247" s="54" t="str">
        <f t="shared" si="3"/>
        <v/>
      </c>
      <c r="N247" s="81" t="str">
        <f t="shared" si="5"/>
        <v/>
      </c>
      <c r="O247" s="56">
        <f t="shared" si="6"/>
        <v>0</v>
      </c>
      <c r="P247" s="56">
        <f t="shared" si="7"/>
        <v>0</v>
      </c>
      <c r="Q247" s="65">
        <f t="shared" si="4"/>
        <v>0</v>
      </c>
      <c r="R247" s="1"/>
    </row>
    <row r="248">
      <c r="A248" s="1"/>
      <c r="B248" s="1"/>
      <c r="C248" s="51"/>
      <c r="D248" s="50"/>
      <c r="E248" s="70" t="str">
        <f t="shared" si="1"/>
        <v/>
      </c>
      <c r="F248" s="1"/>
      <c r="G248" s="1"/>
      <c r="H248" s="1"/>
      <c r="I248" s="1"/>
      <c r="J248" s="1"/>
      <c r="K248" s="1"/>
      <c r="L248" s="53" t="str">
        <f t="shared" si="2"/>
        <v/>
      </c>
      <c r="M248" s="54" t="str">
        <f t="shared" si="3"/>
        <v/>
      </c>
      <c r="N248" s="81" t="str">
        <f t="shared" si="5"/>
        <v/>
      </c>
      <c r="O248" s="56">
        <f t="shared" si="6"/>
        <v>0</v>
      </c>
      <c r="P248" s="56">
        <f t="shared" si="7"/>
        <v>0</v>
      </c>
      <c r="Q248" s="65">
        <f t="shared" si="4"/>
        <v>0</v>
      </c>
      <c r="R248" s="1"/>
    </row>
    <row r="249">
      <c r="A249" s="1"/>
      <c r="B249" s="1"/>
      <c r="C249" s="51"/>
      <c r="D249" s="50"/>
      <c r="E249" s="70" t="str">
        <f t="shared" si="1"/>
        <v/>
      </c>
      <c r="F249" s="1"/>
      <c r="G249" s="1"/>
      <c r="H249" s="1"/>
      <c r="I249" s="1"/>
      <c r="J249" s="1"/>
      <c r="K249" s="1"/>
      <c r="L249" s="53" t="str">
        <f t="shared" si="2"/>
        <v/>
      </c>
      <c r="M249" s="54" t="str">
        <f t="shared" si="3"/>
        <v/>
      </c>
      <c r="N249" s="81" t="str">
        <f t="shared" si="5"/>
        <v/>
      </c>
      <c r="O249" s="56">
        <f t="shared" si="6"/>
        <v>0</v>
      </c>
      <c r="P249" s="56">
        <f t="shared" si="7"/>
        <v>0</v>
      </c>
      <c r="Q249" s="65">
        <f t="shared" si="4"/>
        <v>0</v>
      </c>
      <c r="R249" s="1"/>
    </row>
    <row r="250">
      <c r="A250" s="1"/>
      <c r="B250" s="1"/>
      <c r="C250" s="51"/>
      <c r="D250" s="50"/>
      <c r="E250" s="70" t="str">
        <f t="shared" si="1"/>
        <v/>
      </c>
      <c r="F250" s="1"/>
      <c r="G250" s="1"/>
      <c r="H250" s="1"/>
      <c r="I250" s="1"/>
      <c r="J250" s="1"/>
      <c r="K250" s="1"/>
      <c r="L250" s="53" t="str">
        <f t="shared" si="2"/>
        <v/>
      </c>
      <c r="M250" s="54" t="str">
        <f t="shared" si="3"/>
        <v/>
      </c>
      <c r="N250" s="81" t="str">
        <f t="shared" si="5"/>
        <v/>
      </c>
      <c r="O250" s="56">
        <f t="shared" si="6"/>
        <v>0</v>
      </c>
      <c r="P250" s="56">
        <f t="shared" si="7"/>
        <v>0</v>
      </c>
      <c r="Q250" s="65">
        <f t="shared" si="4"/>
        <v>0</v>
      </c>
      <c r="R250" s="1"/>
    </row>
    <row r="251">
      <c r="A251" s="1"/>
      <c r="B251" s="1"/>
      <c r="C251" s="51"/>
      <c r="D251" s="50"/>
      <c r="E251" s="70" t="str">
        <f t="shared" si="1"/>
        <v/>
      </c>
      <c r="F251" s="1"/>
      <c r="G251" s="1"/>
      <c r="H251" s="1"/>
      <c r="I251" s="1"/>
      <c r="J251" s="1"/>
      <c r="K251" s="1"/>
      <c r="L251" s="53" t="str">
        <f t="shared" si="2"/>
        <v/>
      </c>
      <c r="M251" s="54" t="str">
        <f t="shared" si="3"/>
        <v/>
      </c>
      <c r="N251" s="81" t="str">
        <f t="shared" si="5"/>
        <v/>
      </c>
      <c r="O251" s="56">
        <f t="shared" si="6"/>
        <v>0</v>
      </c>
      <c r="P251" s="56">
        <f t="shared" si="7"/>
        <v>0</v>
      </c>
      <c r="Q251" s="65">
        <f t="shared" si="4"/>
        <v>0</v>
      </c>
      <c r="R251" s="1"/>
    </row>
    <row r="252">
      <c r="A252" s="1"/>
      <c r="B252" s="1"/>
      <c r="C252" s="51"/>
      <c r="D252" s="50"/>
      <c r="E252" s="70" t="str">
        <f t="shared" si="1"/>
        <v/>
      </c>
      <c r="F252" s="1"/>
      <c r="G252" s="1"/>
      <c r="H252" s="1"/>
      <c r="I252" s="1"/>
      <c r="J252" s="1"/>
      <c r="K252" s="1"/>
      <c r="L252" s="53" t="str">
        <f t="shared" si="2"/>
        <v/>
      </c>
      <c r="M252" s="54" t="str">
        <f t="shared" si="3"/>
        <v/>
      </c>
      <c r="N252" s="81" t="str">
        <f t="shared" si="5"/>
        <v/>
      </c>
      <c r="O252" s="56">
        <f t="shared" si="6"/>
        <v>0</v>
      </c>
      <c r="P252" s="56">
        <f t="shared" si="7"/>
        <v>0</v>
      </c>
      <c r="Q252" s="65">
        <f t="shared" si="4"/>
        <v>0</v>
      </c>
      <c r="R252" s="1"/>
    </row>
    <row r="253">
      <c r="A253" s="1"/>
      <c r="B253" s="1"/>
      <c r="C253" s="51"/>
      <c r="D253" s="50"/>
      <c r="E253" s="70" t="str">
        <f t="shared" si="1"/>
        <v/>
      </c>
      <c r="F253" s="1"/>
      <c r="G253" s="1"/>
      <c r="H253" s="1"/>
      <c r="I253" s="1"/>
      <c r="J253" s="1"/>
      <c r="K253" s="1"/>
      <c r="L253" s="53" t="str">
        <f t="shared" si="2"/>
        <v/>
      </c>
      <c r="M253" s="54" t="str">
        <f t="shared" si="3"/>
        <v/>
      </c>
      <c r="N253" s="81" t="str">
        <f t="shared" si="5"/>
        <v/>
      </c>
      <c r="O253" s="56">
        <f t="shared" si="6"/>
        <v>0</v>
      </c>
      <c r="P253" s="56">
        <f t="shared" si="7"/>
        <v>0</v>
      </c>
      <c r="Q253" s="65">
        <f t="shared" si="4"/>
        <v>0</v>
      </c>
      <c r="R253" s="1"/>
    </row>
    <row r="254">
      <c r="A254" s="1"/>
      <c r="B254" s="1"/>
      <c r="C254" s="51"/>
      <c r="D254" s="50"/>
      <c r="E254" s="70" t="str">
        <f t="shared" si="1"/>
        <v/>
      </c>
      <c r="F254" s="1"/>
      <c r="G254" s="1"/>
      <c r="H254" s="1"/>
      <c r="I254" s="1"/>
      <c r="J254" s="1"/>
      <c r="K254" s="1"/>
      <c r="L254" s="53" t="str">
        <f t="shared" si="2"/>
        <v/>
      </c>
      <c r="M254" s="54" t="str">
        <f t="shared" si="3"/>
        <v/>
      </c>
      <c r="N254" s="81" t="str">
        <f t="shared" si="5"/>
        <v/>
      </c>
      <c r="O254" s="56">
        <f t="shared" si="6"/>
        <v>0</v>
      </c>
      <c r="P254" s="56">
        <f t="shared" si="7"/>
        <v>0</v>
      </c>
      <c r="Q254" s="65">
        <f t="shared" si="4"/>
        <v>0</v>
      </c>
      <c r="R254" s="1"/>
    </row>
    <row r="255">
      <c r="A255" s="1"/>
      <c r="B255" s="1"/>
      <c r="C255" s="51"/>
      <c r="D255" s="50"/>
      <c r="E255" s="70" t="str">
        <f t="shared" si="1"/>
        <v/>
      </c>
      <c r="F255" s="1"/>
      <c r="G255" s="1"/>
      <c r="H255" s="1"/>
      <c r="I255" s="1"/>
      <c r="J255" s="1"/>
      <c r="K255" s="1"/>
      <c r="L255" s="53" t="str">
        <f t="shared" si="2"/>
        <v/>
      </c>
      <c r="M255" s="54" t="str">
        <f t="shared" si="3"/>
        <v/>
      </c>
      <c r="N255" s="81" t="str">
        <f t="shared" si="5"/>
        <v/>
      </c>
      <c r="O255" s="56">
        <f t="shared" si="6"/>
        <v>0</v>
      </c>
      <c r="P255" s="56">
        <f t="shared" si="7"/>
        <v>0</v>
      </c>
      <c r="Q255" s="65">
        <f t="shared" si="4"/>
        <v>0</v>
      </c>
      <c r="R255" s="1"/>
    </row>
    <row r="256">
      <c r="A256" s="1"/>
      <c r="B256" s="1"/>
      <c r="C256" s="51"/>
      <c r="D256" s="50"/>
      <c r="E256" s="70" t="str">
        <f t="shared" si="1"/>
        <v/>
      </c>
      <c r="F256" s="1"/>
      <c r="G256" s="1"/>
      <c r="H256" s="1"/>
      <c r="I256" s="1"/>
      <c r="J256" s="1"/>
      <c r="K256" s="1"/>
      <c r="L256" s="53" t="str">
        <f t="shared" si="2"/>
        <v/>
      </c>
      <c r="M256" s="54" t="str">
        <f t="shared" si="3"/>
        <v/>
      </c>
      <c r="N256" s="81" t="str">
        <f t="shared" si="5"/>
        <v/>
      </c>
      <c r="O256" s="56">
        <f t="shared" si="6"/>
        <v>0</v>
      </c>
      <c r="P256" s="56">
        <f t="shared" si="7"/>
        <v>0</v>
      </c>
      <c r="Q256" s="65">
        <f t="shared" si="4"/>
        <v>0</v>
      </c>
      <c r="R256" s="1"/>
    </row>
    <row r="257">
      <c r="A257" s="1"/>
      <c r="B257" s="1"/>
      <c r="C257" s="51"/>
      <c r="D257" s="50"/>
      <c r="E257" s="70" t="str">
        <f t="shared" si="1"/>
        <v/>
      </c>
      <c r="F257" s="1"/>
      <c r="G257" s="1"/>
      <c r="H257" s="1"/>
      <c r="I257" s="1"/>
      <c r="J257" s="1"/>
      <c r="K257" s="1"/>
      <c r="L257" s="53" t="str">
        <f t="shared" si="2"/>
        <v/>
      </c>
      <c r="M257" s="54" t="str">
        <f t="shared" si="3"/>
        <v/>
      </c>
      <c r="N257" s="81" t="str">
        <f t="shared" si="5"/>
        <v/>
      </c>
      <c r="O257" s="56">
        <f t="shared" si="6"/>
        <v>0</v>
      </c>
      <c r="P257" s="56">
        <f t="shared" si="7"/>
        <v>0</v>
      </c>
      <c r="Q257" s="65">
        <f t="shared" si="4"/>
        <v>0</v>
      </c>
      <c r="R257" s="1"/>
    </row>
    <row r="258">
      <c r="A258" s="1"/>
      <c r="B258" s="1"/>
      <c r="C258" s="51"/>
      <c r="D258" s="50"/>
      <c r="E258" s="70" t="str">
        <f t="shared" si="1"/>
        <v/>
      </c>
      <c r="F258" s="1"/>
      <c r="G258" s="1"/>
      <c r="H258" s="1"/>
      <c r="I258" s="1"/>
      <c r="J258" s="1"/>
      <c r="K258" s="1"/>
      <c r="L258" s="53" t="str">
        <f t="shared" si="2"/>
        <v/>
      </c>
      <c r="M258" s="54" t="str">
        <f t="shared" si="3"/>
        <v/>
      </c>
      <c r="N258" s="81" t="str">
        <f t="shared" si="5"/>
        <v/>
      </c>
      <c r="O258" s="56">
        <f t="shared" si="6"/>
        <v>0</v>
      </c>
      <c r="P258" s="56">
        <f t="shared" si="7"/>
        <v>0</v>
      </c>
      <c r="Q258" s="65">
        <f t="shared" si="4"/>
        <v>0</v>
      </c>
      <c r="R258" s="1"/>
    </row>
    <row r="259">
      <c r="A259" s="1"/>
      <c r="B259" s="1"/>
      <c r="C259" s="71"/>
      <c r="D259" s="50"/>
      <c r="E259" s="70" t="str">
        <f t="shared" si="1"/>
        <v/>
      </c>
      <c r="F259" s="1"/>
      <c r="G259" s="1"/>
      <c r="H259" s="1"/>
      <c r="I259" s="1"/>
      <c r="J259" s="1"/>
      <c r="K259" s="1"/>
      <c r="L259" s="53" t="str">
        <f t="shared" si="2"/>
        <v/>
      </c>
      <c r="M259" s="54" t="str">
        <f t="shared" si="3"/>
        <v/>
      </c>
      <c r="N259" s="81" t="str">
        <f t="shared" si="5"/>
        <v/>
      </c>
      <c r="O259" s="56">
        <f t="shared" si="6"/>
        <v>0</v>
      </c>
      <c r="P259" s="56">
        <f t="shared" si="7"/>
        <v>0</v>
      </c>
      <c r="Q259" s="65">
        <f t="shared" si="4"/>
        <v>0</v>
      </c>
      <c r="R259" s="1"/>
    </row>
    <row r="260">
      <c r="A260" s="1"/>
      <c r="B260" s="1"/>
      <c r="C260" s="51"/>
      <c r="D260" s="50"/>
      <c r="E260" s="70" t="str">
        <f t="shared" si="1"/>
        <v/>
      </c>
      <c r="F260" s="1"/>
      <c r="G260" s="1"/>
      <c r="H260" s="1"/>
      <c r="I260" s="1"/>
      <c r="J260" s="1"/>
      <c r="K260" s="1"/>
      <c r="L260" s="53" t="str">
        <f t="shared" si="2"/>
        <v/>
      </c>
      <c r="M260" s="54" t="str">
        <f t="shared" si="3"/>
        <v/>
      </c>
      <c r="N260" s="81" t="str">
        <f t="shared" si="5"/>
        <v/>
      </c>
      <c r="O260" s="56">
        <f t="shared" si="6"/>
        <v>0</v>
      </c>
      <c r="P260" s="56">
        <f t="shared" si="7"/>
        <v>0</v>
      </c>
      <c r="Q260" s="65">
        <f t="shared" si="4"/>
        <v>0</v>
      </c>
      <c r="R260" s="1"/>
    </row>
    <row r="261">
      <c r="A261" s="1"/>
      <c r="B261" s="1"/>
      <c r="C261" s="51"/>
      <c r="D261" s="50"/>
      <c r="E261" s="70" t="str">
        <f t="shared" si="1"/>
        <v/>
      </c>
      <c r="F261" s="1"/>
      <c r="G261" s="1"/>
      <c r="H261" s="1"/>
      <c r="I261" s="1"/>
      <c r="J261" s="1"/>
      <c r="K261" s="1"/>
      <c r="L261" s="53" t="str">
        <f t="shared" si="2"/>
        <v/>
      </c>
      <c r="M261" s="54" t="str">
        <f t="shared" si="3"/>
        <v/>
      </c>
      <c r="N261" s="81" t="str">
        <f t="shared" si="5"/>
        <v/>
      </c>
      <c r="O261" s="56">
        <f t="shared" si="6"/>
        <v>0</v>
      </c>
      <c r="P261" s="56">
        <f t="shared" si="7"/>
        <v>0</v>
      </c>
      <c r="Q261" s="65">
        <f t="shared" si="4"/>
        <v>0</v>
      </c>
      <c r="R261" s="1"/>
    </row>
    <row r="262">
      <c r="A262" s="1"/>
      <c r="B262" s="1"/>
      <c r="C262" s="51"/>
      <c r="D262" s="50"/>
      <c r="E262" s="70" t="str">
        <f t="shared" si="1"/>
        <v/>
      </c>
      <c r="F262" s="1"/>
      <c r="G262" s="1"/>
      <c r="H262" s="1"/>
      <c r="I262" s="1"/>
      <c r="J262" s="1"/>
      <c r="K262" s="1"/>
      <c r="L262" s="53" t="str">
        <f t="shared" si="2"/>
        <v/>
      </c>
      <c r="M262" s="54" t="str">
        <f t="shared" si="3"/>
        <v/>
      </c>
      <c r="N262" s="81" t="str">
        <f t="shared" si="5"/>
        <v/>
      </c>
      <c r="O262" s="56">
        <f t="shared" si="6"/>
        <v>0</v>
      </c>
      <c r="P262" s="56">
        <f t="shared" si="7"/>
        <v>0</v>
      </c>
      <c r="Q262" s="65">
        <f t="shared" si="4"/>
        <v>0</v>
      </c>
      <c r="R262" s="1"/>
    </row>
    <row r="263">
      <c r="A263" s="1"/>
      <c r="B263" s="1"/>
      <c r="C263" s="51"/>
      <c r="D263" s="50"/>
      <c r="E263" s="70" t="str">
        <f t="shared" si="1"/>
        <v/>
      </c>
      <c r="F263" s="1"/>
      <c r="G263" s="1"/>
      <c r="H263" s="1"/>
      <c r="I263" s="1"/>
      <c r="J263" s="1"/>
      <c r="K263" s="1"/>
      <c r="L263" s="53" t="str">
        <f t="shared" si="2"/>
        <v/>
      </c>
      <c r="M263" s="54" t="str">
        <f t="shared" si="3"/>
        <v/>
      </c>
      <c r="N263" s="81" t="str">
        <f t="shared" si="5"/>
        <v/>
      </c>
      <c r="O263" s="56">
        <f t="shared" si="6"/>
        <v>0</v>
      </c>
      <c r="P263" s="56">
        <f t="shared" si="7"/>
        <v>0</v>
      </c>
      <c r="Q263" s="65">
        <f t="shared" si="4"/>
        <v>0</v>
      </c>
      <c r="R263" s="1"/>
    </row>
    <row r="264">
      <c r="A264" s="1"/>
      <c r="B264" s="1"/>
      <c r="C264" s="51"/>
      <c r="D264" s="50"/>
      <c r="E264" s="70" t="str">
        <f t="shared" si="1"/>
        <v/>
      </c>
      <c r="F264" s="1"/>
      <c r="G264" s="1"/>
      <c r="H264" s="1"/>
      <c r="I264" s="1"/>
      <c r="J264" s="1"/>
      <c r="K264" s="1"/>
      <c r="L264" s="53" t="str">
        <f t="shared" si="2"/>
        <v/>
      </c>
      <c r="M264" s="54" t="str">
        <f t="shared" si="3"/>
        <v/>
      </c>
      <c r="N264" s="81" t="str">
        <f t="shared" si="5"/>
        <v/>
      </c>
      <c r="O264" s="56">
        <f t="shared" si="6"/>
        <v>0</v>
      </c>
      <c r="P264" s="56">
        <f t="shared" si="7"/>
        <v>0</v>
      </c>
      <c r="Q264" s="65">
        <f t="shared" si="4"/>
        <v>0</v>
      </c>
      <c r="R264" s="1"/>
    </row>
    <row r="265">
      <c r="A265" s="1"/>
      <c r="B265" s="1"/>
      <c r="C265" s="51"/>
      <c r="D265" s="50"/>
      <c r="E265" s="70" t="str">
        <f t="shared" si="1"/>
        <v/>
      </c>
      <c r="F265" s="1"/>
      <c r="G265" s="1"/>
      <c r="H265" s="1"/>
      <c r="I265" s="1"/>
      <c r="J265" s="1"/>
      <c r="K265" s="1"/>
      <c r="L265" s="53" t="str">
        <f t="shared" si="2"/>
        <v/>
      </c>
      <c r="M265" s="54" t="str">
        <f t="shared" si="3"/>
        <v/>
      </c>
      <c r="N265" s="81" t="str">
        <f t="shared" si="5"/>
        <v/>
      </c>
      <c r="O265" s="56">
        <f t="shared" si="6"/>
        <v>0</v>
      </c>
      <c r="P265" s="56">
        <f t="shared" si="7"/>
        <v>0</v>
      </c>
      <c r="Q265" s="65">
        <f t="shared" si="4"/>
        <v>0</v>
      </c>
      <c r="R265" s="1"/>
    </row>
    <row r="266">
      <c r="A266" s="1"/>
      <c r="B266" s="1"/>
      <c r="C266" s="51"/>
      <c r="D266" s="50"/>
      <c r="E266" s="70" t="str">
        <f t="shared" si="1"/>
        <v/>
      </c>
      <c r="F266" s="1"/>
      <c r="G266" s="1"/>
      <c r="H266" s="1"/>
      <c r="I266" s="1"/>
      <c r="J266" s="1"/>
      <c r="K266" s="1"/>
      <c r="L266" s="53" t="str">
        <f t="shared" si="2"/>
        <v/>
      </c>
      <c r="M266" s="54" t="str">
        <f t="shared" si="3"/>
        <v/>
      </c>
      <c r="N266" s="81" t="str">
        <f t="shared" si="5"/>
        <v/>
      </c>
      <c r="O266" s="56">
        <f t="shared" si="6"/>
        <v>0</v>
      </c>
      <c r="P266" s="56">
        <f t="shared" si="7"/>
        <v>0</v>
      </c>
      <c r="Q266" s="65">
        <f t="shared" si="4"/>
        <v>0</v>
      </c>
      <c r="R266" s="1"/>
    </row>
    <row r="267">
      <c r="A267" s="1"/>
      <c r="B267" s="1"/>
      <c r="C267" s="71"/>
      <c r="D267" s="50"/>
      <c r="E267" s="70" t="str">
        <f t="shared" si="1"/>
        <v/>
      </c>
      <c r="F267" s="1"/>
      <c r="G267" s="1"/>
      <c r="H267" s="1"/>
      <c r="I267" s="1"/>
      <c r="J267" s="1"/>
      <c r="K267" s="1"/>
      <c r="L267" s="53" t="str">
        <f t="shared" si="2"/>
        <v/>
      </c>
      <c r="M267" s="54" t="str">
        <f t="shared" si="3"/>
        <v/>
      </c>
      <c r="N267" s="81" t="str">
        <f t="shared" si="5"/>
        <v/>
      </c>
      <c r="O267" s="56">
        <f t="shared" si="6"/>
        <v>0</v>
      </c>
      <c r="P267" s="56">
        <f t="shared" si="7"/>
        <v>0</v>
      </c>
      <c r="Q267" s="65">
        <f t="shared" si="4"/>
        <v>0</v>
      </c>
      <c r="R267" s="1"/>
    </row>
    <row r="268">
      <c r="A268" s="1"/>
      <c r="B268" s="1"/>
      <c r="C268" s="51"/>
      <c r="D268" s="50"/>
      <c r="E268" s="70" t="str">
        <f t="shared" si="1"/>
        <v/>
      </c>
      <c r="F268" s="1"/>
      <c r="G268" s="1"/>
      <c r="H268" s="1"/>
      <c r="I268" s="1"/>
      <c r="J268" s="1"/>
      <c r="K268" s="1"/>
      <c r="L268" s="53" t="str">
        <f t="shared" si="2"/>
        <v/>
      </c>
      <c r="M268" s="54" t="str">
        <f t="shared" si="3"/>
        <v/>
      </c>
      <c r="N268" s="81" t="str">
        <f t="shared" si="5"/>
        <v/>
      </c>
      <c r="O268" s="56">
        <f t="shared" si="6"/>
        <v>0</v>
      </c>
      <c r="P268" s="56">
        <f t="shared" si="7"/>
        <v>0</v>
      </c>
      <c r="Q268" s="65">
        <f t="shared" si="4"/>
        <v>0</v>
      </c>
      <c r="R268" s="1"/>
    </row>
    <row r="269">
      <c r="A269" s="1"/>
      <c r="B269" s="1"/>
      <c r="C269" s="51"/>
      <c r="D269" s="50"/>
      <c r="E269" s="70" t="str">
        <f t="shared" si="1"/>
        <v/>
      </c>
      <c r="F269" s="1"/>
      <c r="G269" s="1"/>
      <c r="H269" s="1"/>
      <c r="I269" s="1"/>
      <c r="J269" s="1"/>
      <c r="K269" s="1"/>
      <c r="L269" s="53" t="str">
        <f t="shared" si="2"/>
        <v/>
      </c>
      <c r="M269" s="54" t="str">
        <f t="shared" si="3"/>
        <v/>
      </c>
      <c r="N269" s="81" t="str">
        <f t="shared" si="5"/>
        <v/>
      </c>
      <c r="O269" s="56">
        <f t="shared" si="6"/>
        <v>0</v>
      </c>
      <c r="P269" s="56">
        <f t="shared" si="7"/>
        <v>0</v>
      </c>
      <c r="Q269" s="65">
        <f t="shared" si="4"/>
        <v>0</v>
      </c>
      <c r="R269" s="1"/>
    </row>
    <row r="270">
      <c r="A270" s="1"/>
      <c r="B270" s="1"/>
      <c r="C270" s="51"/>
      <c r="D270" s="50"/>
      <c r="E270" s="70" t="str">
        <f t="shared" si="1"/>
        <v/>
      </c>
      <c r="F270" s="1"/>
      <c r="G270" s="1"/>
      <c r="H270" s="1"/>
      <c r="I270" s="1"/>
      <c r="J270" s="1"/>
      <c r="K270" s="1"/>
      <c r="L270" s="53" t="str">
        <f t="shared" si="2"/>
        <v/>
      </c>
      <c r="M270" s="54" t="str">
        <f t="shared" si="3"/>
        <v/>
      </c>
      <c r="N270" s="81" t="str">
        <f t="shared" si="5"/>
        <v/>
      </c>
      <c r="O270" s="56">
        <f t="shared" si="6"/>
        <v>0</v>
      </c>
      <c r="P270" s="56">
        <f t="shared" si="7"/>
        <v>0</v>
      </c>
      <c r="Q270" s="65">
        <f t="shared" si="4"/>
        <v>0</v>
      </c>
      <c r="R270" s="1"/>
    </row>
    <row r="271">
      <c r="A271" s="1"/>
      <c r="B271" s="1"/>
      <c r="C271" s="71"/>
      <c r="D271" s="50"/>
      <c r="E271" s="70" t="str">
        <f t="shared" si="1"/>
        <v/>
      </c>
      <c r="F271" s="1"/>
      <c r="G271" s="1"/>
      <c r="H271" s="1"/>
      <c r="I271" s="1"/>
      <c r="J271" s="1"/>
      <c r="K271" s="1"/>
      <c r="L271" s="53" t="str">
        <f t="shared" si="2"/>
        <v/>
      </c>
      <c r="M271" s="54" t="str">
        <f t="shared" si="3"/>
        <v/>
      </c>
      <c r="N271" s="81" t="str">
        <f t="shared" si="5"/>
        <v/>
      </c>
      <c r="O271" s="56">
        <f t="shared" si="6"/>
        <v>0</v>
      </c>
      <c r="P271" s="56">
        <f t="shared" si="7"/>
        <v>0</v>
      </c>
      <c r="Q271" s="65">
        <f t="shared" si="4"/>
        <v>0</v>
      </c>
      <c r="R271" s="1"/>
    </row>
    <row r="272">
      <c r="A272" s="1"/>
      <c r="B272" s="1"/>
      <c r="C272" s="51"/>
      <c r="D272" s="50"/>
      <c r="E272" s="70" t="str">
        <f t="shared" si="1"/>
        <v/>
      </c>
      <c r="F272" s="1"/>
      <c r="G272" s="1"/>
      <c r="H272" s="1"/>
      <c r="I272" s="1"/>
      <c r="J272" s="1"/>
      <c r="K272" s="1"/>
      <c r="L272" s="53" t="str">
        <f t="shared" si="2"/>
        <v/>
      </c>
      <c r="M272" s="54" t="str">
        <f t="shared" si="3"/>
        <v/>
      </c>
      <c r="N272" s="81" t="str">
        <f t="shared" si="5"/>
        <v/>
      </c>
      <c r="O272" s="56">
        <f t="shared" si="6"/>
        <v>0</v>
      </c>
      <c r="P272" s="56">
        <f t="shared" si="7"/>
        <v>0</v>
      </c>
      <c r="Q272" s="65">
        <f t="shared" si="4"/>
        <v>0</v>
      </c>
      <c r="R272" s="1"/>
    </row>
    <row r="273">
      <c r="A273" s="1"/>
      <c r="B273" s="1"/>
      <c r="C273" s="51"/>
      <c r="D273" s="50"/>
      <c r="E273" s="70" t="str">
        <f t="shared" si="1"/>
        <v/>
      </c>
      <c r="F273" s="1"/>
      <c r="G273" s="1"/>
      <c r="H273" s="1"/>
      <c r="I273" s="1"/>
      <c r="J273" s="1"/>
      <c r="K273" s="1"/>
      <c r="L273" s="53" t="str">
        <f t="shared" si="2"/>
        <v/>
      </c>
      <c r="M273" s="54" t="str">
        <f t="shared" si="3"/>
        <v/>
      </c>
      <c r="N273" s="81" t="str">
        <f t="shared" si="5"/>
        <v/>
      </c>
      <c r="O273" s="56">
        <f t="shared" si="6"/>
        <v>0</v>
      </c>
      <c r="P273" s="56">
        <f t="shared" si="7"/>
        <v>0</v>
      </c>
      <c r="Q273" s="65">
        <f t="shared" si="4"/>
        <v>0</v>
      </c>
      <c r="R273" s="1"/>
    </row>
    <row r="274">
      <c r="A274" s="1"/>
      <c r="B274" s="1"/>
      <c r="C274" s="51"/>
      <c r="D274" s="50"/>
      <c r="E274" s="70" t="str">
        <f t="shared" si="1"/>
        <v/>
      </c>
      <c r="F274" s="1"/>
      <c r="G274" s="1"/>
      <c r="H274" s="1"/>
      <c r="I274" s="1"/>
      <c r="J274" s="1"/>
      <c r="K274" s="1"/>
      <c r="L274" s="53" t="str">
        <f t="shared" si="2"/>
        <v/>
      </c>
      <c r="M274" s="54" t="str">
        <f t="shared" si="3"/>
        <v/>
      </c>
      <c r="N274" s="81" t="str">
        <f t="shared" si="5"/>
        <v/>
      </c>
      <c r="O274" s="56">
        <f t="shared" si="6"/>
        <v>0</v>
      </c>
      <c r="P274" s="56">
        <f t="shared" si="7"/>
        <v>0</v>
      </c>
      <c r="Q274" s="65">
        <f t="shared" si="4"/>
        <v>0</v>
      </c>
      <c r="R274" s="1"/>
    </row>
    <row r="275">
      <c r="A275" s="1"/>
      <c r="B275" s="1"/>
      <c r="C275" s="51"/>
      <c r="D275" s="50"/>
      <c r="E275" s="70" t="str">
        <f t="shared" si="1"/>
        <v/>
      </c>
      <c r="F275" s="1"/>
      <c r="G275" s="1"/>
      <c r="H275" s="1"/>
      <c r="I275" s="1"/>
      <c r="J275" s="1"/>
      <c r="K275" s="1"/>
      <c r="L275" s="53" t="str">
        <f t="shared" si="2"/>
        <v/>
      </c>
      <c r="M275" s="54" t="str">
        <f t="shared" si="3"/>
        <v/>
      </c>
      <c r="N275" s="81" t="str">
        <f t="shared" si="5"/>
        <v/>
      </c>
      <c r="O275" s="56">
        <f t="shared" si="6"/>
        <v>0</v>
      </c>
      <c r="P275" s="56">
        <f t="shared" si="7"/>
        <v>0</v>
      </c>
      <c r="Q275" s="65">
        <f t="shared" si="4"/>
        <v>0</v>
      </c>
      <c r="R275" s="1"/>
    </row>
    <row r="276">
      <c r="A276" s="1"/>
      <c r="B276" s="1"/>
      <c r="C276" s="51"/>
      <c r="D276" s="50"/>
      <c r="E276" s="70" t="str">
        <f t="shared" si="1"/>
        <v/>
      </c>
      <c r="F276" s="1"/>
      <c r="G276" s="1"/>
      <c r="H276" s="1"/>
      <c r="I276" s="1"/>
      <c r="J276" s="1"/>
      <c r="K276" s="1"/>
      <c r="L276" s="53" t="str">
        <f t="shared" si="2"/>
        <v/>
      </c>
      <c r="M276" s="54" t="str">
        <f t="shared" si="3"/>
        <v/>
      </c>
      <c r="N276" s="81" t="str">
        <f t="shared" si="5"/>
        <v/>
      </c>
      <c r="O276" s="56">
        <f t="shared" si="6"/>
        <v>0</v>
      </c>
      <c r="P276" s="56">
        <f t="shared" si="7"/>
        <v>0</v>
      </c>
      <c r="Q276" s="65">
        <f t="shared" si="4"/>
        <v>0</v>
      </c>
      <c r="R276" s="1"/>
    </row>
    <row r="277">
      <c r="A277" s="1"/>
      <c r="B277" s="1"/>
      <c r="C277" s="51"/>
      <c r="D277" s="50"/>
      <c r="E277" s="70" t="str">
        <f t="shared" si="1"/>
        <v/>
      </c>
      <c r="F277" s="1"/>
      <c r="G277" s="1"/>
      <c r="H277" s="1"/>
      <c r="I277" s="1"/>
      <c r="J277" s="1"/>
      <c r="K277" s="1"/>
      <c r="L277" s="53" t="str">
        <f t="shared" si="2"/>
        <v/>
      </c>
      <c r="M277" s="54" t="str">
        <f t="shared" si="3"/>
        <v/>
      </c>
      <c r="N277" s="81" t="str">
        <f t="shared" si="5"/>
        <v/>
      </c>
      <c r="O277" s="56">
        <f t="shared" si="6"/>
        <v>0</v>
      </c>
      <c r="P277" s="56">
        <f t="shared" si="7"/>
        <v>0</v>
      </c>
      <c r="Q277" s="65">
        <f t="shared" si="4"/>
        <v>0</v>
      </c>
      <c r="R277" s="1"/>
    </row>
    <row r="278">
      <c r="A278" s="1"/>
      <c r="B278" s="1"/>
      <c r="C278" s="51"/>
      <c r="D278" s="50"/>
      <c r="E278" s="70" t="str">
        <f t="shared" si="1"/>
        <v/>
      </c>
      <c r="F278" s="1"/>
      <c r="G278" s="1"/>
      <c r="H278" s="1"/>
      <c r="I278" s="1"/>
      <c r="J278" s="1"/>
      <c r="K278" s="1"/>
      <c r="L278" s="53" t="str">
        <f t="shared" si="2"/>
        <v/>
      </c>
      <c r="M278" s="54" t="str">
        <f t="shared" si="3"/>
        <v/>
      </c>
      <c r="N278" s="81" t="str">
        <f t="shared" si="5"/>
        <v/>
      </c>
      <c r="O278" s="56">
        <f t="shared" si="6"/>
        <v>0</v>
      </c>
      <c r="P278" s="56">
        <f t="shared" si="7"/>
        <v>0</v>
      </c>
      <c r="Q278" s="65">
        <f t="shared" si="4"/>
        <v>0</v>
      </c>
      <c r="R278" s="1"/>
    </row>
    <row r="279">
      <c r="A279" s="1"/>
      <c r="B279" s="1"/>
      <c r="C279" s="51"/>
      <c r="D279" s="50"/>
      <c r="E279" s="70" t="str">
        <f t="shared" si="1"/>
        <v/>
      </c>
      <c r="F279" s="1"/>
      <c r="G279" s="1"/>
      <c r="H279" s="1"/>
      <c r="I279" s="1"/>
      <c r="J279" s="1"/>
      <c r="K279" s="1"/>
      <c r="L279" s="53" t="str">
        <f t="shared" si="2"/>
        <v/>
      </c>
      <c r="M279" s="54" t="str">
        <f t="shared" si="3"/>
        <v/>
      </c>
      <c r="N279" s="81" t="str">
        <f t="shared" si="5"/>
        <v/>
      </c>
      <c r="O279" s="56">
        <f t="shared" si="6"/>
        <v>0</v>
      </c>
      <c r="P279" s="56">
        <f t="shared" si="7"/>
        <v>0</v>
      </c>
      <c r="Q279" s="65">
        <f t="shared" si="4"/>
        <v>0</v>
      </c>
      <c r="R279" s="1"/>
    </row>
    <row r="280">
      <c r="A280" s="1"/>
      <c r="B280" s="1"/>
      <c r="C280" s="51"/>
      <c r="D280" s="50"/>
      <c r="E280" s="70" t="str">
        <f t="shared" si="1"/>
        <v/>
      </c>
      <c r="F280" s="1"/>
      <c r="G280" s="1"/>
      <c r="H280" s="1"/>
      <c r="I280" s="1"/>
      <c r="J280" s="1"/>
      <c r="K280" s="1"/>
      <c r="L280" s="53" t="str">
        <f t="shared" si="2"/>
        <v/>
      </c>
      <c r="M280" s="54" t="str">
        <f t="shared" si="3"/>
        <v/>
      </c>
      <c r="N280" s="81" t="str">
        <f t="shared" si="5"/>
        <v/>
      </c>
      <c r="O280" s="56">
        <f t="shared" si="6"/>
        <v>0</v>
      </c>
      <c r="P280" s="56">
        <f t="shared" si="7"/>
        <v>0</v>
      </c>
      <c r="Q280" s="65">
        <f t="shared" si="4"/>
        <v>0</v>
      </c>
      <c r="R280" s="1"/>
    </row>
    <row r="281">
      <c r="A281" s="1"/>
      <c r="B281" s="1"/>
      <c r="C281" s="51"/>
      <c r="D281" s="50"/>
      <c r="E281" s="70" t="str">
        <f t="shared" si="1"/>
        <v/>
      </c>
      <c r="F281" s="1"/>
      <c r="G281" s="1"/>
      <c r="H281" s="1"/>
      <c r="I281" s="1"/>
      <c r="J281" s="1"/>
      <c r="K281" s="1"/>
      <c r="L281" s="53" t="str">
        <f t="shared" si="2"/>
        <v/>
      </c>
      <c r="M281" s="54" t="str">
        <f t="shared" si="3"/>
        <v/>
      </c>
      <c r="N281" s="81" t="str">
        <f t="shared" si="5"/>
        <v/>
      </c>
      <c r="O281" s="56">
        <f t="shared" si="6"/>
        <v>0</v>
      </c>
      <c r="P281" s="56">
        <f t="shared" si="7"/>
        <v>0</v>
      </c>
      <c r="Q281" s="65">
        <f t="shared" si="4"/>
        <v>0</v>
      </c>
      <c r="R281" s="1"/>
    </row>
    <row r="282">
      <c r="A282" s="1"/>
      <c r="B282" s="1"/>
      <c r="C282" s="51"/>
      <c r="D282" s="50"/>
      <c r="E282" s="70" t="str">
        <f t="shared" si="1"/>
        <v/>
      </c>
      <c r="F282" s="1"/>
      <c r="G282" s="1"/>
      <c r="H282" s="1"/>
      <c r="I282" s="1"/>
      <c r="J282" s="1"/>
      <c r="K282" s="1"/>
      <c r="L282" s="53" t="str">
        <f t="shared" si="2"/>
        <v/>
      </c>
      <c r="M282" s="54" t="str">
        <f t="shared" si="3"/>
        <v/>
      </c>
      <c r="N282" s="81" t="str">
        <f t="shared" si="5"/>
        <v/>
      </c>
      <c r="O282" s="56">
        <f t="shared" si="6"/>
        <v>0</v>
      </c>
      <c r="P282" s="56">
        <f t="shared" si="7"/>
        <v>0</v>
      </c>
      <c r="Q282" s="65">
        <f t="shared" si="4"/>
        <v>0</v>
      </c>
      <c r="R282" s="1"/>
    </row>
    <row r="283">
      <c r="A283" s="1"/>
      <c r="B283" s="1"/>
      <c r="C283" s="51"/>
      <c r="D283" s="50"/>
      <c r="E283" s="70" t="str">
        <f t="shared" si="1"/>
        <v/>
      </c>
      <c r="F283" s="1"/>
      <c r="G283" s="1"/>
      <c r="H283" s="1"/>
      <c r="I283" s="1"/>
      <c r="J283" s="1"/>
      <c r="K283" s="1"/>
      <c r="L283" s="53" t="str">
        <f t="shared" si="2"/>
        <v/>
      </c>
      <c r="M283" s="54" t="str">
        <f t="shared" si="3"/>
        <v/>
      </c>
      <c r="N283" s="81" t="str">
        <f t="shared" si="5"/>
        <v/>
      </c>
      <c r="O283" s="56">
        <f t="shared" si="6"/>
        <v>0</v>
      </c>
      <c r="P283" s="56">
        <f t="shared" si="7"/>
        <v>0</v>
      </c>
      <c r="Q283" s="65">
        <f t="shared" si="4"/>
        <v>0</v>
      </c>
      <c r="R283" s="1"/>
    </row>
    <row r="284">
      <c r="A284" s="1"/>
      <c r="B284" s="1"/>
      <c r="C284" s="71"/>
      <c r="D284" s="50"/>
      <c r="E284" s="70" t="str">
        <f t="shared" si="1"/>
        <v/>
      </c>
      <c r="F284" s="1"/>
      <c r="G284" s="1"/>
      <c r="H284" s="1"/>
      <c r="I284" s="1"/>
      <c r="J284" s="1"/>
      <c r="K284" s="1"/>
      <c r="L284" s="53" t="str">
        <f t="shared" si="2"/>
        <v/>
      </c>
      <c r="M284" s="54" t="str">
        <f t="shared" si="3"/>
        <v/>
      </c>
      <c r="N284" s="81" t="str">
        <f t="shared" si="5"/>
        <v/>
      </c>
      <c r="O284" s="56">
        <f t="shared" si="6"/>
        <v>0</v>
      </c>
      <c r="P284" s="56">
        <f t="shared" si="7"/>
        <v>0</v>
      </c>
      <c r="Q284" s="65">
        <f t="shared" si="4"/>
        <v>0</v>
      </c>
      <c r="R284" s="1"/>
    </row>
    <row r="285">
      <c r="A285" s="1"/>
      <c r="B285" s="1"/>
      <c r="C285" s="1"/>
      <c r="D285" s="1"/>
      <c r="E285" s="70" t="str">
        <f t="shared" si="1"/>
        <v/>
      </c>
      <c r="F285" s="1"/>
      <c r="G285" s="1"/>
      <c r="H285" s="1"/>
      <c r="I285" s="1"/>
      <c r="J285" s="1"/>
      <c r="K285" s="1"/>
      <c r="L285" s="53" t="str">
        <f t="shared" si="2"/>
        <v/>
      </c>
      <c r="M285" s="54" t="str">
        <f t="shared" si="3"/>
        <v/>
      </c>
      <c r="N285" s="81" t="str">
        <f t="shared" si="5"/>
        <v/>
      </c>
      <c r="O285" s="56">
        <f t="shared" si="6"/>
        <v>0</v>
      </c>
      <c r="P285" s="56">
        <f t="shared" si="7"/>
        <v>0</v>
      </c>
      <c r="Q285" s="65">
        <f t="shared" si="4"/>
        <v>0</v>
      </c>
      <c r="R285" s="1"/>
    </row>
    <row r="286">
      <c r="A286" s="1"/>
      <c r="B286" s="1"/>
      <c r="C286" s="1"/>
      <c r="D286" s="1"/>
      <c r="E286" s="70" t="str">
        <f t="shared" si="1"/>
        <v/>
      </c>
      <c r="F286" s="1"/>
      <c r="G286" s="1"/>
      <c r="H286" s="1"/>
      <c r="I286" s="1"/>
      <c r="J286" s="1"/>
      <c r="K286" s="1"/>
      <c r="L286" s="53" t="str">
        <f t="shared" si="2"/>
        <v/>
      </c>
      <c r="M286" s="54" t="str">
        <f t="shared" si="3"/>
        <v/>
      </c>
      <c r="N286" s="81" t="str">
        <f t="shared" si="5"/>
        <v/>
      </c>
      <c r="O286" s="56">
        <f t="shared" si="6"/>
        <v>0</v>
      </c>
      <c r="P286" s="56">
        <f t="shared" si="7"/>
        <v>0</v>
      </c>
      <c r="Q286" s="65">
        <f t="shared" si="4"/>
        <v>0</v>
      </c>
      <c r="R286" s="1"/>
    </row>
    <row r="287">
      <c r="A287" s="1"/>
      <c r="B287" s="1"/>
      <c r="C287" s="1"/>
      <c r="D287" s="1"/>
      <c r="E287" s="70" t="str">
        <f t="shared" si="1"/>
        <v/>
      </c>
      <c r="F287" s="1"/>
      <c r="G287" s="1"/>
      <c r="H287" s="1"/>
      <c r="I287" s="1"/>
      <c r="J287" s="1"/>
      <c r="K287" s="1"/>
      <c r="L287" s="53" t="str">
        <f t="shared" si="2"/>
        <v/>
      </c>
      <c r="M287" s="54" t="str">
        <f t="shared" si="3"/>
        <v/>
      </c>
      <c r="N287" s="81" t="str">
        <f t="shared" si="5"/>
        <v/>
      </c>
      <c r="O287" s="56">
        <f t="shared" si="6"/>
        <v>0</v>
      </c>
      <c r="P287" s="56">
        <f t="shared" si="7"/>
        <v>0</v>
      </c>
      <c r="Q287" s="65">
        <f t="shared" si="4"/>
        <v>0</v>
      </c>
      <c r="R287" s="1"/>
    </row>
    <row r="288">
      <c r="A288" s="1"/>
      <c r="B288" s="1"/>
      <c r="C288" s="1"/>
      <c r="D288" s="1"/>
      <c r="E288" s="70" t="str">
        <f t="shared" si="1"/>
        <v/>
      </c>
      <c r="F288" s="1"/>
      <c r="G288" s="1"/>
      <c r="H288" s="1"/>
      <c r="I288" s="1"/>
      <c r="J288" s="1"/>
      <c r="K288" s="1"/>
      <c r="L288" s="53" t="str">
        <f t="shared" si="2"/>
        <v/>
      </c>
      <c r="M288" s="54" t="str">
        <f t="shared" si="3"/>
        <v/>
      </c>
      <c r="N288" s="81" t="str">
        <f t="shared" si="5"/>
        <v/>
      </c>
      <c r="O288" s="56">
        <f t="shared" si="6"/>
        <v>0</v>
      </c>
      <c r="P288" s="56">
        <f t="shared" si="7"/>
        <v>0</v>
      </c>
      <c r="Q288" s="65">
        <f t="shared" si="4"/>
        <v>0</v>
      </c>
      <c r="R288" s="1"/>
    </row>
    <row r="289">
      <c r="A289" s="1"/>
      <c r="B289" s="1"/>
      <c r="C289" s="1"/>
      <c r="D289" s="1"/>
      <c r="E289" s="70" t="str">
        <f t="shared" si="1"/>
        <v/>
      </c>
      <c r="F289" s="1"/>
      <c r="G289" s="1"/>
      <c r="H289" s="1"/>
      <c r="I289" s="1"/>
      <c r="J289" s="1"/>
      <c r="K289" s="1"/>
      <c r="L289" s="53" t="str">
        <f t="shared" si="2"/>
        <v/>
      </c>
      <c r="M289" s="54" t="str">
        <f t="shared" si="3"/>
        <v/>
      </c>
      <c r="N289" s="81" t="str">
        <f t="shared" si="5"/>
        <v/>
      </c>
      <c r="O289" s="56">
        <f t="shared" si="6"/>
        <v>0</v>
      </c>
      <c r="P289" s="56">
        <f t="shared" si="7"/>
        <v>0</v>
      </c>
      <c r="Q289" s="65">
        <f t="shared" si="4"/>
        <v>0</v>
      </c>
      <c r="R289" s="1"/>
    </row>
    <row r="290">
      <c r="A290" s="1"/>
      <c r="B290" s="1"/>
      <c r="C290" s="1"/>
      <c r="D290" s="1"/>
      <c r="E290" s="70" t="str">
        <f t="shared" si="1"/>
        <v/>
      </c>
      <c r="F290" s="1"/>
      <c r="G290" s="1"/>
      <c r="H290" s="1"/>
      <c r="I290" s="1"/>
      <c r="J290" s="1"/>
      <c r="K290" s="1"/>
      <c r="L290" s="53" t="str">
        <f t="shared" si="2"/>
        <v/>
      </c>
      <c r="M290" s="54" t="str">
        <f t="shared" si="3"/>
        <v/>
      </c>
      <c r="N290" s="81" t="str">
        <f t="shared" si="5"/>
        <v/>
      </c>
      <c r="O290" s="56">
        <f t="shared" si="6"/>
        <v>0</v>
      </c>
      <c r="P290" s="56">
        <f t="shared" si="7"/>
        <v>0</v>
      </c>
      <c r="Q290" s="65">
        <f t="shared" si="4"/>
        <v>0</v>
      </c>
      <c r="R290" s="1"/>
    </row>
    <row r="291">
      <c r="A291" s="1"/>
      <c r="B291" s="1"/>
      <c r="C291" s="1"/>
      <c r="D291" s="1"/>
      <c r="E291" s="70" t="str">
        <f t="shared" si="1"/>
        <v/>
      </c>
      <c r="F291" s="1"/>
      <c r="G291" s="1"/>
      <c r="H291" s="1"/>
      <c r="I291" s="1"/>
      <c r="J291" s="1"/>
      <c r="K291" s="1"/>
      <c r="L291" s="53" t="str">
        <f t="shared" si="2"/>
        <v/>
      </c>
      <c r="M291" s="54" t="str">
        <f t="shared" si="3"/>
        <v/>
      </c>
      <c r="N291" s="81" t="str">
        <f t="shared" si="5"/>
        <v/>
      </c>
      <c r="O291" s="56">
        <f t="shared" si="6"/>
        <v>0</v>
      </c>
      <c r="P291" s="56">
        <f t="shared" si="7"/>
        <v>0</v>
      </c>
      <c r="Q291" s="65">
        <f t="shared" si="4"/>
        <v>0</v>
      </c>
      <c r="R291" s="1"/>
    </row>
    <row r="292">
      <c r="A292" s="1"/>
      <c r="B292" s="1"/>
      <c r="C292" s="1"/>
      <c r="D292" s="1"/>
      <c r="E292" s="70" t="str">
        <f t="shared" si="1"/>
        <v/>
      </c>
      <c r="F292" s="1"/>
      <c r="G292" s="1"/>
      <c r="H292" s="1"/>
      <c r="I292" s="1"/>
      <c r="J292" s="1"/>
      <c r="K292" s="1"/>
      <c r="L292" s="53" t="str">
        <f t="shared" si="2"/>
        <v/>
      </c>
      <c r="M292" s="54" t="str">
        <f t="shared" si="3"/>
        <v/>
      </c>
      <c r="N292" s="81" t="str">
        <f t="shared" si="5"/>
        <v/>
      </c>
      <c r="O292" s="56">
        <f t="shared" si="6"/>
        <v>0</v>
      </c>
      <c r="P292" s="56">
        <f t="shared" si="7"/>
        <v>0</v>
      </c>
      <c r="Q292" s="65">
        <f t="shared" si="4"/>
        <v>0</v>
      </c>
      <c r="R292" s="1"/>
    </row>
    <row r="293">
      <c r="A293" s="1"/>
      <c r="B293" s="1"/>
      <c r="C293" s="1"/>
      <c r="D293" s="1"/>
      <c r="E293" s="70" t="str">
        <f t="shared" si="1"/>
        <v/>
      </c>
      <c r="F293" s="1"/>
      <c r="G293" s="1"/>
      <c r="H293" s="1"/>
      <c r="I293" s="1"/>
      <c r="J293" s="1"/>
      <c r="K293" s="1"/>
      <c r="L293" s="53" t="str">
        <f t="shared" si="2"/>
        <v/>
      </c>
      <c r="M293" s="54" t="str">
        <f t="shared" si="3"/>
        <v/>
      </c>
      <c r="N293" s="81" t="str">
        <f t="shared" si="5"/>
        <v/>
      </c>
      <c r="O293" s="56">
        <f t="shared" si="6"/>
        <v>0</v>
      </c>
      <c r="P293" s="56">
        <f t="shared" si="7"/>
        <v>0</v>
      </c>
      <c r="Q293" s="65">
        <f t="shared" si="4"/>
        <v>0</v>
      </c>
      <c r="R293" s="1"/>
    </row>
    <row r="294">
      <c r="A294" s="1"/>
      <c r="B294" s="1"/>
      <c r="C294" s="1"/>
      <c r="D294" s="1"/>
      <c r="E294" s="70" t="str">
        <f t="shared" si="1"/>
        <v/>
      </c>
      <c r="F294" s="1"/>
      <c r="G294" s="1"/>
      <c r="H294" s="1"/>
      <c r="I294" s="1"/>
      <c r="J294" s="1"/>
      <c r="K294" s="1"/>
      <c r="L294" s="53" t="str">
        <f t="shared" si="2"/>
        <v/>
      </c>
      <c r="M294" s="54" t="str">
        <f t="shared" si="3"/>
        <v/>
      </c>
      <c r="N294" s="81" t="str">
        <f t="shared" si="5"/>
        <v/>
      </c>
      <c r="O294" s="56">
        <f t="shared" si="6"/>
        <v>0</v>
      </c>
      <c r="P294" s="56">
        <f t="shared" si="7"/>
        <v>0</v>
      </c>
      <c r="Q294" s="65">
        <f t="shared" si="4"/>
        <v>0</v>
      </c>
      <c r="R294" s="1"/>
    </row>
    <row r="295">
      <c r="A295" s="1"/>
      <c r="B295" s="1"/>
      <c r="C295" s="1"/>
      <c r="D295" s="1"/>
      <c r="E295" s="70" t="str">
        <f t="shared" si="1"/>
        <v/>
      </c>
      <c r="F295" s="1"/>
      <c r="G295" s="1"/>
      <c r="H295" s="1"/>
      <c r="I295" s="1"/>
      <c r="J295" s="1"/>
      <c r="K295" s="1"/>
      <c r="L295" s="53" t="str">
        <f t="shared" si="2"/>
        <v/>
      </c>
      <c r="M295" s="54" t="str">
        <f t="shared" si="3"/>
        <v/>
      </c>
      <c r="N295" s="81" t="str">
        <f t="shared" si="5"/>
        <v/>
      </c>
      <c r="O295" s="56">
        <f t="shared" si="6"/>
        <v>0</v>
      </c>
      <c r="P295" s="56">
        <f t="shared" si="7"/>
        <v>0</v>
      </c>
      <c r="Q295" s="65">
        <f t="shared" si="4"/>
        <v>0</v>
      </c>
      <c r="R295" s="1"/>
    </row>
    <row r="296">
      <c r="A296" s="1"/>
      <c r="B296" s="1"/>
      <c r="C296" s="1"/>
      <c r="D296" s="1"/>
      <c r="E296" s="70" t="str">
        <f t="shared" si="1"/>
        <v/>
      </c>
      <c r="F296" s="1"/>
      <c r="G296" s="1"/>
      <c r="H296" s="1"/>
      <c r="I296" s="1"/>
      <c r="J296" s="1"/>
      <c r="K296" s="1"/>
      <c r="L296" s="53" t="str">
        <f t="shared" si="2"/>
        <v/>
      </c>
      <c r="M296" s="54" t="str">
        <f t="shared" si="3"/>
        <v/>
      </c>
      <c r="N296" s="81" t="str">
        <f t="shared" si="5"/>
        <v/>
      </c>
      <c r="O296" s="56">
        <f t="shared" si="6"/>
        <v>0</v>
      </c>
      <c r="P296" s="56">
        <f t="shared" si="7"/>
        <v>0</v>
      </c>
      <c r="Q296" s="65">
        <f t="shared" si="4"/>
        <v>0</v>
      </c>
      <c r="R296" s="1"/>
    </row>
    <row r="297">
      <c r="A297" s="1"/>
      <c r="B297" s="1"/>
      <c r="C297" s="1"/>
      <c r="D297" s="1"/>
      <c r="E297" s="70" t="str">
        <f t="shared" si="1"/>
        <v/>
      </c>
      <c r="F297" s="1"/>
      <c r="G297" s="1"/>
      <c r="H297" s="1"/>
      <c r="I297" s="1"/>
      <c r="J297" s="1"/>
      <c r="K297" s="1"/>
      <c r="L297" s="53" t="str">
        <f t="shared" si="2"/>
        <v/>
      </c>
      <c r="M297" s="54" t="str">
        <f t="shared" si="3"/>
        <v/>
      </c>
      <c r="N297" s="81" t="str">
        <f t="shared" si="5"/>
        <v/>
      </c>
      <c r="O297" s="56">
        <f t="shared" si="6"/>
        <v>0</v>
      </c>
      <c r="P297" s="56">
        <f t="shared" si="7"/>
        <v>0</v>
      </c>
      <c r="Q297" s="65">
        <f t="shared" si="4"/>
        <v>0</v>
      </c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3" t="str">
        <f t="shared" si="2"/>
        <v/>
      </c>
      <c r="M298" s="54" t="str">
        <f t="shared" si="3"/>
        <v/>
      </c>
      <c r="N298" s="81" t="str">
        <f t="shared" si="5"/>
        <v/>
      </c>
      <c r="O298" s="56">
        <f t="shared" si="6"/>
        <v>0</v>
      </c>
      <c r="P298" s="56">
        <f t="shared" si="7"/>
        <v>0</v>
      </c>
      <c r="Q298" s="65">
        <f t="shared" si="4"/>
        <v>0</v>
      </c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3" t="str">
        <f t="shared" si="2"/>
        <v/>
      </c>
      <c r="M299" s="54" t="str">
        <f t="shared" si="3"/>
        <v/>
      </c>
      <c r="N299" s="81" t="str">
        <f t="shared" si="5"/>
        <v/>
      </c>
      <c r="O299" s="56">
        <f t="shared" si="6"/>
        <v>0</v>
      </c>
      <c r="P299" s="56">
        <f t="shared" si="7"/>
        <v>0</v>
      </c>
      <c r="Q299" s="65">
        <f t="shared" si="4"/>
        <v>0</v>
      </c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3" t="str">
        <f t="shared" si="2"/>
        <v/>
      </c>
      <c r="M300" s="54" t="str">
        <f t="shared" si="3"/>
        <v/>
      </c>
      <c r="N300" s="81" t="str">
        <f t="shared" si="5"/>
        <v/>
      </c>
      <c r="O300" s="56">
        <f t="shared" si="6"/>
        <v>0</v>
      </c>
      <c r="P300" s="56">
        <f t="shared" si="7"/>
        <v>0</v>
      </c>
      <c r="Q300" s="65">
        <f t="shared" si="4"/>
        <v>0</v>
      </c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3" t="str">
        <f t="shared" si="2"/>
        <v/>
      </c>
      <c r="M301" s="54" t="str">
        <f t="shared" si="3"/>
        <v/>
      </c>
      <c r="N301" s="81" t="str">
        <f t="shared" si="5"/>
        <v/>
      </c>
      <c r="O301" s="56">
        <f t="shared" si="6"/>
        <v>0</v>
      </c>
      <c r="P301" s="56">
        <f t="shared" si="7"/>
        <v>0</v>
      </c>
      <c r="Q301" s="65">
        <f t="shared" si="4"/>
        <v>0</v>
      </c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3" t="str">
        <f t="shared" si="2"/>
        <v/>
      </c>
      <c r="M302" s="54" t="str">
        <f t="shared" si="3"/>
        <v/>
      </c>
      <c r="N302" s="81" t="str">
        <f t="shared" si="5"/>
        <v/>
      </c>
      <c r="O302" s="56">
        <f t="shared" si="6"/>
        <v>0</v>
      </c>
      <c r="P302" s="56">
        <f t="shared" si="7"/>
        <v>0</v>
      </c>
      <c r="Q302" s="65">
        <f t="shared" si="4"/>
        <v>0</v>
      </c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3" t="str">
        <f t="shared" si="2"/>
        <v/>
      </c>
      <c r="M303" s="54" t="str">
        <f t="shared" si="3"/>
        <v/>
      </c>
      <c r="N303" s="81" t="str">
        <f t="shared" si="5"/>
        <v/>
      </c>
      <c r="O303" s="56">
        <f t="shared" si="6"/>
        <v>0</v>
      </c>
      <c r="P303" s="56">
        <f t="shared" si="7"/>
        <v>0</v>
      </c>
      <c r="Q303" s="65">
        <f t="shared" si="4"/>
        <v>0</v>
      </c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3" t="str">
        <f t="shared" si="2"/>
        <v/>
      </c>
      <c r="M304" s="54" t="str">
        <f t="shared" si="3"/>
        <v/>
      </c>
      <c r="N304" s="81" t="str">
        <f t="shared" si="5"/>
        <v/>
      </c>
      <c r="O304" s="56">
        <f t="shared" si="6"/>
        <v>0</v>
      </c>
      <c r="P304" s="56">
        <f t="shared" si="7"/>
        <v>0</v>
      </c>
      <c r="Q304" s="65">
        <f t="shared" si="4"/>
        <v>0</v>
      </c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3" t="str">
        <f t="shared" si="2"/>
        <v/>
      </c>
      <c r="M305" s="54" t="str">
        <f t="shared" si="3"/>
        <v/>
      </c>
      <c r="N305" s="81" t="str">
        <f t="shared" si="5"/>
        <v/>
      </c>
      <c r="O305" s="56">
        <f t="shared" si="6"/>
        <v>0</v>
      </c>
      <c r="P305" s="56">
        <f t="shared" si="7"/>
        <v>0</v>
      </c>
      <c r="Q305" s="65">
        <f t="shared" si="4"/>
        <v>0</v>
      </c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3" t="str">
        <f t="shared" si="2"/>
        <v/>
      </c>
      <c r="M306" s="54" t="str">
        <f t="shared" si="3"/>
        <v/>
      </c>
      <c r="N306" s="81" t="str">
        <f t="shared" si="5"/>
        <v/>
      </c>
      <c r="O306" s="56">
        <f t="shared" si="6"/>
        <v>0</v>
      </c>
      <c r="P306" s="56">
        <f t="shared" si="7"/>
        <v>0</v>
      </c>
      <c r="Q306" s="65">
        <f t="shared" si="4"/>
        <v>0</v>
      </c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3" t="str">
        <f t="shared" si="2"/>
        <v/>
      </c>
      <c r="M307" s="54" t="str">
        <f t="shared" si="3"/>
        <v/>
      </c>
      <c r="N307" s="81" t="str">
        <f t="shared" si="5"/>
        <v/>
      </c>
      <c r="O307" s="56">
        <f t="shared" si="6"/>
        <v>0</v>
      </c>
      <c r="P307" s="56">
        <f t="shared" si="7"/>
        <v>0</v>
      </c>
      <c r="Q307" s="65">
        <f t="shared" si="4"/>
        <v>0</v>
      </c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3" t="str">
        <f t="shared" si="2"/>
        <v/>
      </c>
      <c r="M308" s="54" t="str">
        <f t="shared" si="3"/>
        <v/>
      </c>
      <c r="N308" s="81" t="str">
        <f t="shared" si="5"/>
        <v/>
      </c>
      <c r="O308" s="56">
        <f t="shared" si="6"/>
        <v>0</v>
      </c>
      <c r="P308" s="56">
        <f t="shared" si="7"/>
        <v>0</v>
      </c>
      <c r="Q308" s="65">
        <f t="shared" si="4"/>
        <v>0</v>
      </c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3" t="str">
        <f t="shared" si="2"/>
        <v/>
      </c>
      <c r="M309" s="54" t="str">
        <f t="shared" si="3"/>
        <v/>
      </c>
      <c r="N309" s="81" t="str">
        <f t="shared" si="5"/>
        <v/>
      </c>
      <c r="O309" s="56">
        <f t="shared" si="6"/>
        <v>0</v>
      </c>
      <c r="P309" s="56">
        <f t="shared" si="7"/>
        <v>0</v>
      </c>
      <c r="Q309" s="65">
        <f t="shared" si="4"/>
        <v>0</v>
      </c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3" t="str">
        <f t="shared" si="2"/>
        <v/>
      </c>
      <c r="M310" s="54" t="str">
        <f t="shared" si="3"/>
        <v/>
      </c>
      <c r="N310" s="81" t="str">
        <f t="shared" si="5"/>
        <v/>
      </c>
      <c r="O310" s="56">
        <f t="shared" si="6"/>
        <v>0</v>
      </c>
      <c r="P310" s="56">
        <f t="shared" si="7"/>
        <v>0</v>
      </c>
      <c r="Q310" s="65">
        <f t="shared" si="4"/>
        <v>0</v>
      </c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3" t="str">
        <f t="shared" si="2"/>
        <v/>
      </c>
      <c r="M311" s="54" t="str">
        <f t="shared" si="3"/>
        <v/>
      </c>
      <c r="N311" s="81" t="str">
        <f t="shared" si="5"/>
        <v/>
      </c>
      <c r="O311" s="56">
        <f t="shared" si="6"/>
        <v>0</v>
      </c>
      <c r="P311" s="56">
        <f t="shared" si="7"/>
        <v>0</v>
      </c>
      <c r="Q311" s="65">
        <f t="shared" si="4"/>
        <v>0</v>
      </c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3" t="str">
        <f t="shared" si="2"/>
        <v/>
      </c>
      <c r="M312" s="54" t="str">
        <f t="shared" si="3"/>
        <v/>
      </c>
      <c r="N312" s="81" t="str">
        <f t="shared" si="5"/>
        <v/>
      </c>
      <c r="O312" s="56">
        <f t="shared" si="6"/>
        <v>0</v>
      </c>
      <c r="P312" s="56">
        <f t="shared" si="7"/>
        <v>0</v>
      </c>
      <c r="Q312" s="65">
        <f t="shared" si="4"/>
        <v>0</v>
      </c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3" t="str">
        <f t="shared" si="2"/>
        <v/>
      </c>
      <c r="M313" s="54" t="str">
        <f t="shared" si="3"/>
        <v/>
      </c>
      <c r="N313" s="81" t="str">
        <f t="shared" si="5"/>
        <v/>
      </c>
      <c r="O313" s="56">
        <f t="shared" si="6"/>
        <v>0</v>
      </c>
      <c r="P313" s="56">
        <f t="shared" si="7"/>
        <v>0</v>
      </c>
      <c r="Q313" s="65">
        <f t="shared" si="4"/>
        <v>0</v>
      </c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3" t="str">
        <f t="shared" si="2"/>
        <v/>
      </c>
      <c r="M314" s="54" t="str">
        <f t="shared" si="3"/>
        <v/>
      </c>
      <c r="N314" s="81" t="str">
        <f t="shared" si="5"/>
        <v/>
      </c>
      <c r="O314" s="56">
        <f t="shared" si="6"/>
        <v>0</v>
      </c>
      <c r="P314" s="56">
        <f t="shared" si="7"/>
        <v>0</v>
      </c>
      <c r="Q314" s="65">
        <f t="shared" si="4"/>
        <v>0</v>
      </c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3" t="str">
        <f t="shared" si="2"/>
        <v/>
      </c>
      <c r="M315" s="54" t="str">
        <f t="shared" si="3"/>
        <v/>
      </c>
      <c r="N315" s="81" t="str">
        <f t="shared" si="5"/>
        <v/>
      </c>
      <c r="O315" s="56">
        <f t="shared" si="6"/>
        <v>0</v>
      </c>
      <c r="P315" s="56">
        <f t="shared" si="7"/>
        <v>0</v>
      </c>
      <c r="Q315" s="65">
        <f t="shared" si="4"/>
        <v>0</v>
      </c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3" t="str">
        <f t="shared" si="2"/>
        <v/>
      </c>
      <c r="M316" s="54" t="str">
        <f t="shared" si="3"/>
        <v/>
      </c>
      <c r="N316" s="81" t="str">
        <f t="shared" si="5"/>
        <v/>
      </c>
      <c r="O316" s="56">
        <f t="shared" si="6"/>
        <v>0</v>
      </c>
      <c r="P316" s="56">
        <f t="shared" si="7"/>
        <v>0</v>
      </c>
      <c r="Q316" s="65">
        <f t="shared" si="4"/>
        <v>0</v>
      </c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3" t="str">
        <f t="shared" si="2"/>
        <v/>
      </c>
      <c r="M317" s="54" t="str">
        <f t="shared" si="3"/>
        <v/>
      </c>
      <c r="N317" s="81" t="str">
        <f t="shared" si="5"/>
        <v/>
      </c>
      <c r="O317" s="56">
        <f t="shared" si="6"/>
        <v>0</v>
      </c>
      <c r="P317" s="56">
        <f t="shared" si="7"/>
        <v>0</v>
      </c>
      <c r="Q317" s="65">
        <f t="shared" si="4"/>
        <v>0</v>
      </c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3" t="str">
        <f t="shared" si="2"/>
        <v/>
      </c>
      <c r="M318" s="54" t="str">
        <f t="shared" si="3"/>
        <v/>
      </c>
      <c r="N318" s="81" t="str">
        <f t="shared" si="5"/>
        <v/>
      </c>
      <c r="O318" s="56">
        <f t="shared" si="6"/>
        <v>0</v>
      </c>
      <c r="P318" s="56">
        <f t="shared" si="7"/>
        <v>0</v>
      </c>
      <c r="Q318" s="65">
        <f t="shared" si="4"/>
        <v>0</v>
      </c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3" t="str">
        <f t="shared" si="2"/>
        <v/>
      </c>
      <c r="M319" s="54" t="str">
        <f t="shared" si="3"/>
        <v/>
      </c>
      <c r="N319" s="81" t="str">
        <f t="shared" si="5"/>
        <v/>
      </c>
      <c r="O319" s="56">
        <f t="shared" si="6"/>
        <v>0</v>
      </c>
      <c r="P319" s="56">
        <f t="shared" si="7"/>
        <v>0</v>
      </c>
      <c r="Q319" s="65">
        <f t="shared" si="4"/>
        <v>0</v>
      </c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3" t="str">
        <f t="shared" si="2"/>
        <v/>
      </c>
      <c r="M320" s="54" t="str">
        <f t="shared" si="3"/>
        <v/>
      </c>
      <c r="N320" s="81" t="str">
        <f t="shared" si="5"/>
        <v/>
      </c>
      <c r="O320" s="56">
        <f t="shared" si="6"/>
        <v>0</v>
      </c>
      <c r="P320" s="56">
        <f t="shared" si="7"/>
        <v>0</v>
      </c>
      <c r="Q320" s="65">
        <f t="shared" si="4"/>
        <v>0</v>
      </c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0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41" t="s">
        <v>26</v>
      </c>
      <c r="C4" s="19">
        <v>45917.0</v>
      </c>
      <c r="D4" s="20">
        <v>312.03</v>
      </c>
      <c r="E4" s="70" t="str">
        <f>IF(B4&lt;&gt;"BAJA",TODAY(),"")</f>
        <v/>
      </c>
      <c r="F4" s="22"/>
      <c r="G4" s="82" t="str">
        <f>IFERROR(__xludf.DUMMYFUNCTION("filter(B4:E1001,B4:B1001&lt;&gt;"""",B4:B1001&lt;&gt;""BAJA"")"),"Alta")</f>
        <v>Alta</v>
      </c>
      <c r="H4" s="24">
        <f>IFERROR(__xludf.DUMMYFUNCTION("""COMPUTED_VALUE"""),41674.0)</f>
        <v>41674</v>
      </c>
      <c r="I4" s="25">
        <f>IFERROR(__xludf.DUMMYFUNCTION("""COMPUTED_VALUE"""),65.0)</f>
        <v>65</v>
      </c>
      <c r="J4" s="26">
        <f>IFERROR(__xludf.DUMMYFUNCTION("""COMPUTED_VALUE"""),45917.0)</f>
        <v>45917</v>
      </c>
      <c r="K4" s="1"/>
      <c r="L4" s="27" t="s">
        <v>10</v>
      </c>
      <c r="M4" s="28"/>
      <c r="N4" s="28"/>
      <c r="O4" s="28"/>
      <c r="P4" s="29"/>
      <c r="Q4" s="30">
        <f>SUM(O8:O320)</f>
        <v>606.2857143</v>
      </c>
      <c r="R4" s="1"/>
    </row>
    <row r="5">
      <c r="A5" s="1"/>
      <c r="B5" s="41" t="s">
        <v>27</v>
      </c>
      <c r="C5" s="19">
        <v>41674.0</v>
      </c>
      <c r="D5" s="20">
        <v>65.0</v>
      </c>
      <c r="E5" s="31">
        <f t="shared" ref="E5:E297" si="1">C4</f>
        <v>45917</v>
      </c>
      <c r="F5" s="22"/>
      <c r="G5" s="82"/>
      <c r="H5" s="24"/>
      <c r="I5" s="25"/>
      <c r="J5" s="26"/>
      <c r="K5" s="1"/>
      <c r="L5" s="32" t="s">
        <v>11</v>
      </c>
      <c r="M5" s="33"/>
      <c r="N5" s="33"/>
      <c r="O5" s="33"/>
      <c r="P5" s="34"/>
      <c r="Q5" s="35">
        <v>250.0</v>
      </c>
      <c r="R5" s="1"/>
      <c r="U5" s="36"/>
      <c r="AD5" s="36"/>
    </row>
    <row r="6">
      <c r="A6" s="1"/>
      <c r="B6" s="41"/>
      <c r="C6" s="19"/>
      <c r="D6" s="20"/>
      <c r="E6" s="31">
        <f t="shared" si="1"/>
        <v>41674</v>
      </c>
      <c r="F6" s="22"/>
      <c r="G6" s="82"/>
      <c r="H6" s="24"/>
      <c r="I6" s="25"/>
      <c r="J6" s="26"/>
      <c r="K6" s="1"/>
      <c r="L6" s="37" t="s">
        <v>12</v>
      </c>
      <c r="M6" s="38"/>
      <c r="N6" s="38"/>
      <c r="O6" s="39"/>
      <c r="P6" s="39"/>
      <c r="Q6" s="40">
        <f>SUM(Q8:Q151)/250</f>
        <v>65</v>
      </c>
      <c r="R6" s="40">
        <f>Q6*30.4</f>
        <v>1976</v>
      </c>
      <c r="AA6" s="36"/>
      <c r="AJ6" s="36"/>
    </row>
    <row r="7">
      <c r="A7" s="41"/>
      <c r="B7" s="41"/>
      <c r="C7" s="19"/>
      <c r="D7" s="20"/>
      <c r="E7" s="31" t="str">
        <f t="shared" si="1"/>
        <v/>
      </c>
      <c r="F7" s="22"/>
      <c r="G7" s="82"/>
      <c r="H7" s="26"/>
      <c r="I7" s="25"/>
      <c r="J7" s="26"/>
      <c r="K7" s="1"/>
      <c r="L7" s="42" t="s">
        <v>4</v>
      </c>
      <c r="M7" s="43" t="s">
        <v>6</v>
      </c>
      <c r="N7" s="44" t="s">
        <v>5</v>
      </c>
      <c r="O7" s="42" t="s">
        <v>13</v>
      </c>
      <c r="P7" s="42" t="s">
        <v>14</v>
      </c>
      <c r="Q7" s="45" t="s">
        <v>15</v>
      </c>
      <c r="R7" s="1"/>
      <c r="AA7" s="48"/>
      <c r="AB7" s="48"/>
      <c r="AC7" s="48"/>
      <c r="AK7" s="49"/>
      <c r="AL7" s="49"/>
    </row>
    <row r="8">
      <c r="A8" s="41"/>
      <c r="B8" s="41"/>
      <c r="C8" s="19"/>
      <c r="D8" s="20"/>
      <c r="E8" s="31" t="str">
        <f t="shared" si="1"/>
        <v/>
      </c>
      <c r="F8" s="22"/>
      <c r="G8" s="1"/>
      <c r="H8" s="51"/>
      <c r="I8" s="52"/>
      <c r="J8" s="51"/>
      <c r="K8" s="1"/>
      <c r="L8" s="53">
        <f t="shared" ref="L8:L320" si="2">H4</f>
        <v>41674</v>
      </c>
      <c r="M8" s="54">
        <f t="shared" ref="M8:M320" si="3">J4</f>
        <v>45917</v>
      </c>
      <c r="N8" s="55">
        <f>VALUE(I4)</f>
        <v>65</v>
      </c>
      <c r="O8" s="56">
        <f>DATEDIF(H4-1,J4,"d")/7</f>
        <v>606.2857143</v>
      </c>
      <c r="P8" s="56">
        <f>IF((M8-(L8-1))/7&gt;250,250,(M8-(L8-1))/7)</f>
        <v>250</v>
      </c>
      <c r="Q8" s="57">
        <f t="shared" ref="Q8:Q320" si="4">IF(P8&gt;0,P8*N8,0)</f>
        <v>16250</v>
      </c>
      <c r="R8" s="1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49"/>
      <c r="AL8" s="49"/>
      <c r="AM8" s="62"/>
      <c r="AN8" s="62"/>
    </row>
    <row r="9">
      <c r="A9" s="41"/>
      <c r="B9" s="41"/>
      <c r="C9" s="19"/>
      <c r="D9" s="20"/>
      <c r="E9" s="31" t="str">
        <f t="shared" si="1"/>
        <v/>
      </c>
      <c r="F9" s="22"/>
      <c r="G9" s="1"/>
      <c r="H9" s="51"/>
      <c r="I9" s="52"/>
      <c r="J9" s="51"/>
      <c r="K9" s="1"/>
      <c r="L9" s="53" t="str">
        <f t="shared" si="2"/>
        <v/>
      </c>
      <c r="M9" s="54" t="str">
        <f t="shared" si="3"/>
        <v/>
      </c>
      <c r="N9" s="55" t="str">
        <f t="shared" ref="N9:N320" si="5">I5</f>
        <v/>
      </c>
      <c r="O9" s="56">
        <f t="shared" ref="O9:O320" si="6">IF(H5="",0,DATEDIF(H5,J5,"d")/7)</f>
        <v>0</v>
      </c>
      <c r="P9" s="56">
        <f t="shared" ref="P9:P320" si="7">IF((M9-L9)/7+SUM($P$8:P8)&gt;250,(250-SUM($P$8:P8)),(M9-L9)/7)</f>
        <v>0</v>
      </c>
      <c r="Q9" s="63">
        <f t="shared" si="4"/>
        <v>0</v>
      </c>
      <c r="R9" s="1"/>
      <c r="AK9" s="49"/>
      <c r="AL9" s="49"/>
    </row>
    <row r="10">
      <c r="A10" s="41"/>
      <c r="B10" s="41"/>
      <c r="C10" s="19"/>
      <c r="D10" s="20"/>
      <c r="E10" s="21" t="str">
        <f t="shared" si="1"/>
        <v/>
      </c>
      <c r="F10" s="22"/>
      <c r="G10" s="1"/>
      <c r="H10" s="51"/>
      <c r="I10" s="52"/>
      <c r="J10" s="51"/>
      <c r="K10" s="1"/>
      <c r="L10" s="53" t="str">
        <f t="shared" si="2"/>
        <v/>
      </c>
      <c r="M10" s="54" t="str">
        <f t="shared" si="3"/>
        <v/>
      </c>
      <c r="N10" s="55" t="str">
        <f t="shared" si="5"/>
        <v/>
      </c>
      <c r="O10" s="56">
        <f t="shared" si="6"/>
        <v>0</v>
      </c>
      <c r="P10" s="56">
        <f t="shared" si="7"/>
        <v>0</v>
      </c>
      <c r="Q10" s="65">
        <f t="shared" si="4"/>
        <v>0</v>
      </c>
      <c r="R10" s="1"/>
      <c r="AK10" s="49"/>
      <c r="AL10" s="49"/>
    </row>
    <row r="11">
      <c r="A11" s="41"/>
      <c r="B11" s="41"/>
      <c r="C11" s="19"/>
      <c r="D11" s="20"/>
      <c r="E11" s="21" t="str">
        <f t="shared" si="1"/>
        <v/>
      </c>
      <c r="F11" s="22"/>
      <c r="G11" s="1"/>
      <c r="H11" s="51"/>
      <c r="I11" s="52"/>
      <c r="J11" s="51"/>
      <c r="K11" s="1"/>
      <c r="L11" s="53" t="str">
        <f t="shared" si="2"/>
        <v/>
      </c>
      <c r="M11" s="54" t="str">
        <f t="shared" si="3"/>
        <v/>
      </c>
      <c r="N11" s="55" t="str">
        <f t="shared" si="5"/>
        <v/>
      </c>
      <c r="O11" s="56">
        <f t="shared" si="6"/>
        <v>0</v>
      </c>
      <c r="P11" s="56">
        <f t="shared" si="7"/>
        <v>0</v>
      </c>
      <c r="Q11" s="65">
        <f t="shared" si="4"/>
        <v>0</v>
      </c>
      <c r="R11" s="1"/>
      <c r="AK11" s="49"/>
      <c r="AL11" s="49"/>
    </row>
    <row r="12">
      <c r="A12" s="41"/>
      <c r="B12" s="41"/>
      <c r="C12" s="19"/>
      <c r="D12" s="20"/>
      <c r="E12" s="21" t="str">
        <f t="shared" si="1"/>
        <v/>
      </c>
      <c r="F12" s="22"/>
      <c r="G12" s="1"/>
      <c r="H12" s="51"/>
      <c r="I12" s="52"/>
      <c r="J12" s="51"/>
      <c r="K12" s="1"/>
      <c r="L12" s="53" t="str">
        <f t="shared" si="2"/>
        <v/>
      </c>
      <c r="M12" s="54" t="str">
        <f t="shared" si="3"/>
        <v/>
      </c>
      <c r="N12" s="67" t="str">
        <f t="shared" si="5"/>
        <v/>
      </c>
      <c r="O12" s="56">
        <f t="shared" si="6"/>
        <v>0</v>
      </c>
      <c r="P12" s="56">
        <f t="shared" si="7"/>
        <v>0</v>
      </c>
      <c r="Q12" s="65">
        <f t="shared" si="4"/>
        <v>0</v>
      </c>
      <c r="R12" s="1"/>
      <c r="AK12" s="49"/>
      <c r="AL12" s="49"/>
    </row>
    <row r="13">
      <c r="A13" s="41"/>
      <c r="B13" s="41"/>
      <c r="C13" s="19"/>
      <c r="D13" s="20"/>
      <c r="E13" s="21" t="str">
        <f t="shared" si="1"/>
        <v/>
      </c>
      <c r="F13" s="22"/>
      <c r="G13" s="1"/>
      <c r="H13" s="51"/>
      <c r="I13" s="52"/>
      <c r="J13" s="51"/>
      <c r="K13" s="1"/>
      <c r="L13" s="53" t="str">
        <f t="shared" si="2"/>
        <v/>
      </c>
      <c r="M13" s="54" t="str">
        <f t="shared" si="3"/>
        <v/>
      </c>
      <c r="N13" s="67" t="str">
        <f t="shared" si="5"/>
        <v/>
      </c>
      <c r="O13" s="56">
        <f t="shared" si="6"/>
        <v>0</v>
      </c>
      <c r="P13" s="56">
        <f t="shared" si="7"/>
        <v>0</v>
      </c>
      <c r="Q13" s="65">
        <f t="shared" si="4"/>
        <v>0</v>
      </c>
      <c r="R13" s="1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K13" s="49"/>
      <c r="AL13" s="49"/>
      <c r="AM13" s="68"/>
      <c r="AN13" s="68"/>
    </row>
    <row r="14">
      <c r="A14" s="41"/>
      <c r="B14" s="41"/>
      <c r="C14" s="19"/>
      <c r="D14" s="20"/>
      <c r="E14" s="21" t="str">
        <f t="shared" si="1"/>
        <v/>
      </c>
      <c r="F14" s="22"/>
      <c r="G14" s="1"/>
      <c r="H14" s="51"/>
      <c r="I14" s="52"/>
      <c r="J14" s="51"/>
      <c r="K14" s="1"/>
      <c r="L14" s="53" t="str">
        <f t="shared" si="2"/>
        <v/>
      </c>
      <c r="M14" s="54" t="str">
        <f t="shared" si="3"/>
        <v/>
      </c>
      <c r="N14" s="67" t="str">
        <f t="shared" si="5"/>
        <v/>
      </c>
      <c r="O14" s="56">
        <f t="shared" si="6"/>
        <v>0</v>
      </c>
      <c r="P14" s="56">
        <f t="shared" si="7"/>
        <v>0</v>
      </c>
      <c r="Q14" s="65">
        <f t="shared" si="4"/>
        <v>0</v>
      </c>
      <c r="R14" s="1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K14" s="49"/>
      <c r="AL14" s="49"/>
      <c r="AM14" s="68"/>
      <c r="AN14" s="68"/>
    </row>
    <row r="15">
      <c r="A15" s="41"/>
      <c r="B15" s="41"/>
      <c r="C15" s="19"/>
      <c r="D15" s="20"/>
      <c r="E15" s="21" t="str">
        <f t="shared" si="1"/>
        <v/>
      </c>
      <c r="F15" s="22"/>
      <c r="G15" s="1"/>
      <c r="H15" s="51"/>
      <c r="I15" s="52"/>
      <c r="J15" s="51"/>
      <c r="K15" s="1"/>
      <c r="L15" s="53" t="str">
        <f t="shared" si="2"/>
        <v/>
      </c>
      <c r="M15" s="54" t="str">
        <f t="shared" si="3"/>
        <v/>
      </c>
      <c r="N15" s="67" t="str">
        <f t="shared" si="5"/>
        <v/>
      </c>
      <c r="O15" s="56">
        <f t="shared" si="6"/>
        <v>0</v>
      </c>
      <c r="P15" s="56">
        <f t="shared" si="7"/>
        <v>0</v>
      </c>
      <c r="Q15" s="65">
        <f t="shared" si="4"/>
        <v>0</v>
      </c>
      <c r="R15" s="1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9"/>
      <c r="AL15" s="49"/>
      <c r="AM15" s="68"/>
      <c r="AN15" s="68"/>
    </row>
    <row r="16">
      <c r="A16" s="41"/>
      <c r="B16" s="41"/>
      <c r="C16" s="19"/>
      <c r="D16" s="20"/>
      <c r="E16" s="21" t="str">
        <f t="shared" si="1"/>
        <v/>
      </c>
      <c r="F16" s="22"/>
      <c r="G16" s="1"/>
      <c r="H16" s="51"/>
      <c r="I16" s="52"/>
      <c r="J16" s="51"/>
      <c r="K16" s="1"/>
      <c r="L16" s="53" t="str">
        <f t="shared" si="2"/>
        <v/>
      </c>
      <c r="M16" s="54" t="str">
        <f t="shared" si="3"/>
        <v/>
      </c>
      <c r="N16" s="67" t="str">
        <f t="shared" si="5"/>
        <v/>
      </c>
      <c r="O16" s="56">
        <f t="shared" si="6"/>
        <v>0</v>
      </c>
      <c r="P16" s="56">
        <f t="shared" si="7"/>
        <v>0</v>
      </c>
      <c r="Q16" s="65">
        <f t="shared" si="4"/>
        <v>0</v>
      </c>
      <c r="R16" s="1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9"/>
      <c r="AL16" s="49"/>
      <c r="AM16" s="68"/>
      <c r="AN16" s="68"/>
    </row>
    <row r="17">
      <c r="A17" s="41"/>
      <c r="B17" s="41"/>
      <c r="C17" s="19"/>
      <c r="D17" s="20"/>
      <c r="E17" s="21" t="str">
        <f t="shared" si="1"/>
        <v/>
      </c>
      <c r="F17" s="22"/>
      <c r="G17" s="1"/>
      <c r="H17" s="51"/>
      <c r="I17" s="52"/>
      <c r="J17" s="51"/>
      <c r="K17" s="1"/>
      <c r="L17" s="53" t="str">
        <f t="shared" si="2"/>
        <v/>
      </c>
      <c r="M17" s="54" t="str">
        <f t="shared" si="3"/>
        <v/>
      </c>
      <c r="N17" s="67" t="str">
        <f t="shared" si="5"/>
        <v/>
      </c>
      <c r="O17" s="56">
        <f t="shared" si="6"/>
        <v>0</v>
      </c>
      <c r="P17" s="56">
        <f t="shared" si="7"/>
        <v>0</v>
      </c>
      <c r="Q17" s="65">
        <f t="shared" si="4"/>
        <v>0</v>
      </c>
      <c r="R17" s="1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9"/>
      <c r="AL17" s="49"/>
      <c r="AM17" s="68"/>
      <c r="AN17" s="68"/>
    </row>
    <row r="18">
      <c r="A18" s="41"/>
      <c r="B18" s="41"/>
      <c r="C18" s="19"/>
      <c r="D18" s="20"/>
      <c r="E18" s="21" t="str">
        <f t="shared" si="1"/>
        <v/>
      </c>
      <c r="F18" s="22"/>
      <c r="G18" s="1"/>
      <c r="H18" s="51"/>
      <c r="I18" s="52"/>
      <c r="J18" s="51"/>
      <c r="K18" s="1"/>
      <c r="L18" s="53" t="str">
        <f t="shared" si="2"/>
        <v/>
      </c>
      <c r="M18" s="54" t="str">
        <f t="shared" si="3"/>
        <v/>
      </c>
      <c r="N18" s="67" t="str">
        <f t="shared" si="5"/>
        <v/>
      </c>
      <c r="O18" s="56">
        <f t="shared" si="6"/>
        <v>0</v>
      </c>
      <c r="P18" s="56">
        <f t="shared" si="7"/>
        <v>0</v>
      </c>
      <c r="Q18" s="65">
        <f t="shared" si="4"/>
        <v>0</v>
      </c>
      <c r="R18" s="1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9"/>
      <c r="AL18" s="49"/>
      <c r="AM18" s="68"/>
      <c r="AN18" s="68"/>
    </row>
    <row r="19">
      <c r="A19" s="41"/>
      <c r="B19" s="41"/>
      <c r="C19" s="19"/>
      <c r="D19" s="20"/>
      <c r="E19" s="21" t="str">
        <f t="shared" si="1"/>
        <v/>
      </c>
      <c r="F19" s="22"/>
      <c r="G19" s="1"/>
      <c r="H19" s="51"/>
      <c r="I19" s="52"/>
      <c r="J19" s="51"/>
      <c r="K19" s="1"/>
      <c r="L19" s="53" t="str">
        <f t="shared" si="2"/>
        <v/>
      </c>
      <c r="M19" s="54" t="str">
        <f t="shared" si="3"/>
        <v/>
      </c>
      <c r="N19" s="67" t="str">
        <f t="shared" si="5"/>
        <v/>
      </c>
      <c r="O19" s="56">
        <f t="shared" si="6"/>
        <v>0</v>
      </c>
      <c r="P19" s="56">
        <f t="shared" si="7"/>
        <v>0</v>
      </c>
      <c r="Q19" s="65">
        <f t="shared" si="4"/>
        <v>0</v>
      </c>
      <c r="R19" s="1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9"/>
      <c r="AL19" s="49"/>
      <c r="AM19" s="68"/>
      <c r="AN19" s="68"/>
    </row>
    <row r="20">
      <c r="A20" s="41"/>
      <c r="B20" s="41"/>
      <c r="C20" s="19"/>
      <c r="D20" s="20"/>
      <c r="E20" s="21" t="str">
        <f t="shared" si="1"/>
        <v/>
      </c>
      <c r="F20" s="22"/>
      <c r="G20" s="1"/>
      <c r="H20" s="51"/>
      <c r="I20" s="52"/>
      <c r="J20" s="51"/>
      <c r="K20" s="1"/>
      <c r="L20" s="53" t="str">
        <f t="shared" si="2"/>
        <v/>
      </c>
      <c r="M20" s="54" t="str">
        <f t="shared" si="3"/>
        <v/>
      </c>
      <c r="N20" s="67" t="str">
        <f t="shared" si="5"/>
        <v/>
      </c>
      <c r="O20" s="56">
        <f t="shared" si="6"/>
        <v>0</v>
      </c>
      <c r="P20" s="56">
        <f t="shared" si="7"/>
        <v>0</v>
      </c>
      <c r="Q20" s="65">
        <f t="shared" si="4"/>
        <v>0</v>
      </c>
      <c r="R20" s="1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9"/>
      <c r="AL20" s="49"/>
      <c r="AM20" s="68"/>
      <c r="AN20" s="68"/>
    </row>
    <row r="21">
      <c r="A21" s="41"/>
      <c r="B21" s="41"/>
      <c r="C21" s="19"/>
      <c r="D21" s="20"/>
      <c r="E21" s="21" t="str">
        <f t="shared" si="1"/>
        <v/>
      </c>
      <c r="F21" s="22"/>
      <c r="G21" s="1"/>
      <c r="H21" s="51"/>
      <c r="I21" s="52"/>
      <c r="J21" s="51"/>
      <c r="K21" s="1"/>
      <c r="L21" s="53" t="str">
        <f t="shared" si="2"/>
        <v/>
      </c>
      <c r="M21" s="54" t="str">
        <f t="shared" si="3"/>
        <v/>
      </c>
      <c r="N21" s="67" t="str">
        <f t="shared" si="5"/>
        <v/>
      </c>
      <c r="O21" s="56">
        <f t="shared" si="6"/>
        <v>0</v>
      </c>
      <c r="P21" s="56">
        <f t="shared" si="7"/>
        <v>0</v>
      </c>
      <c r="Q21" s="65">
        <f t="shared" si="4"/>
        <v>0</v>
      </c>
      <c r="R21" s="1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9"/>
      <c r="AL21" s="49"/>
      <c r="AM21" s="68"/>
      <c r="AN21" s="68"/>
    </row>
    <row r="22">
      <c r="A22" s="41"/>
      <c r="B22" s="41"/>
      <c r="C22" s="19"/>
      <c r="D22" s="20"/>
      <c r="E22" s="21" t="str">
        <f t="shared" si="1"/>
        <v/>
      </c>
      <c r="F22" s="22"/>
      <c r="G22" s="1"/>
      <c r="H22" s="51"/>
      <c r="I22" s="52"/>
      <c r="J22" s="51"/>
      <c r="K22" s="1"/>
      <c r="L22" s="53" t="str">
        <f t="shared" si="2"/>
        <v/>
      </c>
      <c r="M22" s="54" t="str">
        <f t="shared" si="3"/>
        <v/>
      </c>
      <c r="N22" s="67" t="str">
        <f t="shared" si="5"/>
        <v/>
      </c>
      <c r="O22" s="56">
        <f t="shared" si="6"/>
        <v>0</v>
      </c>
      <c r="P22" s="56">
        <f t="shared" si="7"/>
        <v>0</v>
      </c>
      <c r="Q22" s="65">
        <f t="shared" si="4"/>
        <v>0</v>
      </c>
      <c r="R22" s="1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9"/>
      <c r="AL22" s="49"/>
      <c r="AM22" s="68"/>
      <c r="AN22" s="68"/>
    </row>
    <row r="23">
      <c r="A23" s="41"/>
      <c r="B23" s="41"/>
      <c r="C23" s="19"/>
      <c r="D23" s="20"/>
      <c r="E23" s="21" t="str">
        <f t="shared" si="1"/>
        <v/>
      </c>
      <c r="F23" s="22"/>
      <c r="G23" s="1"/>
      <c r="H23" s="51"/>
      <c r="I23" s="52"/>
      <c r="J23" s="51"/>
      <c r="K23" s="1"/>
      <c r="L23" s="53" t="str">
        <f t="shared" si="2"/>
        <v/>
      </c>
      <c r="M23" s="54" t="str">
        <f t="shared" si="3"/>
        <v/>
      </c>
      <c r="N23" s="67" t="str">
        <f t="shared" si="5"/>
        <v/>
      </c>
      <c r="O23" s="56">
        <f t="shared" si="6"/>
        <v>0</v>
      </c>
      <c r="P23" s="56">
        <f t="shared" si="7"/>
        <v>0</v>
      </c>
      <c r="Q23" s="65">
        <f t="shared" si="4"/>
        <v>0</v>
      </c>
      <c r="R23" s="1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9"/>
      <c r="AL23" s="49"/>
      <c r="AM23" s="68"/>
      <c r="AN23" s="68"/>
    </row>
    <row r="24">
      <c r="A24" s="41"/>
      <c r="B24" s="41"/>
      <c r="C24" s="19"/>
      <c r="D24" s="20"/>
      <c r="E24" s="21" t="str">
        <f t="shared" si="1"/>
        <v/>
      </c>
      <c r="F24" s="1"/>
      <c r="G24" s="1"/>
      <c r="H24" s="51"/>
      <c r="I24" s="52"/>
      <c r="J24" s="51"/>
      <c r="K24" s="1"/>
      <c r="L24" s="53" t="str">
        <f t="shared" si="2"/>
        <v/>
      </c>
      <c r="M24" s="54" t="str">
        <f t="shared" si="3"/>
        <v/>
      </c>
      <c r="N24" s="67" t="str">
        <f t="shared" si="5"/>
        <v/>
      </c>
      <c r="O24" s="56">
        <f t="shared" si="6"/>
        <v>0</v>
      </c>
      <c r="P24" s="56">
        <f t="shared" si="7"/>
        <v>0</v>
      </c>
      <c r="Q24" s="65">
        <f t="shared" si="4"/>
        <v>0</v>
      </c>
      <c r="R24" s="1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9"/>
      <c r="AL24" s="49"/>
      <c r="AM24" s="68"/>
      <c r="AN24" s="68"/>
    </row>
    <row r="25">
      <c r="A25" s="41"/>
      <c r="B25" s="41"/>
      <c r="C25" s="19"/>
      <c r="D25" s="20"/>
      <c r="E25" s="21" t="str">
        <f t="shared" si="1"/>
        <v/>
      </c>
      <c r="F25" s="1"/>
      <c r="G25" s="1"/>
      <c r="H25" s="51"/>
      <c r="I25" s="52"/>
      <c r="J25" s="51"/>
      <c r="K25" s="1"/>
      <c r="L25" s="53" t="str">
        <f t="shared" si="2"/>
        <v/>
      </c>
      <c r="M25" s="54" t="str">
        <f t="shared" si="3"/>
        <v/>
      </c>
      <c r="N25" s="67" t="str">
        <f t="shared" si="5"/>
        <v/>
      </c>
      <c r="O25" s="56">
        <f t="shared" si="6"/>
        <v>0</v>
      </c>
      <c r="P25" s="56">
        <f t="shared" si="7"/>
        <v>0</v>
      </c>
      <c r="Q25" s="65">
        <f t="shared" si="4"/>
        <v>0</v>
      </c>
      <c r="R25" s="1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9"/>
      <c r="AL25" s="49"/>
      <c r="AM25" s="68"/>
      <c r="AN25" s="68"/>
    </row>
    <row r="26">
      <c r="A26" s="41"/>
      <c r="B26" s="41"/>
      <c r="C26" s="19"/>
      <c r="D26" s="20"/>
      <c r="E26" s="21" t="str">
        <f t="shared" si="1"/>
        <v/>
      </c>
      <c r="F26" s="1"/>
      <c r="G26" s="1"/>
      <c r="H26" s="51"/>
      <c r="I26" s="52"/>
      <c r="J26" s="51"/>
      <c r="K26" s="1"/>
      <c r="L26" s="53" t="str">
        <f t="shared" si="2"/>
        <v/>
      </c>
      <c r="M26" s="54" t="str">
        <f t="shared" si="3"/>
        <v/>
      </c>
      <c r="N26" s="67" t="str">
        <f t="shared" si="5"/>
        <v/>
      </c>
      <c r="O26" s="56">
        <f t="shared" si="6"/>
        <v>0</v>
      </c>
      <c r="P26" s="56">
        <f t="shared" si="7"/>
        <v>0</v>
      </c>
      <c r="Q26" s="65">
        <f t="shared" si="4"/>
        <v>0</v>
      </c>
      <c r="R26" s="1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9"/>
      <c r="AL26" s="49"/>
      <c r="AM26" s="68"/>
      <c r="AN26" s="68"/>
    </row>
    <row r="27">
      <c r="A27" s="41"/>
      <c r="B27" s="41"/>
      <c r="C27" s="19"/>
      <c r="D27" s="20"/>
      <c r="E27" s="21" t="str">
        <f t="shared" si="1"/>
        <v/>
      </c>
      <c r="F27" s="1"/>
      <c r="G27" s="1"/>
      <c r="H27" s="51"/>
      <c r="I27" s="52"/>
      <c r="J27" s="51"/>
      <c r="K27" s="1"/>
      <c r="L27" s="53" t="str">
        <f t="shared" si="2"/>
        <v/>
      </c>
      <c r="M27" s="54" t="str">
        <f t="shared" si="3"/>
        <v/>
      </c>
      <c r="N27" s="67" t="str">
        <f t="shared" si="5"/>
        <v/>
      </c>
      <c r="O27" s="56">
        <f t="shared" si="6"/>
        <v>0</v>
      </c>
      <c r="P27" s="56">
        <f t="shared" si="7"/>
        <v>0</v>
      </c>
      <c r="Q27" s="65">
        <f t="shared" si="4"/>
        <v>0</v>
      </c>
      <c r="R27" s="1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9"/>
      <c r="AL27" s="49"/>
      <c r="AM27" s="68"/>
      <c r="AN27" s="68"/>
    </row>
    <row r="28">
      <c r="A28" s="41"/>
      <c r="B28" s="41"/>
      <c r="C28" s="19"/>
      <c r="D28" s="20"/>
      <c r="E28" s="21" t="str">
        <f t="shared" si="1"/>
        <v/>
      </c>
      <c r="F28" s="1"/>
      <c r="G28" s="1"/>
      <c r="H28" s="51"/>
      <c r="I28" s="52"/>
      <c r="J28" s="51"/>
      <c r="K28" s="1"/>
      <c r="L28" s="53" t="str">
        <f t="shared" si="2"/>
        <v/>
      </c>
      <c r="M28" s="54" t="str">
        <f t="shared" si="3"/>
        <v/>
      </c>
      <c r="N28" s="67" t="str">
        <f t="shared" si="5"/>
        <v/>
      </c>
      <c r="O28" s="56">
        <f t="shared" si="6"/>
        <v>0</v>
      </c>
      <c r="P28" s="56">
        <f t="shared" si="7"/>
        <v>0</v>
      </c>
      <c r="Q28" s="65">
        <f t="shared" si="4"/>
        <v>0</v>
      </c>
      <c r="R28" s="1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9"/>
      <c r="AL28" s="49"/>
      <c r="AM28" s="68"/>
      <c r="AN28" s="68"/>
    </row>
    <row r="29">
      <c r="A29" s="41"/>
      <c r="B29" s="41"/>
      <c r="C29" s="19"/>
      <c r="D29" s="20"/>
      <c r="E29" s="21" t="str">
        <f t="shared" si="1"/>
        <v/>
      </c>
      <c r="F29" s="1"/>
      <c r="G29" s="1"/>
      <c r="H29" s="51"/>
      <c r="I29" s="52"/>
      <c r="J29" s="51"/>
      <c r="K29" s="1"/>
      <c r="L29" s="53" t="str">
        <f t="shared" si="2"/>
        <v/>
      </c>
      <c r="M29" s="54" t="str">
        <f t="shared" si="3"/>
        <v/>
      </c>
      <c r="N29" s="67" t="str">
        <f t="shared" si="5"/>
        <v/>
      </c>
      <c r="O29" s="56">
        <f t="shared" si="6"/>
        <v>0</v>
      </c>
      <c r="P29" s="56">
        <f t="shared" si="7"/>
        <v>0</v>
      </c>
      <c r="Q29" s="65">
        <f t="shared" si="4"/>
        <v>0</v>
      </c>
      <c r="R29" s="1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9"/>
      <c r="AL29" s="49"/>
      <c r="AM29" s="68"/>
      <c r="AN29" s="68"/>
    </row>
    <row r="30">
      <c r="A30" s="41"/>
      <c r="B30" s="41"/>
      <c r="C30" s="19"/>
      <c r="D30" s="20"/>
      <c r="E30" s="21" t="str">
        <f t="shared" si="1"/>
        <v/>
      </c>
      <c r="F30" s="1"/>
      <c r="G30" s="1"/>
      <c r="H30" s="51"/>
      <c r="I30" s="52"/>
      <c r="J30" s="51"/>
      <c r="K30" s="1"/>
      <c r="L30" s="53" t="str">
        <f t="shared" si="2"/>
        <v/>
      </c>
      <c r="M30" s="54" t="str">
        <f t="shared" si="3"/>
        <v/>
      </c>
      <c r="N30" s="67" t="str">
        <f t="shared" si="5"/>
        <v/>
      </c>
      <c r="O30" s="56">
        <f t="shared" si="6"/>
        <v>0</v>
      </c>
      <c r="P30" s="56">
        <f t="shared" si="7"/>
        <v>0</v>
      </c>
      <c r="Q30" s="65">
        <f t="shared" si="4"/>
        <v>0</v>
      </c>
      <c r="R30" s="1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9"/>
      <c r="AL30" s="49"/>
      <c r="AM30" s="68"/>
      <c r="AN30" s="68"/>
    </row>
    <row r="31">
      <c r="A31" s="41"/>
      <c r="B31" s="41"/>
      <c r="C31" s="19"/>
      <c r="D31" s="20"/>
      <c r="E31" s="21" t="str">
        <f t="shared" si="1"/>
        <v/>
      </c>
      <c r="F31" s="1"/>
      <c r="G31" s="1"/>
      <c r="H31" s="51"/>
      <c r="I31" s="52"/>
      <c r="J31" s="51"/>
      <c r="K31" s="1"/>
      <c r="L31" s="53" t="str">
        <f t="shared" si="2"/>
        <v/>
      </c>
      <c r="M31" s="54" t="str">
        <f t="shared" si="3"/>
        <v/>
      </c>
      <c r="N31" s="67" t="str">
        <f t="shared" si="5"/>
        <v/>
      </c>
      <c r="O31" s="56">
        <f t="shared" si="6"/>
        <v>0</v>
      </c>
      <c r="P31" s="56">
        <f t="shared" si="7"/>
        <v>0</v>
      </c>
      <c r="Q31" s="65">
        <f t="shared" si="4"/>
        <v>0</v>
      </c>
      <c r="R31" s="1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9"/>
      <c r="AL31" s="49"/>
      <c r="AM31" s="68"/>
      <c r="AN31" s="68"/>
    </row>
    <row r="32">
      <c r="A32" s="41"/>
      <c r="B32" s="41"/>
      <c r="C32" s="19"/>
      <c r="D32" s="20"/>
      <c r="E32" s="21" t="str">
        <f t="shared" si="1"/>
        <v/>
      </c>
      <c r="F32" s="1"/>
      <c r="G32" s="1"/>
      <c r="H32" s="71"/>
      <c r="I32" s="52"/>
      <c r="J32" s="51"/>
      <c r="K32" s="1"/>
      <c r="L32" s="53" t="str">
        <f t="shared" si="2"/>
        <v/>
      </c>
      <c r="M32" s="54" t="str">
        <f t="shared" si="3"/>
        <v/>
      </c>
      <c r="N32" s="67" t="str">
        <f t="shared" si="5"/>
        <v/>
      </c>
      <c r="O32" s="56">
        <f t="shared" si="6"/>
        <v>0</v>
      </c>
      <c r="P32" s="56">
        <f t="shared" si="7"/>
        <v>0</v>
      </c>
      <c r="Q32" s="65">
        <f t="shared" si="4"/>
        <v>0</v>
      </c>
      <c r="R32" s="1"/>
      <c r="U32" s="68"/>
    </row>
    <row r="33">
      <c r="A33" s="41"/>
      <c r="B33" s="41"/>
      <c r="C33" s="19"/>
      <c r="D33" s="20"/>
      <c r="E33" s="21" t="str">
        <f t="shared" si="1"/>
        <v/>
      </c>
      <c r="F33" s="1"/>
      <c r="G33" s="1"/>
      <c r="H33" s="51"/>
      <c r="I33" s="52"/>
      <c r="J33" s="51"/>
      <c r="K33" s="1"/>
      <c r="L33" s="53" t="str">
        <f t="shared" si="2"/>
        <v/>
      </c>
      <c r="M33" s="54" t="str">
        <f t="shared" si="3"/>
        <v/>
      </c>
      <c r="N33" s="67" t="str">
        <f t="shared" si="5"/>
        <v/>
      </c>
      <c r="O33" s="56">
        <f t="shared" si="6"/>
        <v>0</v>
      </c>
      <c r="P33" s="56">
        <f t="shared" si="7"/>
        <v>0</v>
      </c>
      <c r="Q33" s="65">
        <f t="shared" si="4"/>
        <v>0</v>
      </c>
      <c r="R33" s="1"/>
      <c r="U33" s="68"/>
    </row>
    <row r="34">
      <c r="A34" s="41"/>
      <c r="B34" s="41"/>
      <c r="C34" s="19"/>
      <c r="D34" s="20"/>
      <c r="E34" s="21" t="str">
        <f t="shared" si="1"/>
        <v/>
      </c>
      <c r="F34" s="1"/>
      <c r="G34" s="1"/>
      <c r="H34" s="51"/>
      <c r="I34" s="52"/>
      <c r="J34" s="51"/>
      <c r="K34" s="1"/>
      <c r="L34" s="53" t="str">
        <f t="shared" si="2"/>
        <v/>
      </c>
      <c r="M34" s="54" t="str">
        <f t="shared" si="3"/>
        <v/>
      </c>
      <c r="N34" s="67" t="str">
        <f t="shared" si="5"/>
        <v/>
      </c>
      <c r="O34" s="56">
        <f t="shared" si="6"/>
        <v>0</v>
      </c>
      <c r="P34" s="56">
        <f t="shared" si="7"/>
        <v>0</v>
      </c>
      <c r="Q34" s="65">
        <f t="shared" si="4"/>
        <v>0</v>
      </c>
      <c r="R34" s="1"/>
      <c r="U34" s="68"/>
    </row>
    <row r="35">
      <c r="A35" s="41"/>
      <c r="B35" s="41"/>
      <c r="C35" s="19"/>
      <c r="D35" s="20"/>
      <c r="E35" s="21" t="str">
        <f t="shared" si="1"/>
        <v/>
      </c>
      <c r="F35" s="1"/>
      <c r="G35" s="1"/>
      <c r="H35" s="51"/>
      <c r="I35" s="52"/>
      <c r="J35" s="51"/>
      <c r="K35" s="1"/>
      <c r="L35" s="53" t="str">
        <f t="shared" si="2"/>
        <v/>
      </c>
      <c r="M35" s="54" t="str">
        <f t="shared" si="3"/>
        <v/>
      </c>
      <c r="N35" s="67" t="str">
        <f t="shared" si="5"/>
        <v/>
      </c>
      <c r="O35" s="56">
        <f t="shared" si="6"/>
        <v>0</v>
      </c>
      <c r="P35" s="56">
        <f t="shared" si="7"/>
        <v>0</v>
      </c>
      <c r="Q35" s="65">
        <f t="shared" si="4"/>
        <v>0</v>
      </c>
      <c r="R35" s="1"/>
      <c r="U35" s="68"/>
    </row>
    <row r="36">
      <c r="A36" s="41"/>
      <c r="B36" s="41"/>
      <c r="C36" s="19"/>
      <c r="D36" s="20"/>
      <c r="E36" s="21" t="str">
        <f t="shared" si="1"/>
        <v/>
      </c>
      <c r="F36" s="1"/>
      <c r="G36" s="1"/>
      <c r="H36" s="51"/>
      <c r="I36" s="52"/>
      <c r="J36" s="51"/>
      <c r="K36" s="1"/>
      <c r="L36" s="53" t="str">
        <f t="shared" si="2"/>
        <v/>
      </c>
      <c r="M36" s="54" t="str">
        <f t="shared" si="3"/>
        <v/>
      </c>
      <c r="N36" s="67" t="str">
        <f t="shared" si="5"/>
        <v/>
      </c>
      <c r="O36" s="56">
        <f t="shared" si="6"/>
        <v>0</v>
      </c>
      <c r="P36" s="56">
        <f t="shared" si="7"/>
        <v>0</v>
      </c>
      <c r="Q36" s="65">
        <f t="shared" si="4"/>
        <v>0</v>
      </c>
      <c r="R36" s="1"/>
      <c r="U36" s="68"/>
    </row>
    <row r="37">
      <c r="A37" s="1"/>
      <c r="B37" s="41"/>
      <c r="C37" s="19"/>
      <c r="D37" s="20"/>
      <c r="E37" s="21" t="str">
        <f t="shared" si="1"/>
        <v/>
      </c>
      <c r="F37" s="1"/>
      <c r="G37" s="1"/>
      <c r="H37" s="71"/>
      <c r="I37" s="52"/>
      <c r="J37" s="51"/>
      <c r="K37" s="1"/>
      <c r="L37" s="53" t="str">
        <f t="shared" si="2"/>
        <v/>
      </c>
      <c r="M37" s="54" t="str">
        <f t="shared" si="3"/>
        <v/>
      </c>
      <c r="N37" s="67" t="str">
        <f t="shared" si="5"/>
        <v/>
      </c>
      <c r="O37" s="56">
        <f t="shared" si="6"/>
        <v>0</v>
      </c>
      <c r="P37" s="56">
        <f t="shared" si="7"/>
        <v>0</v>
      </c>
      <c r="Q37" s="65">
        <f t="shared" si="4"/>
        <v>0</v>
      </c>
      <c r="R37" s="1"/>
      <c r="U37" s="68"/>
    </row>
    <row r="38">
      <c r="A38" s="1"/>
      <c r="B38" s="41"/>
      <c r="C38" s="19"/>
      <c r="D38" s="20"/>
      <c r="E38" s="70" t="str">
        <f t="shared" si="1"/>
        <v/>
      </c>
      <c r="F38" s="1"/>
      <c r="G38" s="1"/>
      <c r="H38" s="51"/>
      <c r="I38" s="52"/>
      <c r="J38" s="51"/>
      <c r="K38" s="1"/>
      <c r="L38" s="53" t="str">
        <f t="shared" si="2"/>
        <v/>
      </c>
      <c r="M38" s="54" t="str">
        <f t="shared" si="3"/>
        <v/>
      </c>
      <c r="N38" s="67" t="str">
        <f t="shared" si="5"/>
        <v/>
      </c>
      <c r="O38" s="56">
        <f t="shared" si="6"/>
        <v>0</v>
      </c>
      <c r="P38" s="56">
        <f t="shared" si="7"/>
        <v>0</v>
      </c>
      <c r="Q38" s="65">
        <f t="shared" si="4"/>
        <v>0</v>
      </c>
      <c r="R38" s="1"/>
      <c r="U38" s="68"/>
    </row>
    <row r="39">
      <c r="A39" s="1"/>
      <c r="B39" s="41"/>
      <c r="C39" s="19"/>
      <c r="D39" s="20"/>
      <c r="E39" s="70" t="str">
        <f t="shared" si="1"/>
        <v/>
      </c>
      <c r="F39" s="1"/>
      <c r="G39" s="1"/>
      <c r="H39" s="51"/>
      <c r="I39" s="52"/>
      <c r="J39" s="51"/>
      <c r="K39" s="1"/>
      <c r="L39" s="53" t="str">
        <f t="shared" si="2"/>
        <v/>
      </c>
      <c r="M39" s="54" t="str">
        <f t="shared" si="3"/>
        <v/>
      </c>
      <c r="N39" s="67" t="str">
        <f t="shared" si="5"/>
        <v/>
      </c>
      <c r="O39" s="56">
        <f t="shared" si="6"/>
        <v>0</v>
      </c>
      <c r="P39" s="56">
        <f t="shared" si="7"/>
        <v>0</v>
      </c>
      <c r="Q39" s="65">
        <f t="shared" si="4"/>
        <v>0</v>
      </c>
      <c r="R39" s="1"/>
      <c r="U39" s="68"/>
    </row>
    <row r="40">
      <c r="A40" s="1"/>
      <c r="B40" s="41"/>
      <c r="C40" s="19"/>
      <c r="D40" s="20"/>
      <c r="E40" s="70" t="str">
        <f t="shared" si="1"/>
        <v/>
      </c>
      <c r="F40" s="1"/>
      <c r="G40" s="1"/>
      <c r="H40" s="51"/>
      <c r="I40" s="52"/>
      <c r="J40" s="51"/>
      <c r="K40" s="1"/>
      <c r="L40" s="53" t="str">
        <f t="shared" si="2"/>
        <v/>
      </c>
      <c r="M40" s="54" t="str">
        <f t="shared" si="3"/>
        <v/>
      </c>
      <c r="N40" s="67" t="str">
        <f t="shared" si="5"/>
        <v/>
      </c>
      <c r="O40" s="56">
        <f t="shared" si="6"/>
        <v>0</v>
      </c>
      <c r="P40" s="56">
        <f t="shared" si="7"/>
        <v>0</v>
      </c>
      <c r="Q40" s="65">
        <f t="shared" si="4"/>
        <v>0</v>
      </c>
      <c r="R40" s="1"/>
      <c r="U40" s="68"/>
    </row>
    <row r="41">
      <c r="A41" s="1"/>
      <c r="B41" s="41"/>
      <c r="C41" s="19"/>
      <c r="D41" s="20"/>
      <c r="E41" s="70" t="str">
        <f t="shared" si="1"/>
        <v/>
      </c>
      <c r="F41" s="1"/>
      <c r="G41" s="1"/>
      <c r="H41" s="51"/>
      <c r="I41" s="52"/>
      <c r="J41" s="51"/>
      <c r="K41" s="1"/>
      <c r="L41" s="53" t="str">
        <f t="shared" si="2"/>
        <v/>
      </c>
      <c r="M41" s="54" t="str">
        <f t="shared" si="3"/>
        <v/>
      </c>
      <c r="N41" s="67" t="str">
        <f t="shared" si="5"/>
        <v/>
      </c>
      <c r="O41" s="56">
        <f t="shared" si="6"/>
        <v>0</v>
      </c>
      <c r="P41" s="56">
        <f t="shared" si="7"/>
        <v>0</v>
      </c>
      <c r="Q41" s="65">
        <f t="shared" si="4"/>
        <v>0</v>
      </c>
      <c r="R41" s="1"/>
      <c r="U41" s="68"/>
    </row>
    <row r="42">
      <c r="A42" s="1"/>
      <c r="B42" s="41"/>
      <c r="C42" s="19"/>
      <c r="D42" s="20"/>
      <c r="E42" s="70" t="str">
        <f t="shared" si="1"/>
        <v/>
      </c>
      <c r="F42" s="1"/>
      <c r="G42" s="1"/>
      <c r="H42" s="51"/>
      <c r="I42" s="52"/>
      <c r="J42" s="51"/>
      <c r="K42" s="1"/>
      <c r="L42" s="53" t="str">
        <f t="shared" si="2"/>
        <v/>
      </c>
      <c r="M42" s="54" t="str">
        <f t="shared" si="3"/>
        <v/>
      </c>
      <c r="N42" s="67" t="str">
        <f t="shared" si="5"/>
        <v/>
      </c>
      <c r="O42" s="56">
        <f t="shared" si="6"/>
        <v>0</v>
      </c>
      <c r="P42" s="56">
        <f t="shared" si="7"/>
        <v>0</v>
      </c>
      <c r="Q42" s="65">
        <f t="shared" si="4"/>
        <v>0</v>
      </c>
      <c r="R42" s="1"/>
      <c r="U42" s="68"/>
    </row>
    <row r="43">
      <c r="A43" s="1"/>
      <c r="B43" s="41"/>
      <c r="C43" s="19"/>
      <c r="D43" s="20"/>
      <c r="E43" s="70" t="str">
        <f t="shared" si="1"/>
        <v/>
      </c>
      <c r="F43" s="1"/>
      <c r="G43" s="1"/>
      <c r="H43" s="51"/>
      <c r="I43" s="52"/>
      <c r="J43" s="51"/>
      <c r="K43" s="1"/>
      <c r="L43" s="53" t="str">
        <f t="shared" si="2"/>
        <v/>
      </c>
      <c r="M43" s="54" t="str">
        <f t="shared" si="3"/>
        <v/>
      </c>
      <c r="N43" s="67" t="str">
        <f t="shared" si="5"/>
        <v/>
      </c>
      <c r="O43" s="56">
        <f t="shared" si="6"/>
        <v>0</v>
      </c>
      <c r="P43" s="56">
        <f t="shared" si="7"/>
        <v>0</v>
      </c>
      <c r="Q43" s="65">
        <f t="shared" si="4"/>
        <v>0</v>
      </c>
      <c r="R43" s="1"/>
      <c r="U43" s="68"/>
    </row>
    <row r="44">
      <c r="A44" s="1"/>
      <c r="B44" s="41"/>
      <c r="C44" s="19"/>
      <c r="D44" s="20"/>
      <c r="E44" s="70" t="str">
        <f t="shared" si="1"/>
        <v/>
      </c>
      <c r="F44" s="1"/>
      <c r="G44" s="1"/>
      <c r="H44" s="51"/>
      <c r="I44" s="52"/>
      <c r="J44" s="51"/>
      <c r="K44" s="1"/>
      <c r="L44" s="53" t="str">
        <f t="shared" si="2"/>
        <v/>
      </c>
      <c r="M44" s="54" t="str">
        <f t="shared" si="3"/>
        <v/>
      </c>
      <c r="N44" s="67" t="str">
        <f t="shared" si="5"/>
        <v/>
      </c>
      <c r="O44" s="56">
        <f t="shared" si="6"/>
        <v>0</v>
      </c>
      <c r="P44" s="56">
        <f t="shared" si="7"/>
        <v>0</v>
      </c>
      <c r="Q44" s="65">
        <f t="shared" si="4"/>
        <v>0</v>
      </c>
      <c r="R44" s="1"/>
      <c r="U44" s="68"/>
    </row>
    <row r="45">
      <c r="A45" s="1"/>
      <c r="B45" s="41"/>
      <c r="C45" s="19"/>
      <c r="D45" s="20"/>
      <c r="E45" s="70" t="str">
        <f t="shared" si="1"/>
        <v/>
      </c>
      <c r="F45" s="1"/>
      <c r="G45" s="1"/>
      <c r="H45" s="51"/>
      <c r="I45" s="52"/>
      <c r="J45" s="51"/>
      <c r="K45" s="1"/>
      <c r="L45" s="53" t="str">
        <f t="shared" si="2"/>
        <v/>
      </c>
      <c r="M45" s="54" t="str">
        <f t="shared" si="3"/>
        <v/>
      </c>
      <c r="N45" s="67" t="str">
        <f t="shared" si="5"/>
        <v/>
      </c>
      <c r="O45" s="56">
        <f t="shared" si="6"/>
        <v>0</v>
      </c>
      <c r="P45" s="56">
        <f t="shared" si="7"/>
        <v>0</v>
      </c>
      <c r="Q45" s="65">
        <f t="shared" si="4"/>
        <v>0</v>
      </c>
      <c r="R45" s="1"/>
      <c r="U45" s="68"/>
    </row>
    <row r="46">
      <c r="A46" s="1"/>
      <c r="B46" s="41"/>
      <c r="C46" s="19"/>
      <c r="D46" s="20"/>
      <c r="E46" s="70" t="str">
        <f t="shared" si="1"/>
        <v/>
      </c>
      <c r="F46" s="1"/>
      <c r="G46" s="1"/>
      <c r="H46" s="51"/>
      <c r="I46" s="52"/>
      <c r="J46" s="51"/>
      <c r="K46" s="1"/>
      <c r="L46" s="53" t="str">
        <f t="shared" si="2"/>
        <v/>
      </c>
      <c r="M46" s="54" t="str">
        <f t="shared" si="3"/>
        <v/>
      </c>
      <c r="N46" s="67" t="str">
        <f t="shared" si="5"/>
        <v/>
      </c>
      <c r="O46" s="56">
        <f t="shared" si="6"/>
        <v>0</v>
      </c>
      <c r="P46" s="56">
        <f t="shared" si="7"/>
        <v>0</v>
      </c>
      <c r="Q46" s="65">
        <f t="shared" si="4"/>
        <v>0</v>
      </c>
      <c r="R46" s="1"/>
      <c r="U46" s="68"/>
    </row>
    <row r="47">
      <c r="A47" s="1"/>
      <c r="B47" s="41"/>
      <c r="C47" s="19"/>
      <c r="D47" s="20"/>
      <c r="E47" s="70" t="str">
        <f t="shared" si="1"/>
        <v/>
      </c>
      <c r="F47" s="1"/>
      <c r="G47" s="1"/>
      <c r="H47" s="51"/>
      <c r="I47" s="52"/>
      <c r="J47" s="51"/>
      <c r="K47" s="1"/>
      <c r="L47" s="53" t="str">
        <f t="shared" si="2"/>
        <v/>
      </c>
      <c r="M47" s="54" t="str">
        <f t="shared" si="3"/>
        <v/>
      </c>
      <c r="N47" s="67" t="str">
        <f t="shared" si="5"/>
        <v/>
      </c>
      <c r="O47" s="56">
        <f t="shared" si="6"/>
        <v>0</v>
      </c>
      <c r="P47" s="56">
        <f t="shared" si="7"/>
        <v>0</v>
      </c>
      <c r="Q47" s="65">
        <f t="shared" si="4"/>
        <v>0</v>
      </c>
      <c r="R47" s="1"/>
      <c r="U47" s="68"/>
    </row>
    <row r="48">
      <c r="A48" s="1"/>
      <c r="B48" s="41"/>
      <c r="C48" s="19"/>
      <c r="D48" s="20"/>
      <c r="E48" s="70" t="str">
        <f t="shared" si="1"/>
        <v/>
      </c>
      <c r="F48" s="1"/>
      <c r="G48" s="1"/>
      <c r="H48" s="51"/>
      <c r="I48" s="52"/>
      <c r="J48" s="51"/>
      <c r="K48" s="1"/>
      <c r="L48" s="53" t="str">
        <f t="shared" si="2"/>
        <v/>
      </c>
      <c r="M48" s="54" t="str">
        <f t="shared" si="3"/>
        <v/>
      </c>
      <c r="N48" s="67" t="str">
        <f t="shared" si="5"/>
        <v/>
      </c>
      <c r="O48" s="56">
        <f t="shared" si="6"/>
        <v>0</v>
      </c>
      <c r="P48" s="56">
        <f t="shared" si="7"/>
        <v>0</v>
      </c>
      <c r="Q48" s="65">
        <f t="shared" si="4"/>
        <v>0</v>
      </c>
      <c r="R48" s="1"/>
      <c r="U48" s="68"/>
    </row>
    <row r="49">
      <c r="A49" s="1"/>
      <c r="B49" s="41"/>
      <c r="C49" s="19"/>
      <c r="D49" s="20"/>
      <c r="E49" s="70" t="str">
        <f t="shared" si="1"/>
        <v/>
      </c>
      <c r="F49" s="1"/>
      <c r="G49" s="1"/>
      <c r="H49" s="51"/>
      <c r="I49" s="52"/>
      <c r="J49" s="51"/>
      <c r="K49" s="1"/>
      <c r="L49" s="53" t="str">
        <f t="shared" si="2"/>
        <v/>
      </c>
      <c r="M49" s="54" t="str">
        <f t="shared" si="3"/>
        <v/>
      </c>
      <c r="N49" s="67" t="str">
        <f t="shared" si="5"/>
        <v/>
      </c>
      <c r="O49" s="56">
        <f t="shared" si="6"/>
        <v>0</v>
      </c>
      <c r="P49" s="56">
        <f t="shared" si="7"/>
        <v>0</v>
      </c>
      <c r="Q49" s="65">
        <f t="shared" si="4"/>
        <v>0</v>
      </c>
      <c r="R49" s="1"/>
      <c r="U49" s="68"/>
    </row>
    <row r="50">
      <c r="A50" s="1"/>
      <c r="B50" s="41"/>
      <c r="C50" s="19"/>
      <c r="D50" s="20"/>
      <c r="E50" s="70" t="str">
        <f t="shared" si="1"/>
        <v/>
      </c>
      <c r="F50" s="1"/>
      <c r="G50" s="1"/>
      <c r="H50" s="51"/>
      <c r="I50" s="52"/>
      <c r="J50" s="51"/>
      <c r="K50" s="1"/>
      <c r="L50" s="53" t="str">
        <f t="shared" si="2"/>
        <v/>
      </c>
      <c r="M50" s="54" t="str">
        <f t="shared" si="3"/>
        <v/>
      </c>
      <c r="N50" s="67" t="str">
        <f t="shared" si="5"/>
        <v/>
      </c>
      <c r="O50" s="56">
        <f t="shared" si="6"/>
        <v>0</v>
      </c>
      <c r="P50" s="56">
        <f t="shared" si="7"/>
        <v>0</v>
      </c>
      <c r="Q50" s="65">
        <f t="shared" si="4"/>
        <v>0</v>
      </c>
      <c r="R50" s="1"/>
      <c r="U50" s="68"/>
    </row>
    <row r="51">
      <c r="A51" s="1"/>
      <c r="B51" s="41"/>
      <c r="C51" s="19"/>
      <c r="D51" s="20"/>
      <c r="E51" s="70" t="str">
        <f t="shared" si="1"/>
        <v/>
      </c>
      <c r="F51" s="1"/>
      <c r="G51" s="1"/>
      <c r="H51" s="51"/>
      <c r="I51" s="52"/>
      <c r="J51" s="51"/>
      <c r="K51" s="1"/>
      <c r="L51" s="53" t="str">
        <f t="shared" si="2"/>
        <v/>
      </c>
      <c r="M51" s="54" t="str">
        <f t="shared" si="3"/>
        <v/>
      </c>
      <c r="N51" s="67" t="str">
        <f t="shared" si="5"/>
        <v/>
      </c>
      <c r="O51" s="56">
        <f t="shared" si="6"/>
        <v>0</v>
      </c>
      <c r="P51" s="56">
        <f t="shared" si="7"/>
        <v>0</v>
      </c>
      <c r="Q51" s="65">
        <f t="shared" si="4"/>
        <v>0</v>
      </c>
      <c r="R51" s="1"/>
      <c r="U51" s="68"/>
    </row>
    <row r="52">
      <c r="A52" s="1"/>
      <c r="B52" s="41"/>
      <c r="C52" s="19"/>
      <c r="D52" s="20"/>
      <c r="E52" s="70" t="str">
        <f t="shared" si="1"/>
        <v/>
      </c>
      <c r="F52" s="1"/>
      <c r="G52" s="1"/>
      <c r="H52" s="51"/>
      <c r="I52" s="52"/>
      <c r="J52" s="51"/>
      <c r="K52" s="1"/>
      <c r="L52" s="53" t="str">
        <f t="shared" si="2"/>
        <v/>
      </c>
      <c r="M52" s="54" t="str">
        <f t="shared" si="3"/>
        <v/>
      </c>
      <c r="N52" s="67" t="str">
        <f t="shared" si="5"/>
        <v/>
      </c>
      <c r="O52" s="56">
        <f t="shared" si="6"/>
        <v>0</v>
      </c>
      <c r="P52" s="56">
        <f t="shared" si="7"/>
        <v>0</v>
      </c>
      <c r="Q52" s="65">
        <f t="shared" si="4"/>
        <v>0</v>
      </c>
      <c r="R52" s="1"/>
      <c r="U52" s="68"/>
    </row>
    <row r="53">
      <c r="A53" s="1"/>
      <c r="B53" s="41"/>
      <c r="C53" s="19"/>
      <c r="D53" s="20"/>
      <c r="E53" s="70" t="str">
        <f t="shared" si="1"/>
        <v/>
      </c>
      <c r="F53" s="1"/>
      <c r="G53" s="1"/>
      <c r="H53" s="51"/>
      <c r="I53" s="52"/>
      <c r="J53" s="51"/>
      <c r="K53" s="1"/>
      <c r="L53" s="53" t="str">
        <f t="shared" si="2"/>
        <v/>
      </c>
      <c r="M53" s="54" t="str">
        <f t="shared" si="3"/>
        <v/>
      </c>
      <c r="N53" s="67" t="str">
        <f t="shared" si="5"/>
        <v/>
      </c>
      <c r="O53" s="56">
        <f t="shared" si="6"/>
        <v>0</v>
      </c>
      <c r="P53" s="56">
        <f t="shared" si="7"/>
        <v>0</v>
      </c>
      <c r="Q53" s="65">
        <f t="shared" si="4"/>
        <v>0</v>
      </c>
      <c r="R53" s="1"/>
      <c r="U53" s="68"/>
    </row>
    <row r="54">
      <c r="A54" s="1"/>
      <c r="B54" s="41"/>
      <c r="C54" s="19"/>
      <c r="D54" s="20"/>
      <c r="E54" s="70" t="str">
        <f t="shared" si="1"/>
        <v/>
      </c>
      <c r="F54" s="1"/>
      <c r="G54" s="1"/>
      <c r="H54" s="51"/>
      <c r="I54" s="52"/>
      <c r="J54" s="51"/>
      <c r="K54" s="1"/>
      <c r="L54" s="53" t="str">
        <f t="shared" si="2"/>
        <v/>
      </c>
      <c r="M54" s="54" t="str">
        <f t="shared" si="3"/>
        <v/>
      </c>
      <c r="N54" s="67" t="str">
        <f t="shared" si="5"/>
        <v/>
      </c>
      <c r="O54" s="56">
        <f t="shared" si="6"/>
        <v>0</v>
      </c>
      <c r="P54" s="56">
        <f t="shared" si="7"/>
        <v>0</v>
      </c>
      <c r="Q54" s="65">
        <f t="shared" si="4"/>
        <v>0</v>
      </c>
      <c r="R54" s="1"/>
      <c r="U54" s="68"/>
    </row>
    <row r="55">
      <c r="A55" s="1"/>
      <c r="B55" s="41"/>
      <c r="C55" s="19"/>
      <c r="D55" s="20"/>
      <c r="E55" s="70" t="str">
        <f t="shared" si="1"/>
        <v/>
      </c>
      <c r="F55" s="1"/>
      <c r="G55" s="1"/>
      <c r="H55" s="51"/>
      <c r="I55" s="52"/>
      <c r="J55" s="51"/>
      <c r="K55" s="1"/>
      <c r="L55" s="53" t="str">
        <f t="shared" si="2"/>
        <v/>
      </c>
      <c r="M55" s="54" t="str">
        <f t="shared" si="3"/>
        <v/>
      </c>
      <c r="N55" s="67" t="str">
        <f t="shared" si="5"/>
        <v/>
      </c>
      <c r="O55" s="56">
        <f t="shared" si="6"/>
        <v>0</v>
      </c>
      <c r="P55" s="56">
        <f t="shared" si="7"/>
        <v>0</v>
      </c>
      <c r="Q55" s="65">
        <f t="shared" si="4"/>
        <v>0</v>
      </c>
      <c r="R55" s="1"/>
      <c r="U55" s="68"/>
    </row>
    <row r="56">
      <c r="A56" s="1"/>
      <c r="B56" s="41"/>
      <c r="C56" s="19"/>
      <c r="D56" s="20"/>
      <c r="E56" s="70" t="str">
        <f t="shared" si="1"/>
        <v/>
      </c>
      <c r="F56" s="1"/>
      <c r="G56" s="1"/>
      <c r="H56" s="51"/>
      <c r="I56" s="52"/>
      <c r="J56" s="51"/>
      <c r="K56" s="1"/>
      <c r="L56" s="53" t="str">
        <f t="shared" si="2"/>
        <v/>
      </c>
      <c r="M56" s="54" t="str">
        <f t="shared" si="3"/>
        <v/>
      </c>
      <c r="N56" s="67" t="str">
        <f t="shared" si="5"/>
        <v/>
      </c>
      <c r="O56" s="56">
        <f t="shared" si="6"/>
        <v>0</v>
      </c>
      <c r="P56" s="56">
        <f t="shared" si="7"/>
        <v>0</v>
      </c>
      <c r="Q56" s="65">
        <f t="shared" si="4"/>
        <v>0</v>
      </c>
      <c r="R56" s="1"/>
      <c r="U56" s="68"/>
    </row>
    <row r="57">
      <c r="A57" s="1"/>
      <c r="B57" s="41"/>
      <c r="C57" s="19"/>
      <c r="D57" s="20"/>
      <c r="E57" s="70" t="str">
        <f t="shared" si="1"/>
        <v/>
      </c>
      <c r="F57" s="1"/>
      <c r="G57" s="1"/>
      <c r="H57" s="51"/>
      <c r="I57" s="52"/>
      <c r="J57" s="51"/>
      <c r="K57" s="1"/>
      <c r="L57" s="53" t="str">
        <f t="shared" si="2"/>
        <v/>
      </c>
      <c r="M57" s="54" t="str">
        <f t="shared" si="3"/>
        <v/>
      </c>
      <c r="N57" s="67" t="str">
        <f t="shared" si="5"/>
        <v/>
      </c>
      <c r="O57" s="56">
        <f t="shared" si="6"/>
        <v>0</v>
      </c>
      <c r="P57" s="56">
        <f t="shared" si="7"/>
        <v>0</v>
      </c>
      <c r="Q57" s="65">
        <f t="shared" si="4"/>
        <v>0</v>
      </c>
      <c r="R57" s="1"/>
      <c r="U57" s="68"/>
    </row>
    <row r="58">
      <c r="A58" s="1"/>
      <c r="B58" s="41"/>
      <c r="C58" s="19"/>
      <c r="D58" s="20"/>
      <c r="E58" s="70" t="str">
        <f t="shared" si="1"/>
        <v/>
      </c>
      <c r="F58" s="1"/>
      <c r="G58" s="1"/>
      <c r="H58" s="51"/>
      <c r="I58" s="52"/>
      <c r="J58" s="51"/>
      <c r="K58" s="1"/>
      <c r="L58" s="53" t="str">
        <f t="shared" si="2"/>
        <v/>
      </c>
      <c r="M58" s="54" t="str">
        <f t="shared" si="3"/>
        <v/>
      </c>
      <c r="N58" s="67" t="str">
        <f t="shared" si="5"/>
        <v/>
      </c>
      <c r="O58" s="56">
        <f t="shared" si="6"/>
        <v>0</v>
      </c>
      <c r="P58" s="56">
        <f t="shared" si="7"/>
        <v>0</v>
      </c>
      <c r="Q58" s="65">
        <f t="shared" si="4"/>
        <v>0</v>
      </c>
      <c r="R58" s="1"/>
      <c r="U58" s="68"/>
    </row>
    <row r="59">
      <c r="A59" s="1"/>
      <c r="B59" s="41"/>
      <c r="C59" s="19"/>
      <c r="D59" s="20"/>
      <c r="E59" s="70" t="str">
        <f t="shared" si="1"/>
        <v/>
      </c>
      <c r="F59" s="1"/>
      <c r="G59" s="1"/>
      <c r="H59" s="51"/>
      <c r="I59" s="52"/>
      <c r="J59" s="51"/>
      <c r="K59" s="1"/>
      <c r="L59" s="53" t="str">
        <f t="shared" si="2"/>
        <v/>
      </c>
      <c r="M59" s="54" t="str">
        <f t="shared" si="3"/>
        <v/>
      </c>
      <c r="N59" s="67" t="str">
        <f t="shared" si="5"/>
        <v/>
      </c>
      <c r="O59" s="56">
        <f t="shared" si="6"/>
        <v>0</v>
      </c>
      <c r="P59" s="56">
        <f t="shared" si="7"/>
        <v>0</v>
      </c>
      <c r="Q59" s="65">
        <f t="shared" si="4"/>
        <v>0</v>
      </c>
      <c r="R59" s="1"/>
      <c r="U59" s="68"/>
    </row>
    <row r="60">
      <c r="A60" s="1"/>
      <c r="B60" s="41"/>
      <c r="C60" s="19"/>
      <c r="D60" s="20"/>
      <c r="E60" s="70" t="str">
        <f t="shared" si="1"/>
        <v/>
      </c>
      <c r="F60" s="1"/>
      <c r="G60" s="1"/>
      <c r="H60" s="51"/>
      <c r="I60" s="52"/>
      <c r="J60" s="51"/>
      <c r="K60" s="1"/>
      <c r="L60" s="53" t="str">
        <f t="shared" si="2"/>
        <v/>
      </c>
      <c r="M60" s="54" t="str">
        <f t="shared" si="3"/>
        <v/>
      </c>
      <c r="N60" s="67" t="str">
        <f t="shared" si="5"/>
        <v/>
      </c>
      <c r="O60" s="56">
        <f t="shared" si="6"/>
        <v>0</v>
      </c>
      <c r="P60" s="56">
        <f t="shared" si="7"/>
        <v>0</v>
      </c>
      <c r="Q60" s="65">
        <f t="shared" si="4"/>
        <v>0</v>
      </c>
      <c r="R60" s="1"/>
      <c r="U60" s="68"/>
    </row>
    <row r="61">
      <c r="A61" s="1"/>
      <c r="B61" s="2"/>
      <c r="C61" s="51"/>
      <c r="D61" s="52"/>
      <c r="E61" s="70" t="str">
        <f t="shared" si="1"/>
        <v/>
      </c>
      <c r="F61" s="1"/>
      <c r="G61" s="1"/>
      <c r="H61" s="51"/>
      <c r="I61" s="52"/>
      <c r="J61" s="51"/>
      <c r="K61" s="1"/>
      <c r="L61" s="53" t="str">
        <f t="shared" si="2"/>
        <v/>
      </c>
      <c r="M61" s="54" t="str">
        <f t="shared" si="3"/>
        <v/>
      </c>
      <c r="N61" s="67" t="str">
        <f t="shared" si="5"/>
        <v/>
      </c>
      <c r="O61" s="56">
        <f t="shared" si="6"/>
        <v>0</v>
      </c>
      <c r="P61" s="56">
        <f t="shared" si="7"/>
        <v>0</v>
      </c>
      <c r="Q61" s="65">
        <f t="shared" si="4"/>
        <v>0</v>
      </c>
      <c r="R61" s="1"/>
      <c r="U61" s="68"/>
    </row>
    <row r="62">
      <c r="A62" s="1"/>
      <c r="B62" s="2"/>
      <c r="C62" s="51"/>
      <c r="D62" s="52"/>
      <c r="E62" s="70" t="str">
        <f t="shared" si="1"/>
        <v/>
      </c>
      <c r="F62" s="1"/>
      <c r="G62" s="1"/>
      <c r="H62" s="51"/>
      <c r="I62" s="52"/>
      <c r="J62" s="51"/>
      <c r="K62" s="1"/>
      <c r="L62" s="53" t="str">
        <f t="shared" si="2"/>
        <v/>
      </c>
      <c r="M62" s="54" t="str">
        <f t="shared" si="3"/>
        <v/>
      </c>
      <c r="N62" s="67" t="str">
        <f t="shared" si="5"/>
        <v/>
      </c>
      <c r="O62" s="56">
        <f t="shared" si="6"/>
        <v>0</v>
      </c>
      <c r="P62" s="56">
        <f t="shared" si="7"/>
        <v>0</v>
      </c>
      <c r="Q62" s="65">
        <f t="shared" si="4"/>
        <v>0</v>
      </c>
      <c r="R62" s="1"/>
      <c r="U62" s="68"/>
    </row>
    <row r="63">
      <c r="A63" s="1"/>
      <c r="B63" s="2"/>
      <c r="C63" s="51"/>
      <c r="D63" s="52"/>
      <c r="E63" s="70" t="str">
        <f t="shared" si="1"/>
        <v/>
      </c>
      <c r="F63" s="1"/>
      <c r="G63" s="1"/>
      <c r="H63" s="51"/>
      <c r="I63" s="52"/>
      <c r="J63" s="51"/>
      <c r="K63" s="1"/>
      <c r="L63" s="53" t="str">
        <f t="shared" si="2"/>
        <v/>
      </c>
      <c r="M63" s="54" t="str">
        <f t="shared" si="3"/>
        <v/>
      </c>
      <c r="N63" s="67" t="str">
        <f t="shared" si="5"/>
        <v/>
      </c>
      <c r="O63" s="56">
        <f t="shared" si="6"/>
        <v>0</v>
      </c>
      <c r="P63" s="56">
        <f t="shared" si="7"/>
        <v>0</v>
      </c>
      <c r="Q63" s="65">
        <f t="shared" si="4"/>
        <v>0</v>
      </c>
      <c r="R63" s="1"/>
      <c r="U63" s="68"/>
    </row>
    <row r="64">
      <c r="A64" s="1"/>
      <c r="B64" s="2"/>
      <c r="C64" s="51"/>
      <c r="D64" s="52"/>
      <c r="E64" s="70" t="str">
        <f t="shared" si="1"/>
        <v/>
      </c>
      <c r="F64" s="1"/>
      <c r="G64" s="1"/>
      <c r="H64" s="51"/>
      <c r="I64" s="52"/>
      <c r="J64" s="51"/>
      <c r="K64" s="1"/>
      <c r="L64" s="53" t="str">
        <f t="shared" si="2"/>
        <v/>
      </c>
      <c r="M64" s="54" t="str">
        <f t="shared" si="3"/>
        <v/>
      </c>
      <c r="N64" s="67" t="str">
        <f t="shared" si="5"/>
        <v/>
      </c>
      <c r="O64" s="56">
        <f t="shared" si="6"/>
        <v>0</v>
      </c>
      <c r="P64" s="56">
        <f t="shared" si="7"/>
        <v>0</v>
      </c>
      <c r="Q64" s="65">
        <f t="shared" si="4"/>
        <v>0</v>
      </c>
      <c r="R64" s="1"/>
      <c r="U64" s="68"/>
    </row>
    <row r="65">
      <c r="A65" s="1"/>
      <c r="B65" s="2"/>
      <c r="C65" s="51"/>
      <c r="D65" s="52"/>
      <c r="E65" s="70" t="str">
        <f t="shared" si="1"/>
        <v/>
      </c>
      <c r="F65" s="1"/>
      <c r="G65" s="1"/>
      <c r="H65" s="51"/>
      <c r="I65" s="52"/>
      <c r="J65" s="51"/>
      <c r="K65" s="1"/>
      <c r="L65" s="53" t="str">
        <f t="shared" si="2"/>
        <v/>
      </c>
      <c r="M65" s="54" t="str">
        <f t="shared" si="3"/>
        <v/>
      </c>
      <c r="N65" s="67" t="str">
        <f t="shared" si="5"/>
        <v/>
      </c>
      <c r="O65" s="56">
        <f t="shared" si="6"/>
        <v>0</v>
      </c>
      <c r="P65" s="56">
        <f t="shared" si="7"/>
        <v>0</v>
      </c>
      <c r="Q65" s="65">
        <f t="shared" si="4"/>
        <v>0</v>
      </c>
      <c r="R65" s="1"/>
      <c r="U65" s="68"/>
    </row>
    <row r="66">
      <c r="A66" s="1"/>
      <c r="B66" s="2"/>
      <c r="C66" s="51"/>
      <c r="D66" s="52"/>
      <c r="E66" s="70" t="str">
        <f t="shared" si="1"/>
        <v/>
      </c>
      <c r="F66" s="1"/>
      <c r="G66" s="1"/>
      <c r="H66" s="51"/>
      <c r="I66" s="52"/>
      <c r="J66" s="51"/>
      <c r="K66" s="1"/>
      <c r="L66" s="53" t="str">
        <f t="shared" si="2"/>
        <v/>
      </c>
      <c r="M66" s="54" t="str">
        <f t="shared" si="3"/>
        <v/>
      </c>
      <c r="N66" s="67" t="str">
        <f t="shared" si="5"/>
        <v/>
      </c>
      <c r="O66" s="56">
        <f t="shared" si="6"/>
        <v>0</v>
      </c>
      <c r="P66" s="56">
        <f t="shared" si="7"/>
        <v>0</v>
      </c>
      <c r="Q66" s="65">
        <f t="shared" si="4"/>
        <v>0</v>
      </c>
      <c r="R66" s="1"/>
      <c r="U66" s="68"/>
    </row>
    <row r="67">
      <c r="A67" s="1"/>
      <c r="B67" s="2"/>
      <c r="C67" s="51"/>
      <c r="D67" s="52"/>
      <c r="E67" s="70" t="str">
        <f t="shared" si="1"/>
        <v/>
      </c>
      <c r="F67" s="1"/>
      <c r="G67" s="1"/>
      <c r="H67" s="51"/>
      <c r="I67" s="52"/>
      <c r="J67" s="51"/>
      <c r="K67" s="1"/>
      <c r="L67" s="53" t="str">
        <f t="shared" si="2"/>
        <v/>
      </c>
      <c r="M67" s="54" t="str">
        <f t="shared" si="3"/>
        <v/>
      </c>
      <c r="N67" s="67" t="str">
        <f t="shared" si="5"/>
        <v/>
      </c>
      <c r="O67" s="56">
        <f t="shared" si="6"/>
        <v>0</v>
      </c>
      <c r="P67" s="56">
        <f t="shared" si="7"/>
        <v>0</v>
      </c>
      <c r="Q67" s="65">
        <f t="shared" si="4"/>
        <v>0</v>
      </c>
      <c r="R67" s="1"/>
      <c r="U67" s="68"/>
    </row>
    <row r="68">
      <c r="A68" s="1"/>
      <c r="B68" s="2"/>
      <c r="C68" s="51"/>
      <c r="D68" s="52"/>
      <c r="E68" s="70" t="str">
        <f t="shared" si="1"/>
        <v/>
      </c>
      <c r="F68" s="1"/>
      <c r="G68" s="1"/>
      <c r="H68" s="51"/>
      <c r="I68" s="52"/>
      <c r="J68" s="51"/>
      <c r="K68" s="1"/>
      <c r="L68" s="53" t="str">
        <f t="shared" si="2"/>
        <v/>
      </c>
      <c r="M68" s="54" t="str">
        <f t="shared" si="3"/>
        <v/>
      </c>
      <c r="N68" s="67" t="str">
        <f t="shared" si="5"/>
        <v/>
      </c>
      <c r="O68" s="56">
        <f t="shared" si="6"/>
        <v>0</v>
      </c>
      <c r="P68" s="56">
        <f t="shared" si="7"/>
        <v>0</v>
      </c>
      <c r="Q68" s="65">
        <f t="shared" si="4"/>
        <v>0</v>
      </c>
      <c r="R68" s="1"/>
      <c r="U68" s="68"/>
    </row>
    <row r="69">
      <c r="A69" s="1"/>
      <c r="B69" s="2"/>
      <c r="C69" s="51"/>
      <c r="D69" s="52"/>
      <c r="E69" s="70" t="str">
        <f t="shared" si="1"/>
        <v/>
      </c>
      <c r="F69" s="1"/>
      <c r="G69" s="1"/>
      <c r="H69" s="51"/>
      <c r="I69" s="52"/>
      <c r="J69" s="51"/>
      <c r="K69" s="1"/>
      <c r="L69" s="53" t="str">
        <f t="shared" si="2"/>
        <v/>
      </c>
      <c r="M69" s="54" t="str">
        <f t="shared" si="3"/>
        <v/>
      </c>
      <c r="N69" s="67" t="str">
        <f t="shared" si="5"/>
        <v/>
      </c>
      <c r="O69" s="56">
        <f t="shared" si="6"/>
        <v>0</v>
      </c>
      <c r="P69" s="56">
        <f t="shared" si="7"/>
        <v>0</v>
      </c>
      <c r="Q69" s="65">
        <f t="shared" si="4"/>
        <v>0</v>
      </c>
      <c r="R69" s="1"/>
      <c r="U69" s="68"/>
    </row>
    <row r="70">
      <c r="A70" s="1"/>
      <c r="B70" s="2"/>
      <c r="C70" s="51"/>
      <c r="D70" s="52"/>
      <c r="E70" s="70" t="str">
        <f t="shared" si="1"/>
        <v/>
      </c>
      <c r="F70" s="1"/>
      <c r="G70" s="1"/>
      <c r="H70" s="51"/>
      <c r="I70" s="52"/>
      <c r="J70" s="51"/>
      <c r="K70" s="1"/>
      <c r="L70" s="53" t="str">
        <f t="shared" si="2"/>
        <v/>
      </c>
      <c r="M70" s="54" t="str">
        <f t="shared" si="3"/>
        <v/>
      </c>
      <c r="N70" s="67" t="str">
        <f t="shared" si="5"/>
        <v/>
      </c>
      <c r="O70" s="56">
        <f t="shared" si="6"/>
        <v>0</v>
      </c>
      <c r="P70" s="56">
        <f t="shared" si="7"/>
        <v>0</v>
      </c>
      <c r="Q70" s="65">
        <f t="shared" si="4"/>
        <v>0</v>
      </c>
      <c r="R70" s="1"/>
      <c r="U70" s="68"/>
    </row>
    <row r="71">
      <c r="A71" s="1"/>
      <c r="B71" s="2"/>
      <c r="C71" s="51"/>
      <c r="D71" s="52"/>
      <c r="E71" s="70" t="str">
        <f t="shared" si="1"/>
        <v/>
      </c>
      <c r="F71" s="1"/>
      <c r="G71" s="1"/>
      <c r="H71" s="51"/>
      <c r="I71" s="52"/>
      <c r="J71" s="51"/>
      <c r="K71" s="1"/>
      <c r="L71" s="53" t="str">
        <f t="shared" si="2"/>
        <v/>
      </c>
      <c r="M71" s="54" t="str">
        <f t="shared" si="3"/>
        <v/>
      </c>
      <c r="N71" s="67" t="str">
        <f t="shared" si="5"/>
        <v/>
      </c>
      <c r="O71" s="56">
        <f t="shared" si="6"/>
        <v>0</v>
      </c>
      <c r="P71" s="56">
        <f t="shared" si="7"/>
        <v>0</v>
      </c>
      <c r="Q71" s="65">
        <f t="shared" si="4"/>
        <v>0</v>
      </c>
      <c r="R71" s="1"/>
      <c r="U71" s="68"/>
    </row>
    <row r="72">
      <c r="A72" s="1"/>
      <c r="B72" s="2"/>
      <c r="C72" s="51"/>
      <c r="D72" s="52"/>
      <c r="E72" s="70" t="str">
        <f t="shared" si="1"/>
        <v/>
      </c>
      <c r="F72" s="1"/>
      <c r="G72" s="1"/>
      <c r="H72" s="51"/>
      <c r="I72" s="52"/>
      <c r="J72" s="51"/>
      <c r="K72" s="1"/>
      <c r="L72" s="53" t="str">
        <f t="shared" si="2"/>
        <v/>
      </c>
      <c r="M72" s="54" t="str">
        <f t="shared" si="3"/>
        <v/>
      </c>
      <c r="N72" s="67" t="str">
        <f t="shared" si="5"/>
        <v/>
      </c>
      <c r="O72" s="56">
        <f t="shared" si="6"/>
        <v>0</v>
      </c>
      <c r="P72" s="56">
        <f t="shared" si="7"/>
        <v>0</v>
      </c>
      <c r="Q72" s="65">
        <f t="shared" si="4"/>
        <v>0</v>
      </c>
      <c r="R72" s="1"/>
      <c r="U72" s="68"/>
    </row>
    <row r="73">
      <c r="A73" s="1"/>
      <c r="B73" s="2"/>
      <c r="C73" s="51"/>
      <c r="D73" s="52"/>
      <c r="E73" s="70" t="str">
        <f t="shared" si="1"/>
        <v/>
      </c>
      <c r="F73" s="1"/>
      <c r="G73" s="1"/>
      <c r="H73" s="51"/>
      <c r="I73" s="52"/>
      <c r="J73" s="51"/>
      <c r="K73" s="1"/>
      <c r="L73" s="53" t="str">
        <f t="shared" si="2"/>
        <v/>
      </c>
      <c r="M73" s="54" t="str">
        <f t="shared" si="3"/>
        <v/>
      </c>
      <c r="N73" s="67" t="str">
        <f t="shared" si="5"/>
        <v/>
      </c>
      <c r="O73" s="56">
        <f t="shared" si="6"/>
        <v>0</v>
      </c>
      <c r="P73" s="56">
        <f t="shared" si="7"/>
        <v>0</v>
      </c>
      <c r="Q73" s="65">
        <f t="shared" si="4"/>
        <v>0</v>
      </c>
      <c r="R73" s="1"/>
      <c r="U73" s="68"/>
    </row>
    <row r="74">
      <c r="A74" s="1"/>
      <c r="B74" s="2"/>
      <c r="C74" s="51"/>
      <c r="D74" s="52"/>
      <c r="E74" s="70" t="str">
        <f t="shared" si="1"/>
        <v/>
      </c>
      <c r="F74" s="1"/>
      <c r="G74" s="1"/>
      <c r="H74" s="51"/>
      <c r="I74" s="52"/>
      <c r="J74" s="51"/>
      <c r="K74" s="1"/>
      <c r="L74" s="53" t="str">
        <f t="shared" si="2"/>
        <v/>
      </c>
      <c r="M74" s="54" t="str">
        <f t="shared" si="3"/>
        <v/>
      </c>
      <c r="N74" s="67" t="str">
        <f t="shared" si="5"/>
        <v/>
      </c>
      <c r="O74" s="56">
        <f t="shared" si="6"/>
        <v>0</v>
      </c>
      <c r="P74" s="56">
        <f t="shared" si="7"/>
        <v>0</v>
      </c>
      <c r="Q74" s="65">
        <f t="shared" si="4"/>
        <v>0</v>
      </c>
      <c r="R74" s="1"/>
      <c r="U74" s="68"/>
    </row>
    <row r="75">
      <c r="A75" s="1"/>
      <c r="B75" s="2"/>
      <c r="C75" s="51"/>
      <c r="D75" s="52"/>
      <c r="E75" s="70" t="str">
        <f t="shared" si="1"/>
        <v/>
      </c>
      <c r="F75" s="1"/>
      <c r="G75" s="1"/>
      <c r="H75" s="51"/>
      <c r="I75" s="52"/>
      <c r="J75" s="51"/>
      <c r="K75" s="1"/>
      <c r="L75" s="53" t="str">
        <f t="shared" si="2"/>
        <v/>
      </c>
      <c r="M75" s="54" t="str">
        <f t="shared" si="3"/>
        <v/>
      </c>
      <c r="N75" s="67" t="str">
        <f t="shared" si="5"/>
        <v/>
      </c>
      <c r="O75" s="56">
        <f t="shared" si="6"/>
        <v>0</v>
      </c>
      <c r="P75" s="56">
        <f t="shared" si="7"/>
        <v>0</v>
      </c>
      <c r="Q75" s="65">
        <f t="shared" si="4"/>
        <v>0</v>
      </c>
      <c r="R75" s="1"/>
      <c r="U75" s="68"/>
    </row>
    <row r="76">
      <c r="A76" s="1"/>
      <c r="B76" s="2"/>
      <c r="C76" s="51"/>
      <c r="D76" s="52"/>
      <c r="E76" s="70" t="str">
        <f t="shared" si="1"/>
        <v/>
      </c>
      <c r="F76" s="1"/>
      <c r="G76" s="1"/>
      <c r="H76" s="51"/>
      <c r="I76" s="52"/>
      <c r="J76" s="51"/>
      <c r="K76" s="1"/>
      <c r="L76" s="53" t="str">
        <f t="shared" si="2"/>
        <v/>
      </c>
      <c r="M76" s="54" t="str">
        <f t="shared" si="3"/>
        <v/>
      </c>
      <c r="N76" s="67" t="str">
        <f t="shared" si="5"/>
        <v/>
      </c>
      <c r="O76" s="56">
        <f t="shared" si="6"/>
        <v>0</v>
      </c>
      <c r="P76" s="56">
        <f t="shared" si="7"/>
        <v>0</v>
      </c>
      <c r="Q76" s="65">
        <f t="shared" si="4"/>
        <v>0</v>
      </c>
      <c r="R76" s="1"/>
      <c r="U76" s="68"/>
    </row>
    <row r="77">
      <c r="A77" s="1"/>
      <c r="B77" s="2"/>
      <c r="C77" s="51"/>
      <c r="D77" s="52"/>
      <c r="E77" s="70" t="str">
        <f t="shared" si="1"/>
        <v/>
      </c>
      <c r="F77" s="1"/>
      <c r="G77" s="1"/>
      <c r="H77" s="51"/>
      <c r="I77" s="52"/>
      <c r="J77" s="51"/>
      <c r="K77" s="1"/>
      <c r="L77" s="53" t="str">
        <f t="shared" si="2"/>
        <v/>
      </c>
      <c r="M77" s="54" t="str">
        <f t="shared" si="3"/>
        <v/>
      </c>
      <c r="N77" s="67" t="str">
        <f t="shared" si="5"/>
        <v/>
      </c>
      <c r="O77" s="56">
        <f t="shared" si="6"/>
        <v>0</v>
      </c>
      <c r="P77" s="56">
        <f t="shared" si="7"/>
        <v>0</v>
      </c>
      <c r="Q77" s="65">
        <f t="shared" si="4"/>
        <v>0</v>
      </c>
      <c r="R77" s="1"/>
      <c r="U77" s="68"/>
    </row>
    <row r="78">
      <c r="A78" s="1"/>
      <c r="B78" s="2"/>
      <c r="C78" s="51"/>
      <c r="D78" s="52"/>
      <c r="E78" s="70" t="str">
        <f t="shared" si="1"/>
        <v/>
      </c>
      <c r="F78" s="1"/>
      <c r="G78" s="1"/>
      <c r="H78" s="51"/>
      <c r="I78" s="52"/>
      <c r="J78" s="51"/>
      <c r="K78" s="1"/>
      <c r="L78" s="53" t="str">
        <f t="shared" si="2"/>
        <v/>
      </c>
      <c r="M78" s="54" t="str">
        <f t="shared" si="3"/>
        <v/>
      </c>
      <c r="N78" s="67" t="str">
        <f t="shared" si="5"/>
        <v/>
      </c>
      <c r="O78" s="56">
        <f t="shared" si="6"/>
        <v>0</v>
      </c>
      <c r="P78" s="56">
        <f t="shared" si="7"/>
        <v>0</v>
      </c>
      <c r="Q78" s="65">
        <f t="shared" si="4"/>
        <v>0</v>
      </c>
      <c r="R78" s="1"/>
      <c r="U78" s="68"/>
    </row>
    <row r="79">
      <c r="A79" s="1"/>
      <c r="B79" s="2"/>
      <c r="C79" s="51"/>
      <c r="D79" s="52"/>
      <c r="E79" s="70" t="str">
        <f t="shared" si="1"/>
        <v/>
      </c>
      <c r="F79" s="1"/>
      <c r="G79" s="1"/>
      <c r="H79" s="71"/>
      <c r="I79" s="52"/>
      <c r="J79" s="51"/>
      <c r="K79" s="1"/>
      <c r="L79" s="53" t="str">
        <f t="shared" si="2"/>
        <v/>
      </c>
      <c r="M79" s="54" t="str">
        <f t="shared" si="3"/>
        <v/>
      </c>
      <c r="N79" s="67" t="str">
        <f t="shared" si="5"/>
        <v/>
      </c>
      <c r="O79" s="56">
        <f t="shared" si="6"/>
        <v>0</v>
      </c>
      <c r="P79" s="56">
        <f t="shared" si="7"/>
        <v>0</v>
      </c>
      <c r="Q79" s="65">
        <f t="shared" si="4"/>
        <v>0</v>
      </c>
      <c r="R79" s="1"/>
      <c r="U79" s="68"/>
    </row>
    <row r="80">
      <c r="A80" s="1"/>
      <c r="B80" s="2"/>
      <c r="C80" s="51"/>
      <c r="D80" s="52"/>
      <c r="E80" s="70" t="str">
        <f t="shared" si="1"/>
        <v/>
      </c>
      <c r="F80" s="1"/>
      <c r="G80" s="1"/>
      <c r="H80" s="51"/>
      <c r="I80" s="52"/>
      <c r="J80" s="51"/>
      <c r="K80" s="1"/>
      <c r="L80" s="53" t="str">
        <f t="shared" si="2"/>
        <v/>
      </c>
      <c r="M80" s="54" t="str">
        <f t="shared" si="3"/>
        <v/>
      </c>
      <c r="N80" s="67" t="str">
        <f t="shared" si="5"/>
        <v/>
      </c>
      <c r="O80" s="56">
        <f t="shared" si="6"/>
        <v>0</v>
      </c>
      <c r="P80" s="56">
        <f t="shared" si="7"/>
        <v>0</v>
      </c>
      <c r="Q80" s="65">
        <f t="shared" si="4"/>
        <v>0</v>
      </c>
      <c r="R80" s="1"/>
      <c r="U80" s="68"/>
    </row>
    <row r="81">
      <c r="A81" s="1"/>
      <c r="B81" s="2"/>
      <c r="C81" s="51"/>
      <c r="D81" s="52"/>
      <c r="E81" s="70" t="str">
        <f t="shared" si="1"/>
        <v/>
      </c>
      <c r="F81" s="1"/>
      <c r="G81" s="1"/>
      <c r="H81" s="51"/>
      <c r="I81" s="52"/>
      <c r="J81" s="51"/>
      <c r="K81" s="1"/>
      <c r="L81" s="53" t="str">
        <f t="shared" si="2"/>
        <v/>
      </c>
      <c r="M81" s="54" t="str">
        <f t="shared" si="3"/>
        <v/>
      </c>
      <c r="N81" s="67" t="str">
        <f t="shared" si="5"/>
        <v/>
      </c>
      <c r="O81" s="56">
        <f t="shared" si="6"/>
        <v>0</v>
      </c>
      <c r="P81" s="56">
        <f t="shared" si="7"/>
        <v>0</v>
      </c>
      <c r="Q81" s="65">
        <f t="shared" si="4"/>
        <v>0</v>
      </c>
      <c r="R81" s="1"/>
      <c r="U81" s="68"/>
    </row>
    <row r="82">
      <c r="A82" s="1"/>
      <c r="B82" s="2"/>
      <c r="C82" s="51"/>
      <c r="D82" s="52"/>
      <c r="E82" s="70" t="str">
        <f t="shared" si="1"/>
        <v/>
      </c>
      <c r="F82" s="1"/>
      <c r="G82" s="1"/>
      <c r="H82" s="51"/>
      <c r="I82" s="52"/>
      <c r="J82" s="51"/>
      <c r="K82" s="1"/>
      <c r="L82" s="53" t="str">
        <f t="shared" si="2"/>
        <v/>
      </c>
      <c r="M82" s="54" t="str">
        <f t="shared" si="3"/>
        <v/>
      </c>
      <c r="N82" s="67" t="str">
        <f t="shared" si="5"/>
        <v/>
      </c>
      <c r="O82" s="56">
        <f t="shared" si="6"/>
        <v>0</v>
      </c>
      <c r="P82" s="56">
        <f t="shared" si="7"/>
        <v>0</v>
      </c>
      <c r="Q82" s="65">
        <f t="shared" si="4"/>
        <v>0</v>
      </c>
      <c r="R82" s="1"/>
      <c r="U82" s="68"/>
    </row>
    <row r="83">
      <c r="A83" s="1"/>
      <c r="B83" s="2"/>
      <c r="C83" s="71"/>
      <c r="D83" s="52"/>
      <c r="E83" s="70" t="str">
        <f t="shared" si="1"/>
        <v/>
      </c>
      <c r="F83" s="1"/>
      <c r="G83" s="1"/>
      <c r="H83" s="51"/>
      <c r="I83" s="52"/>
      <c r="J83" s="51"/>
      <c r="K83" s="1"/>
      <c r="L83" s="53" t="str">
        <f t="shared" si="2"/>
        <v/>
      </c>
      <c r="M83" s="54" t="str">
        <f t="shared" si="3"/>
        <v/>
      </c>
      <c r="N83" s="67" t="str">
        <f t="shared" si="5"/>
        <v/>
      </c>
      <c r="O83" s="56">
        <f t="shared" si="6"/>
        <v>0</v>
      </c>
      <c r="P83" s="56">
        <f t="shared" si="7"/>
        <v>0</v>
      </c>
      <c r="Q83" s="65">
        <f t="shared" si="4"/>
        <v>0</v>
      </c>
      <c r="R83" s="1"/>
    </row>
    <row r="84">
      <c r="A84" s="1"/>
      <c r="B84" s="2"/>
      <c r="C84" s="51"/>
      <c r="D84" s="52"/>
      <c r="E84" s="70" t="str">
        <f t="shared" si="1"/>
        <v/>
      </c>
      <c r="F84" s="1"/>
      <c r="G84" s="1"/>
      <c r="H84" s="51"/>
      <c r="I84" s="52"/>
      <c r="J84" s="51"/>
      <c r="K84" s="1"/>
      <c r="L84" s="53" t="str">
        <f t="shared" si="2"/>
        <v/>
      </c>
      <c r="M84" s="54" t="str">
        <f t="shared" si="3"/>
        <v/>
      </c>
      <c r="N84" s="67" t="str">
        <f t="shared" si="5"/>
        <v/>
      </c>
      <c r="O84" s="56">
        <f t="shared" si="6"/>
        <v>0</v>
      </c>
      <c r="P84" s="56">
        <f t="shared" si="7"/>
        <v>0</v>
      </c>
      <c r="Q84" s="65">
        <f t="shared" si="4"/>
        <v>0</v>
      </c>
      <c r="R84" s="1"/>
    </row>
    <row r="85">
      <c r="A85" s="1"/>
      <c r="B85" s="2"/>
      <c r="C85" s="51"/>
      <c r="D85" s="52"/>
      <c r="E85" s="70" t="str">
        <f t="shared" si="1"/>
        <v/>
      </c>
      <c r="F85" s="1"/>
      <c r="G85" s="1"/>
      <c r="H85" s="51"/>
      <c r="I85" s="52"/>
      <c r="J85" s="51"/>
      <c r="K85" s="1"/>
      <c r="L85" s="53" t="str">
        <f t="shared" si="2"/>
        <v/>
      </c>
      <c r="M85" s="54" t="str">
        <f t="shared" si="3"/>
        <v/>
      </c>
      <c r="N85" s="67" t="str">
        <f t="shared" si="5"/>
        <v/>
      </c>
      <c r="O85" s="56">
        <f t="shared" si="6"/>
        <v>0</v>
      </c>
      <c r="P85" s="56">
        <f t="shared" si="7"/>
        <v>0</v>
      </c>
      <c r="Q85" s="65">
        <f t="shared" si="4"/>
        <v>0</v>
      </c>
      <c r="R85" s="1"/>
    </row>
    <row r="86">
      <c r="A86" s="1"/>
      <c r="B86" s="2"/>
      <c r="C86" s="51"/>
      <c r="D86" s="52"/>
      <c r="E86" s="70" t="str">
        <f t="shared" si="1"/>
        <v/>
      </c>
      <c r="F86" s="1"/>
      <c r="G86" s="1"/>
      <c r="H86" s="71"/>
      <c r="I86" s="52"/>
      <c r="J86" s="51"/>
      <c r="K86" s="1"/>
      <c r="L86" s="53" t="str">
        <f t="shared" si="2"/>
        <v/>
      </c>
      <c r="M86" s="54" t="str">
        <f t="shared" si="3"/>
        <v/>
      </c>
      <c r="N86" s="67" t="str">
        <f t="shared" si="5"/>
        <v/>
      </c>
      <c r="O86" s="56">
        <f t="shared" si="6"/>
        <v>0</v>
      </c>
      <c r="P86" s="56">
        <f t="shared" si="7"/>
        <v>0</v>
      </c>
      <c r="Q86" s="65">
        <f t="shared" si="4"/>
        <v>0</v>
      </c>
      <c r="R86" s="1"/>
    </row>
    <row r="87">
      <c r="A87" s="1"/>
      <c r="B87" s="2"/>
      <c r="C87" s="51"/>
      <c r="D87" s="52"/>
      <c r="E87" s="70" t="str">
        <f t="shared" si="1"/>
        <v/>
      </c>
      <c r="F87" s="1"/>
      <c r="G87" s="1"/>
      <c r="H87" s="71"/>
      <c r="I87" s="52"/>
      <c r="J87" s="51"/>
      <c r="K87" s="1"/>
      <c r="L87" s="53" t="str">
        <f t="shared" si="2"/>
        <v/>
      </c>
      <c r="M87" s="54" t="str">
        <f t="shared" si="3"/>
        <v/>
      </c>
      <c r="N87" s="67" t="str">
        <f t="shared" si="5"/>
        <v/>
      </c>
      <c r="O87" s="56">
        <f t="shared" si="6"/>
        <v>0</v>
      </c>
      <c r="P87" s="56">
        <f t="shared" si="7"/>
        <v>0</v>
      </c>
      <c r="Q87" s="65">
        <f t="shared" si="4"/>
        <v>0</v>
      </c>
      <c r="R87" s="1"/>
    </row>
    <row r="88">
      <c r="A88" s="1"/>
      <c r="B88" s="2"/>
      <c r="C88" s="51"/>
      <c r="D88" s="52"/>
      <c r="E88" s="70" t="str">
        <f t="shared" si="1"/>
        <v/>
      </c>
      <c r="F88" s="1"/>
      <c r="G88" s="1"/>
      <c r="H88" s="51"/>
      <c r="I88" s="52"/>
      <c r="J88" s="51"/>
      <c r="K88" s="1"/>
      <c r="L88" s="53" t="str">
        <f t="shared" si="2"/>
        <v/>
      </c>
      <c r="M88" s="54" t="str">
        <f t="shared" si="3"/>
        <v/>
      </c>
      <c r="N88" s="67" t="str">
        <f t="shared" si="5"/>
        <v/>
      </c>
      <c r="O88" s="56">
        <f t="shared" si="6"/>
        <v>0</v>
      </c>
      <c r="P88" s="56">
        <f t="shared" si="7"/>
        <v>0</v>
      </c>
      <c r="Q88" s="65">
        <f t="shared" si="4"/>
        <v>0</v>
      </c>
      <c r="R88" s="1"/>
    </row>
    <row r="89">
      <c r="A89" s="1"/>
      <c r="B89" s="2"/>
      <c r="C89" s="51"/>
      <c r="D89" s="52"/>
      <c r="E89" s="70" t="str">
        <f t="shared" si="1"/>
        <v/>
      </c>
      <c r="F89" s="1"/>
      <c r="G89" s="1"/>
      <c r="H89" s="51"/>
      <c r="I89" s="52"/>
      <c r="J89" s="51"/>
      <c r="K89" s="1"/>
      <c r="L89" s="53" t="str">
        <f t="shared" si="2"/>
        <v/>
      </c>
      <c r="M89" s="54" t="str">
        <f t="shared" si="3"/>
        <v/>
      </c>
      <c r="N89" s="67" t="str">
        <f t="shared" si="5"/>
        <v/>
      </c>
      <c r="O89" s="56">
        <f t="shared" si="6"/>
        <v>0</v>
      </c>
      <c r="P89" s="56">
        <f t="shared" si="7"/>
        <v>0</v>
      </c>
      <c r="Q89" s="65">
        <f t="shared" si="4"/>
        <v>0</v>
      </c>
      <c r="R89" s="1"/>
    </row>
    <row r="90">
      <c r="A90" s="1"/>
      <c r="B90" s="2"/>
      <c r="C90" s="71"/>
      <c r="D90" s="52"/>
      <c r="E90" s="70" t="str">
        <f t="shared" si="1"/>
        <v/>
      </c>
      <c r="F90" s="1"/>
      <c r="G90" s="1"/>
      <c r="H90" s="51"/>
      <c r="I90" s="52"/>
      <c r="J90" s="51"/>
      <c r="K90" s="1"/>
      <c r="L90" s="53" t="str">
        <f t="shared" si="2"/>
        <v/>
      </c>
      <c r="M90" s="54" t="str">
        <f t="shared" si="3"/>
        <v/>
      </c>
      <c r="N90" s="67" t="str">
        <f t="shared" si="5"/>
        <v/>
      </c>
      <c r="O90" s="56">
        <f t="shared" si="6"/>
        <v>0</v>
      </c>
      <c r="P90" s="56">
        <f t="shared" si="7"/>
        <v>0</v>
      </c>
      <c r="Q90" s="65">
        <f t="shared" si="4"/>
        <v>0</v>
      </c>
      <c r="R90" s="1"/>
    </row>
    <row r="91">
      <c r="A91" s="1"/>
      <c r="B91" s="2"/>
      <c r="C91" s="71"/>
      <c r="D91" s="52"/>
      <c r="E91" s="70" t="str">
        <f t="shared" si="1"/>
        <v/>
      </c>
      <c r="F91" s="1"/>
      <c r="G91" s="1"/>
      <c r="H91" s="51"/>
      <c r="I91" s="52"/>
      <c r="J91" s="51"/>
      <c r="K91" s="1"/>
      <c r="L91" s="53" t="str">
        <f t="shared" si="2"/>
        <v/>
      </c>
      <c r="M91" s="54" t="str">
        <f t="shared" si="3"/>
        <v/>
      </c>
      <c r="N91" s="67" t="str">
        <f t="shared" si="5"/>
        <v/>
      </c>
      <c r="O91" s="56">
        <f t="shared" si="6"/>
        <v>0</v>
      </c>
      <c r="P91" s="56">
        <f t="shared" si="7"/>
        <v>0</v>
      </c>
      <c r="Q91" s="65">
        <f t="shared" si="4"/>
        <v>0</v>
      </c>
      <c r="R91" s="1"/>
    </row>
    <row r="92">
      <c r="A92" s="1"/>
      <c r="B92" s="2"/>
      <c r="C92" s="51"/>
      <c r="D92" s="52"/>
      <c r="E92" s="70" t="str">
        <f t="shared" si="1"/>
        <v/>
      </c>
      <c r="F92" s="1"/>
      <c r="G92" s="1"/>
      <c r="H92" s="51"/>
      <c r="I92" s="52"/>
      <c r="J92" s="51"/>
      <c r="K92" s="1"/>
      <c r="L92" s="53" t="str">
        <f t="shared" si="2"/>
        <v/>
      </c>
      <c r="M92" s="54" t="str">
        <f t="shared" si="3"/>
        <v/>
      </c>
      <c r="N92" s="67" t="str">
        <f t="shared" si="5"/>
        <v/>
      </c>
      <c r="O92" s="56">
        <f t="shared" si="6"/>
        <v>0</v>
      </c>
      <c r="P92" s="56">
        <f t="shared" si="7"/>
        <v>0</v>
      </c>
      <c r="Q92" s="65">
        <f t="shared" si="4"/>
        <v>0</v>
      </c>
      <c r="R92" s="1"/>
    </row>
    <row r="93">
      <c r="A93" s="1"/>
      <c r="B93" s="2"/>
      <c r="C93" s="51"/>
      <c r="D93" s="52"/>
      <c r="E93" s="70" t="str">
        <f t="shared" si="1"/>
        <v/>
      </c>
      <c r="F93" s="1"/>
      <c r="G93" s="1"/>
      <c r="H93" s="51"/>
      <c r="I93" s="52"/>
      <c r="J93" s="51"/>
      <c r="K93" s="1"/>
      <c r="L93" s="53" t="str">
        <f t="shared" si="2"/>
        <v/>
      </c>
      <c r="M93" s="54" t="str">
        <f t="shared" si="3"/>
        <v/>
      </c>
      <c r="N93" s="67" t="str">
        <f t="shared" si="5"/>
        <v/>
      </c>
      <c r="O93" s="56">
        <f t="shared" si="6"/>
        <v>0</v>
      </c>
      <c r="P93" s="56">
        <f t="shared" si="7"/>
        <v>0</v>
      </c>
      <c r="Q93" s="65">
        <f t="shared" si="4"/>
        <v>0</v>
      </c>
      <c r="R93" s="1"/>
    </row>
    <row r="94">
      <c r="A94" s="1"/>
      <c r="B94" s="2"/>
      <c r="C94" s="51"/>
      <c r="D94" s="52"/>
      <c r="E94" s="70" t="str">
        <f t="shared" si="1"/>
        <v/>
      </c>
      <c r="F94" s="1"/>
      <c r="G94" s="1"/>
      <c r="H94" s="51"/>
      <c r="I94" s="52"/>
      <c r="J94" s="51"/>
      <c r="K94" s="1"/>
      <c r="L94" s="53" t="str">
        <f t="shared" si="2"/>
        <v/>
      </c>
      <c r="M94" s="54" t="str">
        <f t="shared" si="3"/>
        <v/>
      </c>
      <c r="N94" s="67" t="str">
        <f t="shared" si="5"/>
        <v/>
      </c>
      <c r="O94" s="56">
        <f t="shared" si="6"/>
        <v>0</v>
      </c>
      <c r="P94" s="56">
        <f t="shared" si="7"/>
        <v>0</v>
      </c>
      <c r="Q94" s="65">
        <f t="shared" si="4"/>
        <v>0</v>
      </c>
      <c r="R94" s="1"/>
    </row>
    <row r="95">
      <c r="A95" s="1"/>
      <c r="B95" s="2"/>
      <c r="C95" s="51"/>
      <c r="D95" s="52"/>
      <c r="E95" s="70" t="str">
        <f t="shared" si="1"/>
        <v/>
      </c>
      <c r="F95" s="1"/>
      <c r="G95" s="1"/>
      <c r="H95" s="51"/>
      <c r="I95" s="52"/>
      <c r="J95" s="51"/>
      <c r="K95" s="1"/>
      <c r="L95" s="53" t="str">
        <f t="shared" si="2"/>
        <v/>
      </c>
      <c r="M95" s="54" t="str">
        <f t="shared" si="3"/>
        <v/>
      </c>
      <c r="N95" s="67" t="str">
        <f t="shared" si="5"/>
        <v/>
      </c>
      <c r="O95" s="56">
        <f t="shared" si="6"/>
        <v>0</v>
      </c>
      <c r="P95" s="56">
        <f t="shared" si="7"/>
        <v>0</v>
      </c>
      <c r="Q95" s="65">
        <f t="shared" si="4"/>
        <v>0</v>
      </c>
      <c r="R95" s="1"/>
    </row>
    <row r="96">
      <c r="A96" s="1"/>
      <c r="B96" s="2"/>
      <c r="C96" s="51"/>
      <c r="D96" s="52"/>
      <c r="E96" s="70" t="str">
        <f t="shared" si="1"/>
        <v/>
      </c>
      <c r="F96" s="1"/>
      <c r="G96" s="1"/>
      <c r="H96" s="51"/>
      <c r="I96" s="52"/>
      <c r="J96" s="51"/>
      <c r="K96" s="1"/>
      <c r="L96" s="53" t="str">
        <f t="shared" si="2"/>
        <v/>
      </c>
      <c r="M96" s="54" t="str">
        <f t="shared" si="3"/>
        <v/>
      </c>
      <c r="N96" s="67" t="str">
        <f t="shared" si="5"/>
        <v/>
      </c>
      <c r="O96" s="56">
        <f t="shared" si="6"/>
        <v>0</v>
      </c>
      <c r="P96" s="56">
        <f t="shared" si="7"/>
        <v>0</v>
      </c>
      <c r="Q96" s="65">
        <f t="shared" si="4"/>
        <v>0</v>
      </c>
      <c r="R96" s="1"/>
    </row>
    <row r="97">
      <c r="A97" s="1"/>
      <c r="B97" s="2"/>
      <c r="C97" s="51"/>
      <c r="D97" s="52"/>
      <c r="E97" s="70" t="str">
        <f t="shared" si="1"/>
        <v/>
      </c>
      <c r="F97" s="1"/>
      <c r="G97" s="1"/>
      <c r="H97" s="71"/>
      <c r="I97" s="52"/>
      <c r="J97" s="51"/>
      <c r="K97" s="1"/>
      <c r="L97" s="53" t="str">
        <f t="shared" si="2"/>
        <v/>
      </c>
      <c r="M97" s="54" t="str">
        <f t="shared" si="3"/>
        <v/>
      </c>
      <c r="N97" s="67" t="str">
        <f t="shared" si="5"/>
        <v/>
      </c>
      <c r="O97" s="56">
        <f t="shared" si="6"/>
        <v>0</v>
      </c>
      <c r="P97" s="56">
        <f t="shared" si="7"/>
        <v>0</v>
      </c>
      <c r="Q97" s="65">
        <f t="shared" si="4"/>
        <v>0</v>
      </c>
      <c r="R97" s="1"/>
    </row>
    <row r="98">
      <c r="A98" s="1"/>
      <c r="B98" s="2"/>
      <c r="C98" s="51"/>
      <c r="D98" s="52"/>
      <c r="E98" s="70" t="str">
        <f t="shared" si="1"/>
        <v/>
      </c>
      <c r="F98" s="1"/>
      <c r="G98" s="1"/>
      <c r="H98" s="51"/>
      <c r="I98" s="52"/>
      <c r="J98" s="51"/>
      <c r="K98" s="1"/>
      <c r="L98" s="53" t="str">
        <f t="shared" si="2"/>
        <v/>
      </c>
      <c r="M98" s="54" t="str">
        <f t="shared" si="3"/>
        <v/>
      </c>
      <c r="N98" s="67" t="str">
        <f t="shared" si="5"/>
        <v/>
      </c>
      <c r="O98" s="56">
        <f t="shared" si="6"/>
        <v>0</v>
      </c>
      <c r="P98" s="56">
        <f t="shared" si="7"/>
        <v>0</v>
      </c>
      <c r="Q98" s="65">
        <f t="shared" si="4"/>
        <v>0</v>
      </c>
      <c r="R98" s="1"/>
    </row>
    <row r="99">
      <c r="A99" s="1"/>
      <c r="B99" s="2"/>
      <c r="C99" s="71"/>
      <c r="D99" s="52"/>
      <c r="E99" s="70" t="str">
        <f t="shared" si="1"/>
        <v/>
      </c>
      <c r="F99" s="1"/>
      <c r="G99" s="1"/>
      <c r="H99" s="51"/>
      <c r="I99" s="52"/>
      <c r="J99" s="51"/>
      <c r="K99" s="1"/>
      <c r="L99" s="53" t="str">
        <f t="shared" si="2"/>
        <v/>
      </c>
      <c r="M99" s="54" t="str">
        <f t="shared" si="3"/>
        <v/>
      </c>
      <c r="N99" s="67" t="str">
        <f t="shared" si="5"/>
        <v/>
      </c>
      <c r="O99" s="56">
        <f t="shared" si="6"/>
        <v>0</v>
      </c>
      <c r="P99" s="56">
        <f t="shared" si="7"/>
        <v>0</v>
      </c>
      <c r="Q99" s="65">
        <f t="shared" si="4"/>
        <v>0</v>
      </c>
      <c r="R99" s="1"/>
    </row>
    <row r="100">
      <c r="A100" s="1"/>
      <c r="B100" s="2"/>
      <c r="C100" s="51"/>
      <c r="D100" s="52"/>
      <c r="E100" s="70" t="str">
        <f t="shared" si="1"/>
        <v/>
      </c>
      <c r="F100" s="1"/>
      <c r="G100" s="1"/>
      <c r="H100" s="51"/>
      <c r="I100" s="52"/>
      <c r="J100" s="51"/>
      <c r="K100" s="1"/>
      <c r="L100" s="53" t="str">
        <f t="shared" si="2"/>
        <v/>
      </c>
      <c r="M100" s="54" t="str">
        <f t="shared" si="3"/>
        <v/>
      </c>
      <c r="N100" s="67" t="str">
        <f t="shared" si="5"/>
        <v/>
      </c>
      <c r="O100" s="56">
        <f t="shared" si="6"/>
        <v>0</v>
      </c>
      <c r="P100" s="56">
        <f t="shared" si="7"/>
        <v>0</v>
      </c>
      <c r="Q100" s="65">
        <f t="shared" si="4"/>
        <v>0</v>
      </c>
      <c r="R100" s="1"/>
    </row>
    <row r="101">
      <c r="A101" s="1"/>
      <c r="B101" s="2"/>
      <c r="C101" s="51"/>
      <c r="D101" s="52"/>
      <c r="E101" s="70" t="str">
        <f t="shared" si="1"/>
        <v/>
      </c>
      <c r="F101" s="1"/>
      <c r="G101" s="1"/>
      <c r="H101" s="51"/>
      <c r="I101" s="52"/>
      <c r="J101" s="51"/>
      <c r="K101" s="1"/>
      <c r="L101" s="53" t="str">
        <f t="shared" si="2"/>
        <v/>
      </c>
      <c r="M101" s="54" t="str">
        <f t="shared" si="3"/>
        <v/>
      </c>
      <c r="N101" s="67" t="str">
        <f t="shared" si="5"/>
        <v/>
      </c>
      <c r="O101" s="56">
        <f t="shared" si="6"/>
        <v>0</v>
      </c>
      <c r="P101" s="56">
        <f t="shared" si="7"/>
        <v>0</v>
      </c>
      <c r="Q101" s="65">
        <f t="shared" si="4"/>
        <v>0</v>
      </c>
      <c r="R101" s="1"/>
    </row>
    <row r="102">
      <c r="A102" s="1"/>
      <c r="B102" s="2"/>
      <c r="C102" s="51"/>
      <c r="D102" s="52"/>
      <c r="E102" s="70" t="str">
        <f t="shared" si="1"/>
        <v/>
      </c>
      <c r="F102" s="1"/>
      <c r="G102" s="1"/>
      <c r="H102" s="51"/>
      <c r="I102" s="52"/>
      <c r="J102" s="51"/>
      <c r="K102" s="1"/>
      <c r="L102" s="53" t="str">
        <f t="shared" si="2"/>
        <v/>
      </c>
      <c r="M102" s="54" t="str">
        <f t="shared" si="3"/>
        <v/>
      </c>
      <c r="N102" s="67" t="str">
        <f t="shared" si="5"/>
        <v/>
      </c>
      <c r="O102" s="56">
        <f t="shared" si="6"/>
        <v>0</v>
      </c>
      <c r="P102" s="56">
        <f t="shared" si="7"/>
        <v>0</v>
      </c>
      <c r="Q102" s="65">
        <f t="shared" si="4"/>
        <v>0</v>
      </c>
      <c r="R102" s="1"/>
    </row>
    <row r="103">
      <c r="A103" s="1"/>
      <c r="B103" s="2"/>
      <c r="C103" s="51"/>
      <c r="D103" s="52"/>
      <c r="E103" s="70" t="str">
        <f t="shared" si="1"/>
        <v/>
      </c>
      <c r="F103" s="1"/>
      <c r="G103" s="1"/>
      <c r="H103" s="71"/>
      <c r="I103" s="52"/>
      <c r="J103" s="51"/>
      <c r="K103" s="1"/>
      <c r="L103" s="53" t="str">
        <f t="shared" si="2"/>
        <v/>
      </c>
      <c r="M103" s="54" t="str">
        <f t="shared" si="3"/>
        <v/>
      </c>
      <c r="N103" s="67" t="str">
        <f t="shared" si="5"/>
        <v/>
      </c>
      <c r="O103" s="56">
        <f t="shared" si="6"/>
        <v>0</v>
      </c>
      <c r="P103" s="56">
        <f t="shared" si="7"/>
        <v>0</v>
      </c>
      <c r="Q103" s="65">
        <f t="shared" si="4"/>
        <v>0</v>
      </c>
      <c r="R103" s="1"/>
    </row>
    <row r="104">
      <c r="A104" s="1"/>
      <c r="B104" s="2"/>
      <c r="C104" s="51"/>
      <c r="D104" s="52"/>
      <c r="E104" s="70" t="str">
        <f t="shared" si="1"/>
        <v/>
      </c>
      <c r="F104" s="1"/>
      <c r="G104" s="1"/>
      <c r="H104" s="51"/>
      <c r="I104" s="52"/>
      <c r="J104" s="51"/>
      <c r="K104" s="1"/>
      <c r="L104" s="53" t="str">
        <f t="shared" si="2"/>
        <v/>
      </c>
      <c r="M104" s="54" t="str">
        <f t="shared" si="3"/>
        <v/>
      </c>
      <c r="N104" s="67" t="str">
        <f t="shared" si="5"/>
        <v/>
      </c>
      <c r="O104" s="56">
        <f t="shared" si="6"/>
        <v>0</v>
      </c>
      <c r="P104" s="56">
        <f t="shared" si="7"/>
        <v>0</v>
      </c>
      <c r="Q104" s="65">
        <f t="shared" si="4"/>
        <v>0</v>
      </c>
      <c r="R104" s="1"/>
    </row>
    <row r="105">
      <c r="A105" s="1"/>
      <c r="B105" s="2"/>
      <c r="C105" s="71"/>
      <c r="D105" s="52"/>
      <c r="E105" s="70" t="str">
        <f t="shared" si="1"/>
        <v/>
      </c>
      <c r="F105" s="1"/>
      <c r="G105" s="1"/>
      <c r="H105" s="71"/>
      <c r="I105" s="52"/>
      <c r="J105" s="51"/>
      <c r="K105" s="1"/>
      <c r="L105" s="53" t="str">
        <f t="shared" si="2"/>
        <v/>
      </c>
      <c r="M105" s="54" t="str">
        <f t="shared" si="3"/>
        <v/>
      </c>
      <c r="N105" s="67" t="str">
        <f t="shared" si="5"/>
        <v/>
      </c>
      <c r="O105" s="56">
        <f t="shared" si="6"/>
        <v>0</v>
      </c>
      <c r="P105" s="56">
        <f t="shared" si="7"/>
        <v>0</v>
      </c>
      <c r="Q105" s="65">
        <f t="shared" si="4"/>
        <v>0</v>
      </c>
      <c r="R105" s="1"/>
    </row>
    <row r="106">
      <c r="A106" s="1"/>
      <c r="B106" s="2"/>
      <c r="C106" s="51"/>
      <c r="D106" s="52"/>
      <c r="E106" s="70" t="str">
        <f t="shared" si="1"/>
        <v/>
      </c>
      <c r="F106" s="1"/>
      <c r="G106" s="1"/>
      <c r="H106" s="51"/>
      <c r="I106" s="52"/>
      <c r="J106" s="51"/>
      <c r="K106" s="1"/>
      <c r="L106" s="53" t="str">
        <f t="shared" si="2"/>
        <v/>
      </c>
      <c r="M106" s="54" t="str">
        <f t="shared" si="3"/>
        <v/>
      </c>
      <c r="N106" s="67" t="str">
        <f t="shared" si="5"/>
        <v/>
      </c>
      <c r="O106" s="56">
        <f t="shared" si="6"/>
        <v>0</v>
      </c>
      <c r="P106" s="56">
        <f t="shared" si="7"/>
        <v>0</v>
      </c>
      <c r="Q106" s="65">
        <f t="shared" si="4"/>
        <v>0</v>
      </c>
      <c r="R106" s="1"/>
    </row>
    <row r="107">
      <c r="A107" s="1"/>
      <c r="B107" s="2"/>
      <c r="C107" s="51"/>
      <c r="D107" s="52"/>
      <c r="E107" s="70" t="str">
        <f t="shared" si="1"/>
        <v/>
      </c>
      <c r="F107" s="1"/>
      <c r="G107" s="1"/>
      <c r="H107" s="51"/>
      <c r="I107" s="52"/>
      <c r="J107" s="51"/>
      <c r="K107" s="1"/>
      <c r="L107" s="53" t="str">
        <f t="shared" si="2"/>
        <v/>
      </c>
      <c r="M107" s="54" t="str">
        <f t="shared" si="3"/>
        <v/>
      </c>
      <c r="N107" s="67" t="str">
        <f t="shared" si="5"/>
        <v/>
      </c>
      <c r="O107" s="56">
        <f t="shared" si="6"/>
        <v>0</v>
      </c>
      <c r="P107" s="56">
        <f t="shared" si="7"/>
        <v>0</v>
      </c>
      <c r="Q107" s="65">
        <f t="shared" si="4"/>
        <v>0</v>
      </c>
      <c r="R107" s="1"/>
    </row>
    <row r="108">
      <c r="A108" s="1"/>
      <c r="B108" s="2"/>
      <c r="C108" s="51"/>
      <c r="D108" s="52"/>
      <c r="E108" s="70" t="str">
        <f t="shared" si="1"/>
        <v/>
      </c>
      <c r="F108" s="1"/>
      <c r="G108" s="1"/>
      <c r="H108" s="51"/>
      <c r="I108" s="52"/>
      <c r="J108" s="51"/>
      <c r="K108" s="1"/>
      <c r="L108" s="53" t="str">
        <f t="shared" si="2"/>
        <v/>
      </c>
      <c r="M108" s="54" t="str">
        <f t="shared" si="3"/>
        <v/>
      </c>
      <c r="N108" s="67" t="str">
        <f t="shared" si="5"/>
        <v/>
      </c>
      <c r="O108" s="56">
        <f t="shared" si="6"/>
        <v>0</v>
      </c>
      <c r="P108" s="56">
        <f t="shared" si="7"/>
        <v>0</v>
      </c>
      <c r="Q108" s="65">
        <f t="shared" si="4"/>
        <v>0</v>
      </c>
      <c r="R108" s="1"/>
    </row>
    <row r="109">
      <c r="A109" s="1"/>
      <c r="B109" s="2"/>
      <c r="C109" s="51"/>
      <c r="D109" s="52"/>
      <c r="E109" s="70" t="str">
        <f t="shared" si="1"/>
        <v/>
      </c>
      <c r="F109" s="1"/>
      <c r="G109" s="1"/>
      <c r="H109" s="51"/>
      <c r="I109" s="52"/>
      <c r="J109" s="51"/>
      <c r="K109" s="1"/>
      <c r="L109" s="53" t="str">
        <f t="shared" si="2"/>
        <v/>
      </c>
      <c r="M109" s="54" t="str">
        <f t="shared" si="3"/>
        <v/>
      </c>
      <c r="N109" s="67" t="str">
        <f t="shared" si="5"/>
        <v/>
      </c>
      <c r="O109" s="56">
        <f t="shared" si="6"/>
        <v>0</v>
      </c>
      <c r="P109" s="56">
        <f t="shared" si="7"/>
        <v>0</v>
      </c>
      <c r="Q109" s="65">
        <f t="shared" si="4"/>
        <v>0</v>
      </c>
      <c r="R109" s="1"/>
    </row>
    <row r="110">
      <c r="A110" s="1"/>
      <c r="B110" s="2"/>
      <c r="C110" s="51"/>
      <c r="D110" s="52"/>
      <c r="E110" s="70" t="str">
        <f t="shared" si="1"/>
        <v/>
      </c>
      <c r="F110" s="1"/>
      <c r="G110" s="1"/>
      <c r="H110" s="51"/>
      <c r="I110" s="52"/>
      <c r="J110" s="51"/>
      <c r="K110" s="1"/>
      <c r="L110" s="53" t="str">
        <f t="shared" si="2"/>
        <v/>
      </c>
      <c r="M110" s="54" t="str">
        <f t="shared" si="3"/>
        <v/>
      </c>
      <c r="N110" s="67" t="str">
        <f t="shared" si="5"/>
        <v/>
      </c>
      <c r="O110" s="56">
        <f t="shared" si="6"/>
        <v>0</v>
      </c>
      <c r="P110" s="56">
        <f t="shared" si="7"/>
        <v>0</v>
      </c>
      <c r="Q110" s="65">
        <f t="shared" si="4"/>
        <v>0</v>
      </c>
      <c r="R110" s="1"/>
    </row>
    <row r="111">
      <c r="A111" s="1"/>
      <c r="B111" s="2"/>
      <c r="C111" s="51"/>
      <c r="D111" s="52"/>
      <c r="E111" s="70" t="str">
        <f t="shared" si="1"/>
        <v/>
      </c>
      <c r="F111" s="1"/>
      <c r="G111" s="1"/>
      <c r="H111" s="71"/>
      <c r="I111" s="52"/>
      <c r="J111" s="51"/>
      <c r="K111" s="1"/>
      <c r="L111" s="53" t="str">
        <f t="shared" si="2"/>
        <v/>
      </c>
      <c r="M111" s="54" t="str">
        <f t="shared" si="3"/>
        <v/>
      </c>
      <c r="N111" s="67" t="str">
        <f t="shared" si="5"/>
        <v/>
      </c>
      <c r="O111" s="56">
        <f t="shared" si="6"/>
        <v>0</v>
      </c>
      <c r="P111" s="56">
        <f t="shared" si="7"/>
        <v>0</v>
      </c>
      <c r="Q111" s="65">
        <f t="shared" si="4"/>
        <v>0</v>
      </c>
      <c r="R111" s="1"/>
    </row>
    <row r="112">
      <c r="A112" s="1"/>
      <c r="B112" s="2"/>
      <c r="C112" s="51"/>
      <c r="D112" s="52"/>
      <c r="E112" s="70" t="str">
        <f t="shared" si="1"/>
        <v/>
      </c>
      <c r="F112" s="1"/>
      <c r="G112" s="1"/>
      <c r="H112" s="51"/>
      <c r="I112" s="52"/>
      <c r="J112" s="51"/>
      <c r="K112" s="1"/>
      <c r="L112" s="53" t="str">
        <f t="shared" si="2"/>
        <v/>
      </c>
      <c r="M112" s="54" t="str">
        <f t="shared" si="3"/>
        <v/>
      </c>
      <c r="N112" s="67" t="str">
        <f t="shared" si="5"/>
        <v/>
      </c>
      <c r="O112" s="56">
        <f t="shared" si="6"/>
        <v>0</v>
      </c>
      <c r="P112" s="56">
        <f t="shared" si="7"/>
        <v>0</v>
      </c>
      <c r="Q112" s="65">
        <f t="shared" si="4"/>
        <v>0</v>
      </c>
      <c r="R112" s="1"/>
    </row>
    <row r="113">
      <c r="A113" s="1"/>
      <c r="B113" s="2"/>
      <c r="C113" s="51"/>
      <c r="D113" s="52"/>
      <c r="E113" s="70" t="str">
        <f t="shared" si="1"/>
        <v/>
      </c>
      <c r="F113" s="1"/>
      <c r="G113" s="1"/>
      <c r="H113" s="51"/>
      <c r="I113" s="52"/>
      <c r="J113" s="51"/>
      <c r="K113" s="1"/>
      <c r="L113" s="53" t="str">
        <f t="shared" si="2"/>
        <v/>
      </c>
      <c r="M113" s="54" t="str">
        <f t="shared" si="3"/>
        <v/>
      </c>
      <c r="N113" s="67" t="str">
        <f t="shared" si="5"/>
        <v/>
      </c>
      <c r="O113" s="56">
        <f t="shared" si="6"/>
        <v>0</v>
      </c>
      <c r="P113" s="56">
        <f t="shared" si="7"/>
        <v>0</v>
      </c>
      <c r="Q113" s="65">
        <f t="shared" si="4"/>
        <v>0</v>
      </c>
      <c r="R113" s="1"/>
    </row>
    <row r="114">
      <c r="A114" s="1"/>
      <c r="B114" s="2"/>
      <c r="C114" s="71"/>
      <c r="D114" s="52"/>
      <c r="E114" s="70" t="str">
        <f t="shared" si="1"/>
        <v/>
      </c>
      <c r="F114" s="1"/>
      <c r="G114" s="1"/>
      <c r="H114" s="51"/>
      <c r="I114" s="52"/>
      <c r="J114" s="51"/>
      <c r="K114" s="1"/>
      <c r="L114" s="53" t="str">
        <f t="shared" si="2"/>
        <v/>
      </c>
      <c r="M114" s="54" t="str">
        <f t="shared" si="3"/>
        <v/>
      </c>
      <c r="N114" s="67" t="str">
        <f t="shared" si="5"/>
        <v/>
      </c>
      <c r="O114" s="56">
        <f t="shared" si="6"/>
        <v>0</v>
      </c>
      <c r="P114" s="56">
        <f t="shared" si="7"/>
        <v>0</v>
      </c>
      <c r="Q114" s="65">
        <f t="shared" si="4"/>
        <v>0</v>
      </c>
      <c r="R114" s="1"/>
    </row>
    <row r="115">
      <c r="A115" s="1"/>
      <c r="B115" s="2"/>
      <c r="C115" s="51"/>
      <c r="D115" s="52"/>
      <c r="E115" s="70" t="str">
        <f t="shared" si="1"/>
        <v/>
      </c>
      <c r="F115" s="1"/>
      <c r="G115" s="1"/>
      <c r="H115" s="51"/>
      <c r="I115" s="52"/>
      <c r="J115" s="51"/>
      <c r="K115" s="1"/>
      <c r="L115" s="53" t="str">
        <f t="shared" si="2"/>
        <v/>
      </c>
      <c r="M115" s="54" t="str">
        <f t="shared" si="3"/>
        <v/>
      </c>
      <c r="N115" s="67" t="str">
        <f t="shared" si="5"/>
        <v/>
      </c>
      <c r="O115" s="56">
        <f t="shared" si="6"/>
        <v>0</v>
      </c>
      <c r="P115" s="56">
        <f t="shared" si="7"/>
        <v>0</v>
      </c>
      <c r="Q115" s="65">
        <f t="shared" si="4"/>
        <v>0</v>
      </c>
      <c r="R115" s="1"/>
    </row>
    <row r="116">
      <c r="A116" s="1"/>
      <c r="B116" s="2"/>
      <c r="C116" s="71"/>
      <c r="D116" s="52"/>
      <c r="E116" s="70" t="str">
        <f t="shared" si="1"/>
        <v/>
      </c>
      <c r="F116" s="1"/>
      <c r="G116" s="1"/>
      <c r="H116" s="51"/>
      <c r="I116" s="52"/>
      <c r="J116" s="51"/>
      <c r="K116" s="1"/>
      <c r="L116" s="53" t="str">
        <f t="shared" si="2"/>
        <v/>
      </c>
      <c r="M116" s="54" t="str">
        <f t="shared" si="3"/>
        <v/>
      </c>
      <c r="N116" s="67" t="str">
        <f t="shared" si="5"/>
        <v/>
      </c>
      <c r="O116" s="56">
        <f t="shared" si="6"/>
        <v>0</v>
      </c>
      <c r="P116" s="56">
        <f t="shared" si="7"/>
        <v>0</v>
      </c>
      <c r="Q116" s="65">
        <f t="shared" si="4"/>
        <v>0</v>
      </c>
      <c r="R116" s="1"/>
    </row>
    <row r="117">
      <c r="A117" s="1"/>
      <c r="B117" s="2"/>
      <c r="C117" s="51"/>
      <c r="D117" s="52"/>
      <c r="E117" s="70" t="str">
        <f t="shared" si="1"/>
        <v/>
      </c>
      <c r="F117" s="1"/>
      <c r="G117" s="1"/>
      <c r="H117" s="51"/>
      <c r="I117" s="52"/>
      <c r="J117" s="51"/>
      <c r="K117" s="1"/>
      <c r="L117" s="53" t="str">
        <f t="shared" si="2"/>
        <v/>
      </c>
      <c r="M117" s="54" t="str">
        <f t="shared" si="3"/>
        <v/>
      </c>
      <c r="N117" s="67" t="str">
        <f t="shared" si="5"/>
        <v/>
      </c>
      <c r="O117" s="56">
        <f t="shared" si="6"/>
        <v>0</v>
      </c>
      <c r="P117" s="56">
        <f t="shared" si="7"/>
        <v>0</v>
      </c>
      <c r="Q117" s="65">
        <f t="shared" si="4"/>
        <v>0</v>
      </c>
      <c r="R117" s="1"/>
    </row>
    <row r="118">
      <c r="A118" s="1"/>
      <c r="B118" s="2"/>
      <c r="C118" s="51"/>
      <c r="D118" s="52"/>
      <c r="E118" s="70" t="str">
        <f t="shared" si="1"/>
        <v/>
      </c>
      <c r="F118" s="1"/>
      <c r="G118" s="1"/>
      <c r="H118" s="51"/>
      <c r="I118" s="50"/>
      <c r="J118" s="51"/>
      <c r="K118" s="1"/>
      <c r="L118" s="53" t="str">
        <f t="shared" si="2"/>
        <v/>
      </c>
      <c r="M118" s="54" t="str">
        <f t="shared" si="3"/>
        <v/>
      </c>
      <c r="N118" s="67" t="str">
        <f t="shared" si="5"/>
        <v/>
      </c>
      <c r="O118" s="56">
        <f t="shared" si="6"/>
        <v>0</v>
      </c>
      <c r="P118" s="56">
        <f t="shared" si="7"/>
        <v>0</v>
      </c>
      <c r="Q118" s="65">
        <f t="shared" si="4"/>
        <v>0</v>
      </c>
      <c r="R118" s="1"/>
    </row>
    <row r="119">
      <c r="A119" s="1"/>
      <c r="B119" s="2"/>
      <c r="C119" s="51"/>
      <c r="D119" s="52"/>
      <c r="E119" s="70" t="str">
        <f t="shared" si="1"/>
        <v/>
      </c>
      <c r="F119" s="1"/>
      <c r="G119" s="1"/>
      <c r="H119" s="51"/>
      <c r="I119" s="50"/>
      <c r="J119" s="51"/>
      <c r="K119" s="1"/>
      <c r="L119" s="53" t="str">
        <f t="shared" si="2"/>
        <v/>
      </c>
      <c r="M119" s="54" t="str">
        <f t="shared" si="3"/>
        <v/>
      </c>
      <c r="N119" s="67" t="str">
        <f t="shared" si="5"/>
        <v/>
      </c>
      <c r="O119" s="56">
        <f t="shared" si="6"/>
        <v>0</v>
      </c>
      <c r="P119" s="56">
        <f t="shared" si="7"/>
        <v>0</v>
      </c>
      <c r="Q119" s="65">
        <f t="shared" si="4"/>
        <v>0</v>
      </c>
      <c r="R119" s="1"/>
    </row>
    <row r="120">
      <c r="A120" s="1"/>
      <c r="B120" s="1"/>
      <c r="C120" s="51"/>
      <c r="D120" s="52"/>
      <c r="E120" s="70" t="str">
        <f t="shared" si="1"/>
        <v/>
      </c>
      <c r="F120" s="1"/>
      <c r="G120" s="1"/>
      <c r="H120" s="51"/>
      <c r="I120" s="50"/>
      <c r="J120" s="51"/>
      <c r="K120" s="1"/>
      <c r="L120" s="53" t="str">
        <f t="shared" si="2"/>
        <v/>
      </c>
      <c r="M120" s="54" t="str">
        <f t="shared" si="3"/>
        <v/>
      </c>
      <c r="N120" s="67" t="str">
        <f t="shared" si="5"/>
        <v/>
      </c>
      <c r="O120" s="56">
        <f t="shared" si="6"/>
        <v>0</v>
      </c>
      <c r="P120" s="56">
        <f t="shared" si="7"/>
        <v>0</v>
      </c>
      <c r="Q120" s="65">
        <f t="shared" si="4"/>
        <v>0</v>
      </c>
      <c r="R120" s="1"/>
    </row>
    <row r="121">
      <c r="A121" s="1"/>
      <c r="B121" s="1"/>
      <c r="C121" s="51"/>
      <c r="D121" s="52"/>
      <c r="E121" s="70" t="str">
        <f t="shared" si="1"/>
        <v/>
      </c>
      <c r="F121" s="1"/>
      <c r="G121" s="1"/>
      <c r="H121" s="51"/>
      <c r="I121" s="50"/>
      <c r="J121" s="51"/>
      <c r="K121" s="1"/>
      <c r="L121" s="53" t="str">
        <f t="shared" si="2"/>
        <v/>
      </c>
      <c r="M121" s="54" t="str">
        <f t="shared" si="3"/>
        <v/>
      </c>
      <c r="N121" s="67" t="str">
        <f t="shared" si="5"/>
        <v/>
      </c>
      <c r="O121" s="56">
        <f t="shared" si="6"/>
        <v>0</v>
      </c>
      <c r="P121" s="56">
        <f t="shared" si="7"/>
        <v>0</v>
      </c>
      <c r="Q121" s="65">
        <f t="shared" si="4"/>
        <v>0</v>
      </c>
      <c r="R121" s="1"/>
    </row>
    <row r="122">
      <c r="A122" s="1"/>
      <c r="B122" s="1"/>
      <c r="C122" s="71"/>
      <c r="D122" s="52"/>
      <c r="E122" s="70" t="str">
        <f t="shared" si="1"/>
        <v/>
      </c>
      <c r="F122" s="1"/>
      <c r="G122" s="1"/>
      <c r="H122" s="51"/>
      <c r="I122" s="50"/>
      <c r="J122" s="51"/>
      <c r="K122" s="1"/>
      <c r="L122" s="53" t="str">
        <f t="shared" si="2"/>
        <v/>
      </c>
      <c r="M122" s="54" t="str">
        <f t="shared" si="3"/>
        <v/>
      </c>
      <c r="N122" s="67" t="str">
        <f t="shared" si="5"/>
        <v/>
      </c>
      <c r="O122" s="56">
        <f t="shared" si="6"/>
        <v>0</v>
      </c>
      <c r="P122" s="56">
        <f t="shared" si="7"/>
        <v>0</v>
      </c>
      <c r="Q122" s="65">
        <f t="shared" si="4"/>
        <v>0</v>
      </c>
      <c r="R122" s="1"/>
    </row>
    <row r="123">
      <c r="A123" s="1"/>
      <c r="B123" s="1"/>
      <c r="C123" s="51"/>
      <c r="D123" s="52"/>
      <c r="E123" s="70" t="str">
        <f t="shared" si="1"/>
        <v/>
      </c>
      <c r="F123" s="1"/>
      <c r="G123" s="1"/>
      <c r="H123" s="51"/>
      <c r="I123" s="50"/>
      <c r="J123" s="51"/>
      <c r="K123" s="1"/>
      <c r="L123" s="53" t="str">
        <f t="shared" si="2"/>
        <v/>
      </c>
      <c r="M123" s="54" t="str">
        <f t="shared" si="3"/>
        <v/>
      </c>
      <c r="N123" s="67" t="str">
        <f t="shared" si="5"/>
        <v/>
      </c>
      <c r="O123" s="56">
        <f t="shared" si="6"/>
        <v>0</v>
      </c>
      <c r="P123" s="56">
        <f t="shared" si="7"/>
        <v>0</v>
      </c>
      <c r="Q123" s="65">
        <f t="shared" si="4"/>
        <v>0</v>
      </c>
      <c r="R123" s="1"/>
    </row>
    <row r="124">
      <c r="A124" s="1"/>
      <c r="B124" s="1"/>
      <c r="C124" s="51"/>
      <c r="D124" s="52"/>
      <c r="E124" s="70" t="str">
        <f t="shared" si="1"/>
        <v/>
      </c>
      <c r="F124" s="1"/>
      <c r="G124" s="1"/>
      <c r="H124" s="51"/>
      <c r="I124" s="50"/>
      <c r="J124" s="51"/>
      <c r="K124" s="1"/>
      <c r="L124" s="53" t="str">
        <f t="shared" si="2"/>
        <v/>
      </c>
      <c r="M124" s="54" t="str">
        <f t="shared" si="3"/>
        <v/>
      </c>
      <c r="N124" s="67" t="str">
        <f t="shared" si="5"/>
        <v/>
      </c>
      <c r="O124" s="56">
        <f t="shared" si="6"/>
        <v>0</v>
      </c>
      <c r="P124" s="56">
        <f t="shared" si="7"/>
        <v>0</v>
      </c>
      <c r="Q124" s="65">
        <f t="shared" si="4"/>
        <v>0</v>
      </c>
      <c r="R124" s="1"/>
    </row>
    <row r="125">
      <c r="A125" s="1"/>
      <c r="B125" s="1"/>
      <c r="C125" s="51"/>
      <c r="D125" s="52"/>
      <c r="E125" s="70" t="str">
        <f t="shared" si="1"/>
        <v/>
      </c>
      <c r="F125" s="1"/>
      <c r="G125" s="1"/>
      <c r="H125" s="51"/>
      <c r="I125" s="50"/>
      <c r="J125" s="51"/>
      <c r="K125" s="1"/>
      <c r="L125" s="53" t="str">
        <f t="shared" si="2"/>
        <v/>
      </c>
      <c r="M125" s="54" t="str">
        <f t="shared" si="3"/>
        <v/>
      </c>
      <c r="N125" s="67" t="str">
        <f t="shared" si="5"/>
        <v/>
      </c>
      <c r="O125" s="56">
        <f t="shared" si="6"/>
        <v>0</v>
      </c>
      <c r="P125" s="56">
        <f t="shared" si="7"/>
        <v>0</v>
      </c>
      <c r="Q125" s="65">
        <f t="shared" si="4"/>
        <v>0</v>
      </c>
      <c r="R125" s="1"/>
    </row>
    <row r="126">
      <c r="A126" s="1"/>
      <c r="B126" s="1"/>
      <c r="C126" s="51"/>
      <c r="D126" s="52"/>
      <c r="E126" s="70" t="str">
        <f t="shared" si="1"/>
        <v/>
      </c>
      <c r="F126" s="1"/>
      <c r="G126" s="1"/>
      <c r="H126" s="51"/>
      <c r="I126" s="50"/>
      <c r="J126" s="51"/>
      <c r="K126" s="1"/>
      <c r="L126" s="53" t="str">
        <f t="shared" si="2"/>
        <v/>
      </c>
      <c r="M126" s="54" t="str">
        <f t="shared" si="3"/>
        <v/>
      </c>
      <c r="N126" s="67" t="str">
        <f t="shared" si="5"/>
        <v/>
      </c>
      <c r="O126" s="56">
        <f t="shared" si="6"/>
        <v>0</v>
      </c>
      <c r="P126" s="56">
        <f t="shared" si="7"/>
        <v>0</v>
      </c>
      <c r="Q126" s="65">
        <f t="shared" si="4"/>
        <v>0</v>
      </c>
      <c r="R126" s="1"/>
    </row>
    <row r="127">
      <c r="A127" s="1"/>
      <c r="B127" s="1"/>
      <c r="C127" s="51"/>
      <c r="D127" s="52"/>
      <c r="E127" s="70" t="str">
        <f t="shared" si="1"/>
        <v/>
      </c>
      <c r="F127" s="1"/>
      <c r="G127" s="1"/>
      <c r="H127" s="51"/>
      <c r="I127" s="50"/>
      <c r="J127" s="51"/>
      <c r="K127" s="1"/>
      <c r="L127" s="53" t="str">
        <f t="shared" si="2"/>
        <v/>
      </c>
      <c r="M127" s="54" t="str">
        <f t="shared" si="3"/>
        <v/>
      </c>
      <c r="N127" s="67" t="str">
        <f t="shared" si="5"/>
        <v/>
      </c>
      <c r="O127" s="56">
        <f t="shared" si="6"/>
        <v>0</v>
      </c>
      <c r="P127" s="56">
        <f t="shared" si="7"/>
        <v>0</v>
      </c>
      <c r="Q127" s="65">
        <f t="shared" si="4"/>
        <v>0</v>
      </c>
      <c r="R127" s="1"/>
    </row>
    <row r="128">
      <c r="A128" s="1"/>
      <c r="B128" s="1"/>
      <c r="C128" s="51"/>
      <c r="D128" s="52"/>
      <c r="E128" s="70" t="str">
        <f t="shared" si="1"/>
        <v/>
      </c>
      <c r="F128" s="1"/>
      <c r="G128" s="1"/>
      <c r="H128" s="51"/>
      <c r="I128" s="50"/>
      <c r="J128" s="51"/>
      <c r="K128" s="1"/>
      <c r="L128" s="53" t="str">
        <f t="shared" si="2"/>
        <v/>
      </c>
      <c r="M128" s="54" t="str">
        <f t="shared" si="3"/>
        <v/>
      </c>
      <c r="N128" s="67" t="str">
        <f t="shared" si="5"/>
        <v/>
      </c>
      <c r="O128" s="56">
        <f t="shared" si="6"/>
        <v>0</v>
      </c>
      <c r="P128" s="56">
        <f t="shared" si="7"/>
        <v>0</v>
      </c>
      <c r="Q128" s="65">
        <f t="shared" si="4"/>
        <v>0</v>
      </c>
      <c r="R128" s="1"/>
    </row>
    <row r="129">
      <c r="A129" s="1"/>
      <c r="B129" s="1"/>
      <c r="C129" s="51"/>
      <c r="D129" s="52"/>
      <c r="E129" s="70" t="str">
        <f t="shared" si="1"/>
        <v/>
      </c>
      <c r="F129" s="1"/>
      <c r="G129" s="1"/>
      <c r="H129" s="51"/>
      <c r="I129" s="50"/>
      <c r="J129" s="51"/>
      <c r="K129" s="1"/>
      <c r="L129" s="53" t="str">
        <f t="shared" si="2"/>
        <v/>
      </c>
      <c r="M129" s="54" t="str">
        <f t="shared" si="3"/>
        <v/>
      </c>
      <c r="N129" s="67" t="str">
        <f t="shared" si="5"/>
        <v/>
      </c>
      <c r="O129" s="56">
        <f t="shared" si="6"/>
        <v>0</v>
      </c>
      <c r="P129" s="56">
        <f t="shared" si="7"/>
        <v>0</v>
      </c>
      <c r="Q129" s="65">
        <f t="shared" si="4"/>
        <v>0</v>
      </c>
      <c r="R129" s="1"/>
    </row>
    <row r="130">
      <c r="A130" s="1"/>
      <c r="B130" s="1"/>
      <c r="C130" s="51"/>
      <c r="D130" s="50"/>
      <c r="E130" s="70" t="str">
        <f t="shared" si="1"/>
        <v/>
      </c>
      <c r="F130" s="1"/>
      <c r="G130" s="1"/>
      <c r="H130" s="51"/>
      <c r="I130" s="50"/>
      <c r="J130" s="51"/>
      <c r="K130" s="1"/>
      <c r="L130" s="53" t="str">
        <f t="shared" si="2"/>
        <v/>
      </c>
      <c r="M130" s="54" t="str">
        <f t="shared" si="3"/>
        <v/>
      </c>
      <c r="N130" s="67" t="str">
        <f t="shared" si="5"/>
        <v/>
      </c>
      <c r="O130" s="56">
        <f t="shared" si="6"/>
        <v>0</v>
      </c>
      <c r="P130" s="56">
        <f t="shared" si="7"/>
        <v>0</v>
      </c>
      <c r="Q130" s="65">
        <f t="shared" si="4"/>
        <v>0</v>
      </c>
      <c r="R130" s="1"/>
    </row>
    <row r="131">
      <c r="A131" s="1"/>
      <c r="B131" s="1"/>
      <c r="C131" s="51"/>
      <c r="D131" s="50"/>
      <c r="E131" s="70" t="str">
        <f t="shared" si="1"/>
        <v/>
      </c>
      <c r="F131" s="1"/>
      <c r="G131" s="1"/>
      <c r="H131" s="51"/>
      <c r="I131" s="50"/>
      <c r="J131" s="51"/>
      <c r="K131" s="1"/>
      <c r="L131" s="53" t="str">
        <f t="shared" si="2"/>
        <v/>
      </c>
      <c r="M131" s="54" t="str">
        <f t="shared" si="3"/>
        <v/>
      </c>
      <c r="N131" s="67" t="str">
        <f t="shared" si="5"/>
        <v/>
      </c>
      <c r="O131" s="56">
        <f t="shared" si="6"/>
        <v>0</v>
      </c>
      <c r="P131" s="56">
        <f t="shared" si="7"/>
        <v>0</v>
      </c>
      <c r="Q131" s="65">
        <f t="shared" si="4"/>
        <v>0</v>
      </c>
      <c r="R131" s="1"/>
    </row>
    <row r="132">
      <c r="A132" s="1"/>
      <c r="B132" s="1"/>
      <c r="C132" s="51"/>
      <c r="D132" s="50"/>
      <c r="E132" s="70" t="str">
        <f t="shared" si="1"/>
        <v/>
      </c>
      <c r="F132" s="1"/>
      <c r="G132" s="1"/>
      <c r="H132" s="51"/>
      <c r="I132" s="50"/>
      <c r="J132" s="51"/>
      <c r="K132" s="1"/>
      <c r="L132" s="53" t="str">
        <f t="shared" si="2"/>
        <v/>
      </c>
      <c r="M132" s="54" t="str">
        <f t="shared" si="3"/>
        <v/>
      </c>
      <c r="N132" s="67" t="str">
        <f t="shared" si="5"/>
        <v/>
      </c>
      <c r="O132" s="56">
        <f t="shared" si="6"/>
        <v>0</v>
      </c>
      <c r="P132" s="56">
        <f t="shared" si="7"/>
        <v>0</v>
      </c>
      <c r="Q132" s="65">
        <f t="shared" si="4"/>
        <v>0</v>
      </c>
      <c r="R132" s="1"/>
    </row>
    <row r="133">
      <c r="A133" s="1"/>
      <c r="B133" s="1"/>
      <c r="C133" s="51"/>
      <c r="D133" s="50"/>
      <c r="E133" s="70" t="str">
        <f t="shared" si="1"/>
        <v/>
      </c>
      <c r="F133" s="1"/>
      <c r="G133" s="1"/>
      <c r="H133" s="51"/>
      <c r="I133" s="50"/>
      <c r="J133" s="51"/>
      <c r="K133" s="1"/>
      <c r="L133" s="53" t="str">
        <f t="shared" si="2"/>
        <v/>
      </c>
      <c r="M133" s="54" t="str">
        <f t="shared" si="3"/>
        <v/>
      </c>
      <c r="N133" s="67" t="str">
        <f t="shared" si="5"/>
        <v/>
      </c>
      <c r="O133" s="56">
        <f t="shared" si="6"/>
        <v>0</v>
      </c>
      <c r="P133" s="56">
        <f t="shared" si="7"/>
        <v>0</v>
      </c>
      <c r="Q133" s="65">
        <f t="shared" si="4"/>
        <v>0</v>
      </c>
      <c r="R133" s="1"/>
    </row>
    <row r="134">
      <c r="A134" s="1"/>
      <c r="B134" s="1"/>
      <c r="C134" s="51"/>
      <c r="D134" s="50"/>
      <c r="E134" s="70" t="str">
        <f t="shared" si="1"/>
        <v/>
      </c>
      <c r="F134" s="1"/>
      <c r="G134" s="1"/>
      <c r="H134" s="51"/>
      <c r="I134" s="50"/>
      <c r="J134" s="51"/>
      <c r="K134" s="1"/>
      <c r="L134" s="53" t="str">
        <f t="shared" si="2"/>
        <v/>
      </c>
      <c r="M134" s="54" t="str">
        <f t="shared" si="3"/>
        <v/>
      </c>
      <c r="N134" s="67" t="str">
        <f t="shared" si="5"/>
        <v/>
      </c>
      <c r="O134" s="56">
        <f t="shared" si="6"/>
        <v>0</v>
      </c>
      <c r="P134" s="56">
        <f t="shared" si="7"/>
        <v>0</v>
      </c>
      <c r="Q134" s="65">
        <f t="shared" si="4"/>
        <v>0</v>
      </c>
      <c r="R134" s="1"/>
    </row>
    <row r="135">
      <c r="A135" s="1"/>
      <c r="B135" s="1"/>
      <c r="C135" s="51"/>
      <c r="D135" s="50"/>
      <c r="E135" s="70" t="str">
        <f t="shared" si="1"/>
        <v/>
      </c>
      <c r="F135" s="1"/>
      <c r="G135" s="1"/>
      <c r="H135" s="51"/>
      <c r="I135" s="50"/>
      <c r="J135" s="51"/>
      <c r="K135" s="1"/>
      <c r="L135" s="53" t="str">
        <f t="shared" si="2"/>
        <v/>
      </c>
      <c r="M135" s="54" t="str">
        <f t="shared" si="3"/>
        <v/>
      </c>
      <c r="N135" s="67" t="str">
        <f t="shared" si="5"/>
        <v/>
      </c>
      <c r="O135" s="56">
        <f t="shared" si="6"/>
        <v>0</v>
      </c>
      <c r="P135" s="56">
        <f t="shared" si="7"/>
        <v>0</v>
      </c>
      <c r="Q135" s="65">
        <f t="shared" si="4"/>
        <v>0</v>
      </c>
      <c r="R135" s="1"/>
    </row>
    <row r="136">
      <c r="A136" s="1"/>
      <c r="B136" s="1"/>
      <c r="C136" s="51"/>
      <c r="D136" s="50"/>
      <c r="E136" s="70" t="str">
        <f t="shared" si="1"/>
        <v/>
      </c>
      <c r="F136" s="1"/>
      <c r="G136" s="1"/>
      <c r="H136" s="51"/>
      <c r="I136" s="50"/>
      <c r="J136" s="51"/>
      <c r="K136" s="1"/>
      <c r="L136" s="53" t="str">
        <f t="shared" si="2"/>
        <v/>
      </c>
      <c r="M136" s="54" t="str">
        <f t="shared" si="3"/>
        <v/>
      </c>
      <c r="N136" s="67" t="str">
        <f t="shared" si="5"/>
        <v/>
      </c>
      <c r="O136" s="56">
        <f t="shared" si="6"/>
        <v>0</v>
      </c>
      <c r="P136" s="56">
        <f t="shared" si="7"/>
        <v>0</v>
      </c>
      <c r="Q136" s="65">
        <f t="shared" si="4"/>
        <v>0</v>
      </c>
      <c r="R136" s="1"/>
    </row>
    <row r="137">
      <c r="A137" s="1"/>
      <c r="B137" s="1"/>
      <c r="C137" s="51"/>
      <c r="D137" s="50"/>
      <c r="E137" s="70" t="str">
        <f t="shared" si="1"/>
        <v/>
      </c>
      <c r="F137" s="1"/>
      <c r="G137" s="1"/>
      <c r="H137" s="51"/>
      <c r="I137" s="50"/>
      <c r="J137" s="51"/>
      <c r="K137" s="1"/>
      <c r="L137" s="53" t="str">
        <f t="shared" si="2"/>
        <v/>
      </c>
      <c r="M137" s="54" t="str">
        <f t="shared" si="3"/>
        <v/>
      </c>
      <c r="N137" s="67" t="str">
        <f t="shared" si="5"/>
        <v/>
      </c>
      <c r="O137" s="56">
        <f t="shared" si="6"/>
        <v>0</v>
      </c>
      <c r="P137" s="56">
        <f t="shared" si="7"/>
        <v>0</v>
      </c>
      <c r="Q137" s="65">
        <f t="shared" si="4"/>
        <v>0</v>
      </c>
      <c r="R137" s="1"/>
    </row>
    <row r="138">
      <c r="A138" s="1"/>
      <c r="B138" s="1"/>
      <c r="C138" s="51"/>
      <c r="D138" s="50"/>
      <c r="E138" s="70" t="str">
        <f t="shared" si="1"/>
        <v/>
      </c>
      <c r="F138" s="1"/>
      <c r="G138" s="1"/>
      <c r="H138" s="51"/>
      <c r="I138" s="50"/>
      <c r="J138" s="51"/>
      <c r="K138" s="1"/>
      <c r="L138" s="53" t="str">
        <f t="shared" si="2"/>
        <v/>
      </c>
      <c r="M138" s="54" t="str">
        <f t="shared" si="3"/>
        <v/>
      </c>
      <c r="N138" s="67" t="str">
        <f t="shared" si="5"/>
        <v/>
      </c>
      <c r="O138" s="56">
        <f t="shared" si="6"/>
        <v>0</v>
      </c>
      <c r="P138" s="56">
        <f t="shared" si="7"/>
        <v>0</v>
      </c>
      <c r="Q138" s="65">
        <f t="shared" si="4"/>
        <v>0</v>
      </c>
      <c r="R138" s="1"/>
    </row>
    <row r="139">
      <c r="A139" s="1"/>
      <c r="B139" s="1"/>
      <c r="C139" s="51"/>
      <c r="D139" s="50"/>
      <c r="E139" s="70" t="str">
        <f t="shared" si="1"/>
        <v/>
      </c>
      <c r="F139" s="1"/>
      <c r="G139" s="1"/>
      <c r="H139" s="51"/>
      <c r="I139" s="50"/>
      <c r="J139" s="51"/>
      <c r="K139" s="1"/>
      <c r="L139" s="53" t="str">
        <f t="shared" si="2"/>
        <v/>
      </c>
      <c r="M139" s="54" t="str">
        <f t="shared" si="3"/>
        <v/>
      </c>
      <c r="N139" s="67" t="str">
        <f t="shared" si="5"/>
        <v/>
      </c>
      <c r="O139" s="56">
        <f t="shared" si="6"/>
        <v>0</v>
      </c>
      <c r="P139" s="56">
        <f t="shared" si="7"/>
        <v>0</v>
      </c>
      <c r="Q139" s="65">
        <f t="shared" si="4"/>
        <v>0</v>
      </c>
      <c r="R139" s="1"/>
    </row>
    <row r="140">
      <c r="A140" s="1"/>
      <c r="B140" s="1"/>
      <c r="C140" s="51"/>
      <c r="D140" s="50"/>
      <c r="E140" s="70" t="str">
        <f t="shared" si="1"/>
        <v/>
      </c>
      <c r="F140" s="1"/>
      <c r="G140" s="1"/>
      <c r="H140" s="51"/>
      <c r="I140" s="50"/>
      <c r="J140" s="51"/>
      <c r="K140" s="1"/>
      <c r="L140" s="53" t="str">
        <f t="shared" si="2"/>
        <v/>
      </c>
      <c r="M140" s="54" t="str">
        <f t="shared" si="3"/>
        <v/>
      </c>
      <c r="N140" s="67" t="str">
        <f t="shared" si="5"/>
        <v/>
      </c>
      <c r="O140" s="56">
        <f t="shared" si="6"/>
        <v>0</v>
      </c>
      <c r="P140" s="56">
        <f t="shared" si="7"/>
        <v>0</v>
      </c>
      <c r="Q140" s="65">
        <f t="shared" si="4"/>
        <v>0</v>
      </c>
      <c r="R140" s="1"/>
    </row>
    <row r="141">
      <c r="A141" s="1"/>
      <c r="B141" s="1"/>
      <c r="C141" s="51"/>
      <c r="D141" s="50"/>
      <c r="E141" s="70" t="str">
        <f t="shared" si="1"/>
        <v/>
      </c>
      <c r="F141" s="1"/>
      <c r="G141" s="1"/>
      <c r="H141" s="1"/>
      <c r="I141" s="1"/>
      <c r="J141" s="1"/>
      <c r="K141" s="1"/>
      <c r="L141" s="53" t="str">
        <f t="shared" si="2"/>
        <v/>
      </c>
      <c r="M141" s="54" t="str">
        <f t="shared" si="3"/>
        <v/>
      </c>
      <c r="N141" s="67" t="str">
        <f t="shared" si="5"/>
        <v/>
      </c>
      <c r="O141" s="56">
        <f t="shared" si="6"/>
        <v>0</v>
      </c>
      <c r="P141" s="56">
        <f t="shared" si="7"/>
        <v>0</v>
      </c>
      <c r="Q141" s="65">
        <f t="shared" si="4"/>
        <v>0</v>
      </c>
      <c r="R141" s="1"/>
    </row>
    <row r="142">
      <c r="A142" s="1"/>
      <c r="B142" s="1"/>
      <c r="C142" s="51"/>
      <c r="D142" s="50"/>
      <c r="E142" s="70" t="str">
        <f t="shared" si="1"/>
        <v/>
      </c>
      <c r="F142" s="1"/>
      <c r="G142" s="1"/>
      <c r="H142" s="1"/>
      <c r="I142" s="1"/>
      <c r="J142" s="1"/>
      <c r="K142" s="1"/>
      <c r="L142" s="53" t="str">
        <f t="shared" si="2"/>
        <v/>
      </c>
      <c r="M142" s="54" t="str">
        <f t="shared" si="3"/>
        <v/>
      </c>
      <c r="N142" s="67" t="str">
        <f t="shared" si="5"/>
        <v/>
      </c>
      <c r="O142" s="56">
        <f t="shared" si="6"/>
        <v>0</v>
      </c>
      <c r="P142" s="56">
        <f t="shared" si="7"/>
        <v>0</v>
      </c>
      <c r="Q142" s="65">
        <f t="shared" si="4"/>
        <v>0</v>
      </c>
      <c r="R142" s="1"/>
    </row>
    <row r="143">
      <c r="A143" s="1"/>
      <c r="B143" s="1"/>
      <c r="C143" s="51"/>
      <c r="D143" s="50"/>
      <c r="E143" s="70" t="str">
        <f t="shared" si="1"/>
        <v/>
      </c>
      <c r="F143" s="1"/>
      <c r="G143" s="1"/>
      <c r="H143" s="1"/>
      <c r="I143" s="1"/>
      <c r="J143" s="1"/>
      <c r="K143" s="1"/>
      <c r="L143" s="53" t="str">
        <f t="shared" si="2"/>
        <v/>
      </c>
      <c r="M143" s="54" t="str">
        <f t="shared" si="3"/>
        <v/>
      </c>
      <c r="N143" s="67" t="str">
        <f t="shared" si="5"/>
        <v/>
      </c>
      <c r="O143" s="56">
        <f t="shared" si="6"/>
        <v>0</v>
      </c>
      <c r="P143" s="56">
        <f t="shared" si="7"/>
        <v>0</v>
      </c>
      <c r="Q143" s="65">
        <f t="shared" si="4"/>
        <v>0</v>
      </c>
      <c r="R143" s="1"/>
    </row>
    <row r="144">
      <c r="A144" s="1"/>
      <c r="B144" s="1"/>
      <c r="C144" s="51"/>
      <c r="D144" s="50"/>
      <c r="E144" s="70" t="str">
        <f t="shared" si="1"/>
        <v/>
      </c>
      <c r="F144" s="1"/>
      <c r="G144" s="1"/>
      <c r="H144" s="1"/>
      <c r="I144" s="1"/>
      <c r="J144" s="1"/>
      <c r="K144" s="1"/>
      <c r="L144" s="53" t="str">
        <f t="shared" si="2"/>
        <v/>
      </c>
      <c r="M144" s="54" t="str">
        <f t="shared" si="3"/>
        <v/>
      </c>
      <c r="N144" s="67" t="str">
        <f t="shared" si="5"/>
        <v/>
      </c>
      <c r="O144" s="56">
        <f t="shared" si="6"/>
        <v>0</v>
      </c>
      <c r="P144" s="56">
        <f t="shared" si="7"/>
        <v>0</v>
      </c>
      <c r="Q144" s="65">
        <f t="shared" si="4"/>
        <v>0</v>
      </c>
      <c r="R144" s="1"/>
    </row>
    <row r="145">
      <c r="A145" s="1"/>
      <c r="B145" s="1"/>
      <c r="C145" s="51"/>
      <c r="D145" s="50"/>
      <c r="E145" s="70" t="str">
        <f t="shared" si="1"/>
        <v/>
      </c>
      <c r="F145" s="1"/>
      <c r="G145" s="1"/>
      <c r="H145" s="1"/>
      <c r="I145" s="1"/>
      <c r="J145" s="1"/>
      <c r="K145" s="1"/>
      <c r="L145" s="53" t="str">
        <f t="shared" si="2"/>
        <v/>
      </c>
      <c r="M145" s="54" t="str">
        <f t="shared" si="3"/>
        <v/>
      </c>
      <c r="N145" s="67" t="str">
        <f t="shared" si="5"/>
        <v/>
      </c>
      <c r="O145" s="56">
        <f t="shared" si="6"/>
        <v>0</v>
      </c>
      <c r="P145" s="56">
        <f t="shared" si="7"/>
        <v>0</v>
      </c>
      <c r="Q145" s="65">
        <f t="shared" si="4"/>
        <v>0</v>
      </c>
      <c r="R145" s="1"/>
    </row>
    <row r="146">
      <c r="A146" s="1"/>
      <c r="B146" s="1"/>
      <c r="C146" s="51"/>
      <c r="D146" s="50"/>
      <c r="E146" s="70" t="str">
        <f t="shared" si="1"/>
        <v/>
      </c>
      <c r="F146" s="1"/>
      <c r="G146" s="1"/>
      <c r="H146" s="1"/>
      <c r="I146" s="1"/>
      <c r="J146" s="1"/>
      <c r="K146" s="1"/>
      <c r="L146" s="53" t="str">
        <f t="shared" si="2"/>
        <v/>
      </c>
      <c r="M146" s="54" t="str">
        <f t="shared" si="3"/>
        <v/>
      </c>
      <c r="N146" s="67" t="str">
        <f t="shared" si="5"/>
        <v/>
      </c>
      <c r="O146" s="56">
        <f t="shared" si="6"/>
        <v>0</v>
      </c>
      <c r="P146" s="56">
        <f t="shared" si="7"/>
        <v>0</v>
      </c>
      <c r="Q146" s="65">
        <f t="shared" si="4"/>
        <v>0</v>
      </c>
      <c r="R146" s="1"/>
    </row>
    <row r="147">
      <c r="A147" s="1"/>
      <c r="B147" s="1"/>
      <c r="C147" s="51"/>
      <c r="D147" s="50"/>
      <c r="E147" s="70" t="str">
        <f t="shared" si="1"/>
        <v/>
      </c>
      <c r="F147" s="1"/>
      <c r="G147" s="1"/>
      <c r="H147" s="1"/>
      <c r="I147" s="1"/>
      <c r="J147" s="1"/>
      <c r="K147" s="1"/>
      <c r="L147" s="53" t="str">
        <f t="shared" si="2"/>
        <v/>
      </c>
      <c r="M147" s="54" t="str">
        <f t="shared" si="3"/>
        <v/>
      </c>
      <c r="N147" s="67" t="str">
        <f t="shared" si="5"/>
        <v/>
      </c>
      <c r="O147" s="56">
        <f t="shared" si="6"/>
        <v>0</v>
      </c>
      <c r="P147" s="56">
        <f t="shared" si="7"/>
        <v>0</v>
      </c>
      <c r="Q147" s="65">
        <f t="shared" si="4"/>
        <v>0</v>
      </c>
      <c r="R147" s="1"/>
    </row>
    <row r="148">
      <c r="A148" s="1"/>
      <c r="B148" s="1"/>
      <c r="C148" s="51"/>
      <c r="D148" s="50"/>
      <c r="E148" s="70" t="str">
        <f t="shared" si="1"/>
        <v/>
      </c>
      <c r="F148" s="1"/>
      <c r="G148" s="1"/>
      <c r="H148" s="1"/>
      <c r="I148" s="1"/>
      <c r="J148" s="1"/>
      <c r="K148" s="1"/>
      <c r="L148" s="53" t="str">
        <f t="shared" si="2"/>
        <v/>
      </c>
      <c r="M148" s="54" t="str">
        <f t="shared" si="3"/>
        <v/>
      </c>
      <c r="N148" s="67" t="str">
        <f t="shared" si="5"/>
        <v/>
      </c>
      <c r="O148" s="56">
        <f t="shared" si="6"/>
        <v>0</v>
      </c>
      <c r="P148" s="56">
        <f t="shared" si="7"/>
        <v>0</v>
      </c>
      <c r="Q148" s="65">
        <f t="shared" si="4"/>
        <v>0</v>
      </c>
      <c r="R148" s="1"/>
    </row>
    <row r="149">
      <c r="A149" s="1"/>
      <c r="B149" s="1"/>
      <c r="C149" s="51"/>
      <c r="D149" s="50"/>
      <c r="E149" s="70" t="str">
        <f t="shared" si="1"/>
        <v/>
      </c>
      <c r="F149" s="1"/>
      <c r="G149" s="1"/>
      <c r="H149" s="1"/>
      <c r="I149" s="1"/>
      <c r="J149" s="1"/>
      <c r="K149" s="1"/>
      <c r="L149" s="53" t="str">
        <f t="shared" si="2"/>
        <v/>
      </c>
      <c r="M149" s="54" t="str">
        <f t="shared" si="3"/>
        <v/>
      </c>
      <c r="N149" s="67" t="str">
        <f t="shared" si="5"/>
        <v/>
      </c>
      <c r="O149" s="56">
        <f t="shared" si="6"/>
        <v>0</v>
      </c>
      <c r="P149" s="56">
        <f t="shared" si="7"/>
        <v>0</v>
      </c>
      <c r="Q149" s="65">
        <f t="shared" si="4"/>
        <v>0</v>
      </c>
      <c r="R149" s="1"/>
    </row>
    <row r="150">
      <c r="A150" s="1"/>
      <c r="B150" s="1"/>
      <c r="C150" s="51"/>
      <c r="D150" s="50"/>
      <c r="E150" s="70" t="str">
        <f t="shared" si="1"/>
        <v/>
      </c>
      <c r="F150" s="1"/>
      <c r="G150" s="1"/>
      <c r="H150" s="1"/>
      <c r="I150" s="1"/>
      <c r="J150" s="1"/>
      <c r="K150" s="1"/>
      <c r="L150" s="53" t="str">
        <f t="shared" si="2"/>
        <v/>
      </c>
      <c r="M150" s="54" t="str">
        <f t="shared" si="3"/>
        <v/>
      </c>
      <c r="N150" s="67" t="str">
        <f t="shared" si="5"/>
        <v/>
      </c>
      <c r="O150" s="56">
        <f t="shared" si="6"/>
        <v>0</v>
      </c>
      <c r="P150" s="56">
        <f t="shared" si="7"/>
        <v>0</v>
      </c>
      <c r="Q150" s="65">
        <f t="shared" si="4"/>
        <v>0</v>
      </c>
      <c r="R150" s="1"/>
    </row>
    <row r="151">
      <c r="A151" s="1"/>
      <c r="B151" s="1"/>
      <c r="C151" s="71"/>
      <c r="D151" s="50"/>
      <c r="E151" s="70" t="str">
        <f t="shared" si="1"/>
        <v/>
      </c>
      <c r="F151" s="1"/>
      <c r="G151" s="1"/>
      <c r="H151" s="1"/>
      <c r="I151" s="1"/>
      <c r="J151" s="1"/>
      <c r="K151" s="1"/>
      <c r="L151" s="53" t="str">
        <f t="shared" si="2"/>
        <v/>
      </c>
      <c r="M151" s="54" t="str">
        <f t="shared" si="3"/>
        <v/>
      </c>
      <c r="N151" s="67" t="str">
        <f t="shared" si="5"/>
        <v/>
      </c>
      <c r="O151" s="56">
        <f t="shared" si="6"/>
        <v>0</v>
      </c>
      <c r="P151" s="56">
        <f t="shared" si="7"/>
        <v>0</v>
      </c>
      <c r="Q151" s="65">
        <f t="shared" si="4"/>
        <v>0</v>
      </c>
      <c r="R151" s="1"/>
    </row>
    <row r="152">
      <c r="A152" s="1"/>
      <c r="B152" s="1"/>
      <c r="C152" s="51"/>
      <c r="D152" s="50"/>
      <c r="E152" s="70" t="str">
        <f t="shared" si="1"/>
        <v/>
      </c>
      <c r="F152" s="1"/>
      <c r="G152" s="1"/>
      <c r="H152" s="1"/>
      <c r="I152" s="1"/>
      <c r="J152" s="1"/>
      <c r="K152" s="1"/>
      <c r="L152" s="53" t="str">
        <f t="shared" si="2"/>
        <v/>
      </c>
      <c r="M152" s="54" t="str">
        <f t="shared" si="3"/>
        <v/>
      </c>
      <c r="N152" s="67" t="str">
        <f t="shared" si="5"/>
        <v/>
      </c>
      <c r="O152" s="56">
        <f t="shared" si="6"/>
        <v>0</v>
      </c>
      <c r="P152" s="56">
        <f t="shared" si="7"/>
        <v>0</v>
      </c>
      <c r="Q152" s="65">
        <f t="shared" si="4"/>
        <v>0</v>
      </c>
      <c r="R152" s="1"/>
    </row>
    <row r="153">
      <c r="A153" s="1"/>
      <c r="B153" s="1"/>
      <c r="C153" s="71"/>
      <c r="D153" s="50"/>
      <c r="E153" s="70" t="str">
        <f t="shared" si="1"/>
        <v/>
      </c>
      <c r="F153" s="1"/>
      <c r="G153" s="1"/>
      <c r="H153" s="1"/>
      <c r="I153" s="1"/>
      <c r="J153" s="1"/>
      <c r="K153" s="1"/>
      <c r="L153" s="53" t="str">
        <f t="shared" si="2"/>
        <v/>
      </c>
      <c r="M153" s="54" t="str">
        <f t="shared" si="3"/>
        <v/>
      </c>
      <c r="N153" s="67" t="str">
        <f t="shared" si="5"/>
        <v/>
      </c>
      <c r="O153" s="56">
        <f t="shared" si="6"/>
        <v>0</v>
      </c>
      <c r="P153" s="56">
        <f t="shared" si="7"/>
        <v>0</v>
      </c>
      <c r="Q153" s="65">
        <f t="shared" si="4"/>
        <v>0</v>
      </c>
      <c r="R153" s="1"/>
    </row>
    <row r="154">
      <c r="A154" s="1"/>
      <c r="B154" s="1"/>
      <c r="C154" s="51"/>
      <c r="D154" s="50"/>
      <c r="E154" s="70" t="str">
        <f t="shared" si="1"/>
        <v/>
      </c>
      <c r="F154" s="1"/>
      <c r="G154" s="1"/>
      <c r="H154" s="1"/>
      <c r="I154" s="1"/>
      <c r="J154" s="1"/>
      <c r="K154" s="1"/>
      <c r="L154" s="53" t="str">
        <f t="shared" si="2"/>
        <v/>
      </c>
      <c r="M154" s="54" t="str">
        <f t="shared" si="3"/>
        <v/>
      </c>
      <c r="N154" s="67" t="str">
        <f t="shared" si="5"/>
        <v/>
      </c>
      <c r="O154" s="56">
        <f t="shared" si="6"/>
        <v>0</v>
      </c>
      <c r="P154" s="56">
        <f t="shared" si="7"/>
        <v>0</v>
      </c>
      <c r="Q154" s="65">
        <f t="shared" si="4"/>
        <v>0</v>
      </c>
      <c r="R154" s="1"/>
    </row>
    <row r="155">
      <c r="A155" s="50"/>
      <c r="B155" s="50"/>
      <c r="C155" s="51"/>
      <c r="D155" s="50"/>
      <c r="E155" s="70" t="str">
        <f t="shared" si="1"/>
        <v/>
      </c>
      <c r="F155" s="1"/>
      <c r="G155" s="1"/>
      <c r="H155" s="1"/>
      <c r="I155" s="1"/>
      <c r="J155" s="1"/>
      <c r="K155" s="1"/>
      <c r="L155" s="53" t="str">
        <f t="shared" si="2"/>
        <v/>
      </c>
      <c r="M155" s="54" t="str">
        <f t="shared" si="3"/>
        <v/>
      </c>
      <c r="N155" s="67" t="str">
        <f t="shared" si="5"/>
        <v/>
      </c>
      <c r="O155" s="56">
        <f t="shared" si="6"/>
        <v>0</v>
      </c>
      <c r="P155" s="56">
        <f t="shared" si="7"/>
        <v>0</v>
      </c>
      <c r="Q155" s="65">
        <f t="shared" si="4"/>
        <v>0</v>
      </c>
      <c r="R155" s="1"/>
    </row>
    <row r="156">
      <c r="A156" s="50"/>
      <c r="B156" s="50"/>
      <c r="C156" s="51"/>
      <c r="D156" s="50"/>
      <c r="E156" s="70" t="str">
        <f t="shared" si="1"/>
        <v/>
      </c>
      <c r="F156" s="1"/>
      <c r="G156" s="1"/>
      <c r="H156" s="1"/>
      <c r="I156" s="1"/>
      <c r="J156" s="1"/>
      <c r="K156" s="1"/>
      <c r="L156" s="53" t="str">
        <f t="shared" si="2"/>
        <v/>
      </c>
      <c r="M156" s="54" t="str">
        <f t="shared" si="3"/>
        <v/>
      </c>
      <c r="N156" s="67" t="str">
        <f t="shared" si="5"/>
        <v/>
      </c>
      <c r="O156" s="56">
        <f t="shared" si="6"/>
        <v>0</v>
      </c>
      <c r="P156" s="56">
        <f t="shared" si="7"/>
        <v>0</v>
      </c>
      <c r="Q156" s="65">
        <f t="shared" si="4"/>
        <v>0</v>
      </c>
      <c r="R156" s="1"/>
    </row>
    <row r="157">
      <c r="A157" s="50"/>
      <c r="B157" s="50"/>
      <c r="C157" s="51"/>
      <c r="D157" s="50"/>
      <c r="E157" s="70" t="str">
        <f t="shared" si="1"/>
        <v/>
      </c>
      <c r="F157" s="1"/>
      <c r="G157" s="1"/>
      <c r="H157" s="1"/>
      <c r="I157" s="1"/>
      <c r="J157" s="1"/>
      <c r="K157" s="1"/>
      <c r="L157" s="53" t="str">
        <f t="shared" si="2"/>
        <v/>
      </c>
      <c r="M157" s="54" t="str">
        <f t="shared" si="3"/>
        <v/>
      </c>
      <c r="N157" s="67" t="str">
        <f t="shared" si="5"/>
        <v/>
      </c>
      <c r="O157" s="56">
        <f t="shared" si="6"/>
        <v>0</v>
      </c>
      <c r="P157" s="56">
        <f t="shared" si="7"/>
        <v>0</v>
      </c>
      <c r="Q157" s="65">
        <f t="shared" si="4"/>
        <v>0</v>
      </c>
      <c r="R157" s="1"/>
    </row>
    <row r="158">
      <c r="A158" s="50"/>
      <c r="B158" s="50"/>
      <c r="C158" s="51"/>
      <c r="D158" s="50"/>
      <c r="E158" s="70" t="str">
        <f t="shared" si="1"/>
        <v/>
      </c>
      <c r="F158" s="1"/>
      <c r="G158" s="1"/>
      <c r="H158" s="1"/>
      <c r="I158" s="1"/>
      <c r="J158" s="1"/>
      <c r="K158" s="1"/>
      <c r="L158" s="53" t="str">
        <f t="shared" si="2"/>
        <v/>
      </c>
      <c r="M158" s="54" t="str">
        <f t="shared" si="3"/>
        <v/>
      </c>
      <c r="N158" s="67" t="str">
        <f t="shared" si="5"/>
        <v/>
      </c>
      <c r="O158" s="56">
        <f t="shared" si="6"/>
        <v>0</v>
      </c>
      <c r="P158" s="56">
        <f t="shared" si="7"/>
        <v>0</v>
      </c>
      <c r="Q158" s="65">
        <f t="shared" si="4"/>
        <v>0</v>
      </c>
      <c r="R158" s="1"/>
    </row>
    <row r="159">
      <c r="A159" s="1"/>
      <c r="B159" s="1"/>
      <c r="C159" s="51"/>
      <c r="D159" s="50"/>
      <c r="E159" s="70" t="str">
        <f t="shared" si="1"/>
        <v/>
      </c>
      <c r="F159" s="1"/>
      <c r="G159" s="1"/>
      <c r="H159" s="1"/>
      <c r="I159" s="1"/>
      <c r="J159" s="1"/>
      <c r="K159" s="1"/>
      <c r="L159" s="53" t="str">
        <f t="shared" si="2"/>
        <v/>
      </c>
      <c r="M159" s="54" t="str">
        <f t="shared" si="3"/>
        <v/>
      </c>
      <c r="N159" s="67" t="str">
        <f t="shared" si="5"/>
        <v/>
      </c>
      <c r="O159" s="56">
        <f t="shared" si="6"/>
        <v>0</v>
      </c>
      <c r="P159" s="56">
        <f t="shared" si="7"/>
        <v>0</v>
      </c>
      <c r="Q159" s="65">
        <f t="shared" si="4"/>
        <v>0</v>
      </c>
      <c r="R159" s="1"/>
    </row>
    <row r="160">
      <c r="A160" s="1"/>
      <c r="B160" s="1"/>
      <c r="C160" s="51"/>
      <c r="D160" s="50"/>
      <c r="E160" s="70" t="str">
        <f t="shared" si="1"/>
        <v/>
      </c>
      <c r="F160" s="1"/>
      <c r="G160" s="1"/>
      <c r="H160" s="1"/>
      <c r="I160" s="1"/>
      <c r="J160" s="1"/>
      <c r="K160" s="1"/>
      <c r="L160" s="53" t="str">
        <f t="shared" si="2"/>
        <v/>
      </c>
      <c r="M160" s="54" t="str">
        <f t="shared" si="3"/>
        <v/>
      </c>
      <c r="N160" s="67" t="str">
        <f t="shared" si="5"/>
        <v/>
      </c>
      <c r="O160" s="56">
        <f t="shared" si="6"/>
        <v>0</v>
      </c>
      <c r="P160" s="56">
        <f t="shared" si="7"/>
        <v>0</v>
      </c>
      <c r="Q160" s="65">
        <f t="shared" si="4"/>
        <v>0</v>
      </c>
      <c r="R160" s="1"/>
    </row>
    <row r="161">
      <c r="A161" s="1"/>
      <c r="B161" s="1"/>
      <c r="C161" s="51"/>
      <c r="D161" s="50"/>
      <c r="E161" s="70" t="str">
        <f t="shared" si="1"/>
        <v/>
      </c>
      <c r="F161" s="1"/>
      <c r="G161" s="1"/>
      <c r="H161" s="1"/>
      <c r="I161" s="1"/>
      <c r="J161" s="1"/>
      <c r="K161" s="1"/>
      <c r="L161" s="53" t="str">
        <f t="shared" si="2"/>
        <v/>
      </c>
      <c r="M161" s="54" t="str">
        <f t="shared" si="3"/>
        <v/>
      </c>
      <c r="N161" s="67" t="str">
        <f t="shared" si="5"/>
        <v/>
      </c>
      <c r="O161" s="56">
        <f t="shared" si="6"/>
        <v>0</v>
      </c>
      <c r="P161" s="56">
        <f t="shared" si="7"/>
        <v>0</v>
      </c>
      <c r="Q161" s="65">
        <f t="shared" si="4"/>
        <v>0</v>
      </c>
      <c r="R161" s="1"/>
    </row>
    <row r="162">
      <c r="A162" s="1"/>
      <c r="B162" s="1"/>
      <c r="C162" s="51"/>
      <c r="D162" s="50"/>
      <c r="E162" s="70" t="str">
        <f t="shared" si="1"/>
        <v/>
      </c>
      <c r="F162" s="1"/>
      <c r="G162" s="1"/>
      <c r="H162" s="1"/>
      <c r="I162" s="1"/>
      <c r="J162" s="1"/>
      <c r="K162" s="1"/>
      <c r="L162" s="53" t="str">
        <f t="shared" si="2"/>
        <v/>
      </c>
      <c r="M162" s="54" t="str">
        <f t="shared" si="3"/>
        <v/>
      </c>
      <c r="N162" s="67" t="str">
        <f t="shared" si="5"/>
        <v/>
      </c>
      <c r="O162" s="56">
        <f t="shared" si="6"/>
        <v>0</v>
      </c>
      <c r="P162" s="56">
        <f t="shared" si="7"/>
        <v>0</v>
      </c>
      <c r="Q162" s="65">
        <f t="shared" si="4"/>
        <v>0</v>
      </c>
      <c r="R162" s="1"/>
    </row>
    <row r="163">
      <c r="A163" s="1"/>
      <c r="B163" s="1"/>
      <c r="C163" s="51"/>
      <c r="D163" s="50"/>
      <c r="E163" s="70" t="str">
        <f t="shared" si="1"/>
        <v/>
      </c>
      <c r="F163" s="1"/>
      <c r="G163" s="1"/>
      <c r="H163" s="1"/>
      <c r="I163" s="1"/>
      <c r="J163" s="1"/>
      <c r="K163" s="1"/>
      <c r="L163" s="53" t="str">
        <f t="shared" si="2"/>
        <v/>
      </c>
      <c r="M163" s="54" t="str">
        <f t="shared" si="3"/>
        <v/>
      </c>
      <c r="N163" s="67" t="str">
        <f t="shared" si="5"/>
        <v/>
      </c>
      <c r="O163" s="56">
        <f t="shared" si="6"/>
        <v>0</v>
      </c>
      <c r="P163" s="56">
        <f t="shared" si="7"/>
        <v>0</v>
      </c>
      <c r="Q163" s="65">
        <f t="shared" si="4"/>
        <v>0</v>
      </c>
      <c r="R163" s="1"/>
    </row>
    <row r="164">
      <c r="A164" s="1"/>
      <c r="B164" s="1"/>
      <c r="C164" s="51"/>
      <c r="D164" s="50"/>
      <c r="E164" s="70" t="str">
        <f t="shared" si="1"/>
        <v/>
      </c>
      <c r="F164" s="1"/>
      <c r="G164" s="1"/>
      <c r="H164" s="1"/>
      <c r="I164" s="1"/>
      <c r="J164" s="1"/>
      <c r="K164" s="1"/>
      <c r="L164" s="53" t="str">
        <f t="shared" si="2"/>
        <v/>
      </c>
      <c r="M164" s="54" t="str">
        <f t="shared" si="3"/>
        <v/>
      </c>
      <c r="N164" s="67" t="str">
        <f t="shared" si="5"/>
        <v/>
      </c>
      <c r="O164" s="56">
        <f t="shared" si="6"/>
        <v>0</v>
      </c>
      <c r="P164" s="56">
        <f t="shared" si="7"/>
        <v>0</v>
      </c>
      <c r="Q164" s="65">
        <f t="shared" si="4"/>
        <v>0</v>
      </c>
      <c r="R164" s="1"/>
    </row>
    <row r="165">
      <c r="A165" s="1"/>
      <c r="B165" s="1"/>
      <c r="C165" s="51"/>
      <c r="D165" s="50"/>
      <c r="E165" s="70" t="str">
        <f t="shared" si="1"/>
        <v/>
      </c>
      <c r="F165" s="1"/>
      <c r="G165" s="1"/>
      <c r="H165" s="1"/>
      <c r="I165" s="1"/>
      <c r="J165" s="1"/>
      <c r="K165" s="1"/>
      <c r="L165" s="53" t="str">
        <f t="shared" si="2"/>
        <v/>
      </c>
      <c r="M165" s="54" t="str">
        <f t="shared" si="3"/>
        <v/>
      </c>
      <c r="N165" s="67" t="str">
        <f t="shared" si="5"/>
        <v/>
      </c>
      <c r="O165" s="56">
        <f t="shared" si="6"/>
        <v>0</v>
      </c>
      <c r="P165" s="56">
        <f t="shared" si="7"/>
        <v>0</v>
      </c>
      <c r="Q165" s="65">
        <f t="shared" si="4"/>
        <v>0</v>
      </c>
      <c r="R165" s="1"/>
    </row>
    <row r="166">
      <c r="A166" s="1"/>
      <c r="B166" s="1"/>
      <c r="C166" s="51"/>
      <c r="D166" s="50"/>
      <c r="E166" s="70" t="str">
        <f t="shared" si="1"/>
        <v/>
      </c>
      <c r="F166" s="1"/>
      <c r="G166" s="1"/>
      <c r="H166" s="1"/>
      <c r="I166" s="1"/>
      <c r="J166" s="1"/>
      <c r="K166" s="1"/>
      <c r="L166" s="53" t="str">
        <f t="shared" si="2"/>
        <v/>
      </c>
      <c r="M166" s="54" t="str">
        <f t="shared" si="3"/>
        <v/>
      </c>
      <c r="N166" s="67" t="str">
        <f t="shared" si="5"/>
        <v/>
      </c>
      <c r="O166" s="56">
        <f t="shared" si="6"/>
        <v>0</v>
      </c>
      <c r="P166" s="56">
        <f t="shared" si="7"/>
        <v>0</v>
      </c>
      <c r="Q166" s="65">
        <f t="shared" si="4"/>
        <v>0</v>
      </c>
      <c r="R166" s="1"/>
    </row>
    <row r="167">
      <c r="A167" s="1"/>
      <c r="B167" s="1"/>
      <c r="C167" s="51"/>
      <c r="D167" s="50"/>
      <c r="E167" s="70" t="str">
        <f t="shared" si="1"/>
        <v/>
      </c>
      <c r="F167" s="1"/>
      <c r="G167" s="1"/>
      <c r="H167" s="1"/>
      <c r="I167" s="1"/>
      <c r="J167" s="1"/>
      <c r="K167" s="1"/>
      <c r="L167" s="53" t="str">
        <f t="shared" si="2"/>
        <v/>
      </c>
      <c r="M167" s="54" t="str">
        <f t="shared" si="3"/>
        <v/>
      </c>
      <c r="N167" s="81" t="str">
        <f t="shared" si="5"/>
        <v/>
      </c>
      <c r="O167" s="56">
        <f t="shared" si="6"/>
        <v>0</v>
      </c>
      <c r="P167" s="56">
        <f t="shared" si="7"/>
        <v>0</v>
      </c>
      <c r="Q167" s="65">
        <f t="shared" si="4"/>
        <v>0</v>
      </c>
      <c r="R167" s="1"/>
    </row>
    <row r="168">
      <c r="A168" s="1"/>
      <c r="B168" s="1"/>
      <c r="C168" s="51"/>
      <c r="D168" s="50"/>
      <c r="E168" s="70" t="str">
        <f t="shared" si="1"/>
        <v/>
      </c>
      <c r="F168" s="1"/>
      <c r="G168" s="1"/>
      <c r="H168" s="1"/>
      <c r="I168" s="1"/>
      <c r="J168" s="1"/>
      <c r="K168" s="1"/>
      <c r="L168" s="53" t="str">
        <f t="shared" si="2"/>
        <v/>
      </c>
      <c r="M168" s="54" t="str">
        <f t="shared" si="3"/>
        <v/>
      </c>
      <c r="N168" s="81" t="str">
        <f t="shared" si="5"/>
        <v/>
      </c>
      <c r="O168" s="56">
        <f t="shared" si="6"/>
        <v>0</v>
      </c>
      <c r="P168" s="56">
        <f t="shared" si="7"/>
        <v>0</v>
      </c>
      <c r="Q168" s="65">
        <f t="shared" si="4"/>
        <v>0</v>
      </c>
      <c r="R168" s="1"/>
    </row>
    <row r="169">
      <c r="A169" s="1"/>
      <c r="B169" s="1"/>
      <c r="C169" s="51"/>
      <c r="D169" s="50"/>
      <c r="E169" s="70" t="str">
        <f t="shared" si="1"/>
        <v/>
      </c>
      <c r="F169" s="1"/>
      <c r="G169" s="1"/>
      <c r="H169" s="1"/>
      <c r="I169" s="1"/>
      <c r="J169" s="1"/>
      <c r="K169" s="1"/>
      <c r="L169" s="53" t="str">
        <f t="shared" si="2"/>
        <v/>
      </c>
      <c r="M169" s="54" t="str">
        <f t="shared" si="3"/>
        <v/>
      </c>
      <c r="N169" s="81" t="str">
        <f t="shared" si="5"/>
        <v/>
      </c>
      <c r="O169" s="56">
        <f t="shared" si="6"/>
        <v>0</v>
      </c>
      <c r="P169" s="56">
        <f t="shared" si="7"/>
        <v>0</v>
      </c>
      <c r="Q169" s="65">
        <f t="shared" si="4"/>
        <v>0</v>
      </c>
      <c r="R169" s="1"/>
    </row>
    <row r="170">
      <c r="A170" s="1"/>
      <c r="B170" s="1"/>
      <c r="C170" s="51"/>
      <c r="D170" s="50"/>
      <c r="E170" s="70" t="str">
        <f t="shared" si="1"/>
        <v/>
      </c>
      <c r="F170" s="1"/>
      <c r="G170" s="1"/>
      <c r="H170" s="1"/>
      <c r="I170" s="1"/>
      <c r="J170" s="1"/>
      <c r="K170" s="1"/>
      <c r="L170" s="53" t="str">
        <f t="shared" si="2"/>
        <v/>
      </c>
      <c r="M170" s="54" t="str">
        <f t="shared" si="3"/>
        <v/>
      </c>
      <c r="N170" s="81" t="str">
        <f t="shared" si="5"/>
        <v/>
      </c>
      <c r="O170" s="56">
        <f t="shared" si="6"/>
        <v>0</v>
      </c>
      <c r="P170" s="56">
        <f t="shared" si="7"/>
        <v>0</v>
      </c>
      <c r="Q170" s="65">
        <f t="shared" si="4"/>
        <v>0</v>
      </c>
      <c r="R170" s="1"/>
    </row>
    <row r="171">
      <c r="A171" s="1"/>
      <c r="B171" s="1"/>
      <c r="C171" s="51"/>
      <c r="D171" s="50"/>
      <c r="E171" s="70" t="str">
        <f t="shared" si="1"/>
        <v/>
      </c>
      <c r="F171" s="1"/>
      <c r="G171" s="1"/>
      <c r="H171" s="1"/>
      <c r="I171" s="1"/>
      <c r="J171" s="1"/>
      <c r="K171" s="1"/>
      <c r="L171" s="53" t="str">
        <f t="shared" si="2"/>
        <v/>
      </c>
      <c r="M171" s="54" t="str">
        <f t="shared" si="3"/>
        <v/>
      </c>
      <c r="N171" s="81" t="str">
        <f t="shared" si="5"/>
        <v/>
      </c>
      <c r="O171" s="56">
        <f t="shared" si="6"/>
        <v>0</v>
      </c>
      <c r="P171" s="56">
        <f t="shared" si="7"/>
        <v>0</v>
      </c>
      <c r="Q171" s="65">
        <f t="shared" si="4"/>
        <v>0</v>
      </c>
      <c r="R171" s="1"/>
    </row>
    <row r="172">
      <c r="A172" s="1"/>
      <c r="B172" s="1"/>
      <c r="C172" s="51"/>
      <c r="D172" s="50"/>
      <c r="E172" s="70" t="str">
        <f t="shared" si="1"/>
        <v/>
      </c>
      <c r="F172" s="1"/>
      <c r="G172" s="1"/>
      <c r="H172" s="1"/>
      <c r="I172" s="1"/>
      <c r="J172" s="1"/>
      <c r="K172" s="1"/>
      <c r="L172" s="53" t="str">
        <f t="shared" si="2"/>
        <v/>
      </c>
      <c r="M172" s="54" t="str">
        <f t="shared" si="3"/>
        <v/>
      </c>
      <c r="N172" s="81" t="str">
        <f t="shared" si="5"/>
        <v/>
      </c>
      <c r="O172" s="56">
        <f t="shared" si="6"/>
        <v>0</v>
      </c>
      <c r="P172" s="56">
        <f t="shared" si="7"/>
        <v>0</v>
      </c>
      <c r="Q172" s="65">
        <f t="shared" si="4"/>
        <v>0</v>
      </c>
      <c r="R172" s="1"/>
    </row>
    <row r="173">
      <c r="A173" s="1"/>
      <c r="B173" s="1"/>
      <c r="C173" s="51"/>
      <c r="D173" s="50"/>
      <c r="E173" s="70" t="str">
        <f t="shared" si="1"/>
        <v/>
      </c>
      <c r="F173" s="1"/>
      <c r="G173" s="1"/>
      <c r="H173" s="1"/>
      <c r="I173" s="1"/>
      <c r="J173" s="1"/>
      <c r="K173" s="1"/>
      <c r="L173" s="53" t="str">
        <f t="shared" si="2"/>
        <v/>
      </c>
      <c r="M173" s="54" t="str">
        <f t="shared" si="3"/>
        <v/>
      </c>
      <c r="N173" s="81" t="str">
        <f t="shared" si="5"/>
        <v/>
      </c>
      <c r="O173" s="56">
        <f t="shared" si="6"/>
        <v>0</v>
      </c>
      <c r="P173" s="56">
        <f t="shared" si="7"/>
        <v>0</v>
      </c>
      <c r="Q173" s="65">
        <f t="shared" si="4"/>
        <v>0</v>
      </c>
      <c r="R173" s="1"/>
    </row>
    <row r="174">
      <c r="A174" s="1"/>
      <c r="B174" s="1"/>
      <c r="C174" s="51"/>
      <c r="D174" s="50"/>
      <c r="E174" s="70" t="str">
        <f t="shared" si="1"/>
        <v/>
      </c>
      <c r="F174" s="1"/>
      <c r="G174" s="1"/>
      <c r="H174" s="1"/>
      <c r="I174" s="1"/>
      <c r="J174" s="1"/>
      <c r="K174" s="1"/>
      <c r="L174" s="53" t="str">
        <f t="shared" si="2"/>
        <v/>
      </c>
      <c r="M174" s="54" t="str">
        <f t="shared" si="3"/>
        <v/>
      </c>
      <c r="N174" s="81" t="str">
        <f t="shared" si="5"/>
        <v/>
      </c>
      <c r="O174" s="56">
        <f t="shared" si="6"/>
        <v>0</v>
      </c>
      <c r="P174" s="56">
        <f t="shared" si="7"/>
        <v>0</v>
      </c>
      <c r="Q174" s="65">
        <f t="shared" si="4"/>
        <v>0</v>
      </c>
      <c r="R174" s="1"/>
    </row>
    <row r="175">
      <c r="A175" s="1"/>
      <c r="B175" s="1"/>
      <c r="C175" s="51"/>
      <c r="D175" s="50"/>
      <c r="E175" s="70" t="str">
        <f t="shared" si="1"/>
        <v/>
      </c>
      <c r="F175" s="1"/>
      <c r="G175" s="1"/>
      <c r="H175" s="1"/>
      <c r="I175" s="1"/>
      <c r="J175" s="1"/>
      <c r="K175" s="1"/>
      <c r="L175" s="53" t="str">
        <f t="shared" si="2"/>
        <v/>
      </c>
      <c r="M175" s="54" t="str">
        <f t="shared" si="3"/>
        <v/>
      </c>
      <c r="N175" s="81" t="str">
        <f t="shared" si="5"/>
        <v/>
      </c>
      <c r="O175" s="56">
        <f t="shared" si="6"/>
        <v>0</v>
      </c>
      <c r="P175" s="56">
        <f t="shared" si="7"/>
        <v>0</v>
      </c>
      <c r="Q175" s="65">
        <f t="shared" si="4"/>
        <v>0</v>
      </c>
      <c r="R175" s="1"/>
    </row>
    <row r="176">
      <c r="A176" s="1"/>
      <c r="B176" s="1"/>
      <c r="C176" s="51"/>
      <c r="D176" s="50"/>
      <c r="E176" s="70" t="str">
        <f t="shared" si="1"/>
        <v/>
      </c>
      <c r="F176" s="1"/>
      <c r="G176" s="1"/>
      <c r="H176" s="1"/>
      <c r="I176" s="1"/>
      <c r="J176" s="1"/>
      <c r="K176" s="1"/>
      <c r="L176" s="53" t="str">
        <f t="shared" si="2"/>
        <v/>
      </c>
      <c r="M176" s="54" t="str">
        <f t="shared" si="3"/>
        <v/>
      </c>
      <c r="N176" s="81" t="str">
        <f t="shared" si="5"/>
        <v/>
      </c>
      <c r="O176" s="56">
        <f t="shared" si="6"/>
        <v>0</v>
      </c>
      <c r="P176" s="56">
        <f t="shared" si="7"/>
        <v>0</v>
      </c>
      <c r="Q176" s="65">
        <f t="shared" si="4"/>
        <v>0</v>
      </c>
      <c r="R176" s="1"/>
    </row>
    <row r="177">
      <c r="A177" s="1"/>
      <c r="B177" s="1"/>
      <c r="C177" s="51"/>
      <c r="D177" s="50"/>
      <c r="E177" s="70" t="str">
        <f t="shared" si="1"/>
        <v/>
      </c>
      <c r="F177" s="1"/>
      <c r="G177" s="1"/>
      <c r="H177" s="1"/>
      <c r="I177" s="1"/>
      <c r="J177" s="1"/>
      <c r="K177" s="1"/>
      <c r="L177" s="53" t="str">
        <f t="shared" si="2"/>
        <v/>
      </c>
      <c r="M177" s="54" t="str">
        <f t="shared" si="3"/>
        <v/>
      </c>
      <c r="N177" s="81" t="str">
        <f t="shared" si="5"/>
        <v/>
      </c>
      <c r="O177" s="56">
        <f t="shared" si="6"/>
        <v>0</v>
      </c>
      <c r="P177" s="56">
        <f t="shared" si="7"/>
        <v>0</v>
      </c>
      <c r="Q177" s="65">
        <f t="shared" si="4"/>
        <v>0</v>
      </c>
      <c r="R177" s="1"/>
    </row>
    <row r="178">
      <c r="A178" s="1"/>
      <c r="B178" s="1"/>
      <c r="C178" s="51"/>
      <c r="D178" s="50"/>
      <c r="E178" s="70" t="str">
        <f t="shared" si="1"/>
        <v/>
      </c>
      <c r="F178" s="1"/>
      <c r="G178" s="1"/>
      <c r="H178" s="1"/>
      <c r="I178" s="1"/>
      <c r="J178" s="1"/>
      <c r="K178" s="1"/>
      <c r="L178" s="53" t="str">
        <f t="shared" si="2"/>
        <v/>
      </c>
      <c r="M178" s="54" t="str">
        <f t="shared" si="3"/>
        <v/>
      </c>
      <c r="N178" s="81" t="str">
        <f t="shared" si="5"/>
        <v/>
      </c>
      <c r="O178" s="56">
        <f t="shared" si="6"/>
        <v>0</v>
      </c>
      <c r="P178" s="56">
        <f t="shared" si="7"/>
        <v>0</v>
      </c>
      <c r="Q178" s="65">
        <f t="shared" si="4"/>
        <v>0</v>
      </c>
      <c r="R178" s="1"/>
    </row>
    <row r="179">
      <c r="A179" s="1"/>
      <c r="B179" s="1"/>
      <c r="C179" s="51"/>
      <c r="D179" s="50"/>
      <c r="E179" s="70" t="str">
        <f t="shared" si="1"/>
        <v/>
      </c>
      <c r="F179" s="1"/>
      <c r="G179" s="1"/>
      <c r="H179" s="1"/>
      <c r="I179" s="1"/>
      <c r="J179" s="1"/>
      <c r="K179" s="1"/>
      <c r="L179" s="53" t="str">
        <f t="shared" si="2"/>
        <v/>
      </c>
      <c r="M179" s="54" t="str">
        <f t="shared" si="3"/>
        <v/>
      </c>
      <c r="N179" s="81" t="str">
        <f t="shared" si="5"/>
        <v/>
      </c>
      <c r="O179" s="56">
        <f t="shared" si="6"/>
        <v>0</v>
      </c>
      <c r="P179" s="56">
        <f t="shared" si="7"/>
        <v>0</v>
      </c>
      <c r="Q179" s="65">
        <f t="shared" si="4"/>
        <v>0</v>
      </c>
      <c r="R179" s="1"/>
    </row>
    <row r="180">
      <c r="A180" s="1"/>
      <c r="B180" s="1"/>
      <c r="C180" s="51"/>
      <c r="D180" s="50"/>
      <c r="E180" s="70" t="str">
        <f t="shared" si="1"/>
        <v/>
      </c>
      <c r="F180" s="1"/>
      <c r="G180" s="1"/>
      <c r="H180" s="1"/>
      <c r="I180" s="1"/>
      <c r="J180" s="1"/>
      <c r="K180" s="1"/>
      <c r="L180" s="53" t="str">
        <f t="shared" si="2"/>
        <v/>
      </c>
      <c r="M180" s="54" t="str">
        <f t="shared" si="3"/>
        <v/>
      </c>
      <c r="N180" s="81" t="str">
        <f t="shared" si="5"/>
        <v/>
      </c>
      <c r="O180" s="56">
        <f t="shared" si="6"/>
        <v>0</v>
      </c>
      <c r="P180" s="56">
        <f t="shared" si="7"/>
        <v>0</v>
      </c>
      <c r="Q180" s="65">
        <f t="shared" si="4"/>
        <v>0</v>
      </c>
      <c r="R180" s="1"/>
    </row>
    <row r="181">
      <c r="A181" s="1"/>
      <c r="B181" s="1"/>
      <c r="C181" s="51"/>
      <c r="D181" s="50"/>
      <c r="E181" s="70" t="str">
        <f t="shared" si="1"/>
        <v/>
      </c>
      <c r="F181" s="1"/>
      <c r="G181" s="1"/>
      <c r="H181" s="1"/>
      <c r="I181" s="1"/>
      <c r="J181" s="1"/>
      <c r="K181" s="1"/>
      <c r="L181" s="53" t="str">
        <f t="shared" si="2"/>
        <v/>
      </c>
      <c r="M181" s="54" t="str">
        <f t="shared" si="3"/>
        <v/>
      </c>
      <c r="N181" s="81" t="str">
        <f t="shared" si="5"/>
        <v/>
      </c>
      <c r="O181" s="56">
        <f t="shared" si="6"/>
        <v>0</v>
      </c>
      <c r="P181" s="56">
        <f t="shared" si="7"/>
        <v>0</v>
      </c>
      <c r="Q181" s="65">
        <f t="shared" si="4"/>
        <v>0</v>
      </c>
      <c r="R181" s="1"/>
    </row>
    <row r="182">
      <c r="A182" s="1"/>
      <c r="B182" s="1"/>
      <c r="C182" s="51"/>
      <c r="D182" s="50"/>
      <c r="E182" s="70" t="str">
        <f t="shared" si="1"/>
        <v/>
      </c>
      <c r="F182" s="1"/>
      <c r="G182" s="1"/>
      <c r="H182" s="1"/>
      <c r="I182" s="1"/>
      <c r="J182" s="1"/>
      <c r="K182" s="1"/>
      <c r="L182" s="53" t="str">
        <f t="shared" si="2"/>
        <v/>
      </c>
      <c r="M182" s="54" t="str">
        <f t="shared" si="3"/>
        <v/>
      </c>
      <c r="N182" s="81" t="str">
        <f t="shared" si="5"/>
        <v/>
      </c>
      <c r="O182" s="56">
        <f t="shared" si="6"/>
        <v>0</v>
      </c>
      <c r="P182" s="56">
        <f t="shared" si="7"/>
        <v>0</v>
      </c>
      <c r="Q182" s="65">
        <f t="shared" si="4"/>
        <v>0</v>
      </c>
      <c r="R182" s="1"/>
    </row>
    <row r="183">
      <c r="A183" s="1"/>
      <c r="B183" s="1"/>
      <c r="C183" s="51"/>
      <c r="D183" s="50"/>
      <c r="E183" s="70" t="str">
        <f t="shared" si="1"/>
        <v/>
      </c>
      <c r="F183" s="1"/>
      <c r="G183" s="1"/>
      <c r="H183" s="1"/>
      <c r="I183" s="1"/>
      <c r="J183" s="1"/>
      <c r="K183" s="1"/>
      <c r="L183" s="53" t="str">
        <f t="shared" si="2"/>
        <v/>
      </c>
      <c r="M183" s="54" t="str">
        <f t="shared" si="3"/>
        <v/>
      </c>
      <c r="N183" s="81" t="str">
        <f t="shared" si="5"/>
        <v/>
      </c>
      <c r="O183" s="56">
        <f t="shared" si="6"/>
        <v>0</v>
      </c>
      <c r="P183" s="56">
        <f t="shared" si="7"/>
        <v>0</v>
      </c>
      <c r="Q183" s="65">
        <f t="shared" si="4"/>
        <v>0</v>
      </c>
      <c r="R183" s="1"/>
    </row>
    <row r="184">
      <c r="A184" s="1"/>
      <c r="B184" s="1"/>
      <c r="C184" s="51"/>
      <c r="D184" s="50"/>
      <c r="E184" s="70" t="str">
        <f t="shared" si="1"/>
        <v/>
      </c>
      <c r="F184" s="1"/>
      <c r="G184" s="1"/>
      <c r="H184" s="1"/>
      <c r="I184" s="1"/>
      <c r="J184" s="1"/>
      <c r="K184" s="1"/>
      <c r="L184" s="53" t="str">
        <f t="shared" si="2"/>
        <v/>
      </c>
      <c r="M184" s="54" t="str">
        <f t="shared" si="3"/>
        <v/>
      </c>
      <c r="N184" s="81" t="str">
        <f t="shared" si="5"/>
        <v/>
      </c>
      <c r="O184" s="56">
        <f t="shared" si="6"/>
        <v>0</v>
      </c>
      <c r="P184" s="56">
        <f t="shared" si="7"/>
        <v>0</v>
      </c>
      <c r="Q184" s="65">
        <f t="shared" si="4"/>
        <v>0</v>
      </c>
      <c r="R184" s="1"/>
    </row>
    <row r="185">
      <c r="A185" s="1"/>
      <c r="B185" s="1"/>
      <c r="C185" s="51"/>
      <c r="D185" s="50"/>
      <c r="E185" s="70" t="str">
        <f t="shared" si="1"/>
        <v/>
      </c>
      <c r="F185" s="1"/>
      <c r="G185" s="1"/>
      <c r="H185" s="1"/>
      <c r="I185" s="1"/>
      <c r="J185" s="1"/>
      <c r="K185" s="1"/>
      <c r="L185" s="53" t="str">
        <f t="shared" si="2"/>
        <v/>
      </c>
      <c r="M185" s="54" t="str">
        <f t="shared" si="3"/>
        <v/>
      </c>
      <c r="N185" s="81" t="str">
        <f t="shared" si="5"/>
        <v/>
      </c>
      <c r="O185" s="56">
        <f t="shared" si="6"/>
        <v>0</v>
      </c>
      <c r="P185" s="56">
        <f t="shared" si="7"/>
        <v>0</v>
      </c>
      <c r="Q185" s="65">
        <f t="shared" si="4"/>
        <v>0</v>
      </c>
      <c r="R185" s="1"/>
    </row>
    <row r="186">
      <c r="A186" s="1"/>
      <c r="B186" s="1"/>
      <c r="C186" s="51"/>
      <c r="D186" s="50"/>
      <c r="E186" s="70" t="str">
        <f t="shared" si="1"/>
        <v/>
      </c>
      <c r="F186" s="1"/>
      <c r="G186" s="1"/>
      <c r="H186" s="1"/>
      <c r="I186" s="1"/>
      <c r="J186" s="1"/>
      <c r="K186" s="1"/>
      <c r="L186" s="53" t="str">
        <f t="shared" si="2"/>
        <v/>
      </c>
      <c r="M186" s="54" t="str">
        <f t="shared" si="3"/>
        <v/>
      </c>
      <c r="N186" s="81" t="str">
        <f t="shared" si="5"/>
        <v/>
      </c>
      <c r="O186" s="56">
        <f t="shared" si="6"/>
        <v>0</v>
      </c>
      <c r="P186" s="56">
        <f t="shared" si="7"/>
        <v>0</v>
      </c>
      <c r="Q186" s="65">
        <f t="shared" si="4"/>
        <v>0</v>
      </c>
      <c r="R186" s="1"/>
    </row>
    <row r="187">
      <c r="A187" s="1"/>
      <c r="B187" s="1"/>
      <c r="C187" s="51"/>
      <c r="D187" s="50"/>
      <c r="E187" s="70" t="str">
        <f t="shared" si="1"/>
        <v/>
      </c>
      <c r="F187" s="1"/>
      <c r="G187" s="1"/>
      <c r="H187" s="1"/>
      <c r="I187" s="1"/>
      <c r="J187" s="1"/>
      <c r="K187" s="1"/>
      <c r="L187" s="53" t="str">
        <f t="shared" si="2"/>
        <v/>
      </c>
      <c r="M187" s="54" t="str">
        <f t="shared" si="3"/>
        <v/>
      </c>
      <c r="N187" s="81" t="str">
        <f t="shared" si="5"/>
        <v/>
      </c>
      <c r="O187" s="56">
        <f t="shared" si="6"/>
        <v>0</v>
      </c>
      <c r="P187" s="56">
        <f t="shared" si="7"/>
        <v>0</v>
      </c>
      <c r="Q187" s="65">
        <f t="shared" si="4"/>
        <v>0</v>
      </c>
      <c r="R187" s="1"/>
    </row>
    <row r="188">
      <c r="A188" s="1"/>
      <c r="B188" s="1"/>
      <c r="C188" s="51"/>
      <c r="D188" s="50"/>
      <c r="E188" s="70" t="str">
        <f t="shared" si="1"/>
        <v/>
      </c>
      <c r="F188" s="1"/>
      <c r="G188" s="1"/>
      <c r="H188" s="1"/>
      <c r="I188" s="1"/>
      <c r="J188" s="1"/>
      <c r="K188" s="1"/>
      <c r="L188" s="53" t="str">
        <f t="shared" si="2"/>
        <v/>
      </c>
      <c r="M188" s="54" t="str">
        <f t="shared" si="3"/>
        <v/>
      </c>
      <c r="N188" s="81" t="str">
        <f t="shared" si="5"/>
        <v/>
      </c>
      <c r="O188" s="56">
        <f t="shared" si="6"/>
        <v>0</v>
      </c>
      <c r="P188" s="56">
        <f t="shared" si="7"/>
        <v>0</v>
      </c>
      <c r="Q188" s="65">
        <f t="shared" si="4"/>
        <v>0</v>
      </c>
      <c r="R188" s="1"/>
    </row>
    <row r="189">
      <c r="A189" s="1"/>
      <c r="B189" s="1"/>
      <c r="C189" s="71"/>
      <c r="D189" s="50"/>
      <c r="E189" s="70" t="str">
        <f t="shared" si="1"/>
        <v/>
      </c>
      <c r="F189" s="1"/>
      <c r="G189" s="1"/>
      <c r="H189" s="1"/>
      <c r="I189" s="1"/>
      <c r="J189" s="1"/>
      <c r="K189" s="1"/>
      <c r="L189" s="53" t="str">
        <f t="shared" si="2"/>
        <v/>
      </c>
      <c r="M189" s="54" t="str">
        <f t="shared" si="3"/>
        <v/>
      </c>
      <c r="N189" s="81" t="str">
        <f t="shared" si="5"/>
        <v/>
      </c>
      <c r="O189" s="56">
        <f t="shared" si="6"/>
        <v>0</v>
      </c>
      <c r="P189" s="56">
        <f t="shared" si="7"/>
        <v>0</v>
      </c>
      <c r="Q189" s="65">
        <f t="shared" si="4"/>
        <v>0</v>
      </c>
      <c r="R189" s="1"/>
    </row>
    <row r="190">
      <c r="A190" s="1"/>
      <c r="B190" s="1"/>
      <c r="C190" s="51"/>
      <c r="D190" s="50"/>
      <c r="E190" s="70" t="str">
        <f t="shared" si="1"/>
        <v/>
      </c>
      <c r="F190" s="1"/>
      <c r="G190" s="1"/>
      <c r="H190" s="1"/>
      <c r="I190" s="1"/>
      <c r="J190" s="1"/>
      <c r="K190" s="1"/>
      <c r="L190" s="53" t="str">
        <f t="shared" si="2"/>
        <v/>
      </c>
      <c r="M190" s="54" t="str">
        <f t="shared" si="3"/>
        <v/>
      </c>
      <c r="N190" s="81" t="str">
        <f t="shared" si="5"/>
        <v/>
      </c>
      <c r="O190" s="56">
        <f t="shared" si="6"/>
        <v>0</v>
      </c>
      <c r="P190" s="56">
        <f t="shared" si="7"/>
        <v>0</v>
      </c>
      <c r="Q190" s="65">
        <f t="shared" si="4"/>
        <v>0</v>
      </c>
      <c r="R190" s="1"/>
    </row>
    <row r="191">
      <c r="A191" s="1"/>
      <c r="B191" s="1"/>
      <c r="C191" s="51"/>
      <c r="D191" s="50"/>
      <c r="E191" s="70" t="str">
        <f t="shared" si="1"/>
        <v/>
      </c>
      <c r="F191" s="1"/>
      <c r="G191" s="1"/>
      <c r="H191" s="1"/>
      <c r="I191" s="1"/>
      <c r="J191" s="1"/>
      <c r="K191" s="1"/>
      <c r="L191" s="53" t="str">
        <f t="shared" si="2"/>
        <v/>
      </c>
      <c r="M191" s="54" t="str">
        <f t="shared" si="3"/>
        <v/>
      </c>
      <c r="N191" s="81" t="str">
        <f t="shared" si="5"/>
        <v/>
      </c>
      <c r="O191" s="56">
        <f t="shared" si="6"/>
        <v>0</v>
      </c>
      <c r="P191" s="56">
        <f t="shared" si="7"/>
        <v>0</v>
      </c>
      <c r="Q191" s="65">
        <f t="shared" si="4"/>
        <v>0</v>
      </c>
      <c r="R191" s="1"/>
    </row>
    <row r="192">
      <c r="A192" s="1"/>
      <c r="B192" s="1"/>
      <c r="C192" s="51"/>
      <c r="D192" s="50"/>
      <c r="E192" s="70" t="str">
        <f t="shared" si="1"/>
        <v/>
      </c>
      <c r="F192" s="1"/>
      <c r="G192" s="1"/>
      <c r="H192" s="1"/>
      <c r="I192" s="1"/>
      <c r="J192" s="1"/>
      <c r="K192" s="1"/>
      <c r="L192" s="53" t="str">
        <f t="shared" si="2"/>
        <v/>
      </c>
      <c r="M192" s="54" t="str">
        <f t="shared" si="3"/>
        <v/>
      </c>
      <c r="N192" s="81" t="str">
        <f t="shared" si="5"/>
        <v/>
      </c>
      <c r="O192" s="56">
        <f t="shared" si="6"/>
        <v>0</v>
      </c>
      <c r="P192" s="56">
        <f t="shared" si="7"/>
        <v>0</v>
      </c>
      <c r="Q192" s="65">
        <f t="shared" si="4"/>
        <v>0</v>
      </c>
      <c r="R192" s="1"/>
    </row>
    <row r="193">
      <c r="A193" s="1"/>
      <c r="B193" s="1"/>
      <c r="C193" s="51"/>
      <c r="D193" s="50"/>
      <c r="E193" s="70" t="str">
        <f t="shared" si="1"/>
        <v/>
      </c>
      <c r="F193" s="1"/>
      <c r="G193" s="1"/>
      <c r="H193" s="1"/>
      <c r="I193" s="1"/>
      <c r="J193" s="1"/>
      <c r="K193" s="1"/>
      <c r="L193" s="53" t="str">
        <f t="shared" si="2"/>
        <v/>
      </c>
      <c r="M193" s="54" t="str">
        <f t="shared" si="3"/>
        <v/>
      </c>
      <c r="N193" s="81" t="str">
        <f t="shared" si="5"/>
        <v/>
      </c>
      <c r="O193" s="56">
        <f t="shared" si="6"/>
        <v>0</v>
      </c>
      <c r="P193" s="56">
        <f t="shared" si="7"/>
        <v>0</v>
      </c>
      <c r="Q193" s="65">
        <f t="shared" si="4"/>
        <v>0</v>
      </c>
      <c r="R193" s="1"/>
    </row>
    <row r="194">
      <c r="A194" s="1"/>
      <c r="B194" s="1"/>
      <c r="C194" s="71"/>
      <c r="D194" s="50"/>
      <c r="E194" s="70" t="str">
        <f t="shared" si="1"/>
        <v/>
      </c>
      <c r="F194" s="1"/>
      <c r="G194" s="1"/>
      <c r="H194" s="1"/>
      <c r="I194" s="1"/>
      <c r="J194" s="1"/>
      <c r="K194" s="1"/>
      <c r="L194" s="53" t="str">
        <f t="shared" si="2"/>
        <v/>
      </c>
      <c r="M194" s="54" t="str">
        <f t="shared" si="3"/>
        <v/>
      </c>
      <c r="N194" s="81" t="str">
        <f t="shared" si="5"/>
        <v/>
      </c>
      <c r="O194" s="56">
        <f t="shared" si="6"/>
        <v>0</v>
      </c>
      <c r="P194" s="56">
        <f t="shared" si="7"/>
        <v>0</v>
      </c>
      <c r="Q194" s="65">
        <f t="shared" si="4"/>
        <v>0</v>
      </c>
      <c r="R194" s="1"/>
    </row>
    <row r="195">
      <c r="A195" s="1"/>
      <c r="B195" s="1"/>
      <c r="C195" s="51"/>
      <c r="D195" s="50"/>
      <c r="E195" s="70" t="str">
        <f t="shared" si="1"/>
        <v/>
      </c>
      <c r="F195" s="1"/>
      <c r="G195" s="1"/>
      <c r="H195" s="1"/>
      <c r="I195" s="1"/>
      <c r="J195" s="1"/>
      <c r="K195" s="1"/>
      <c r="L195" s="53" t="str">
        <f t="shared" si="2"/>
        <v/>
      </c>
      <c r="M195" s="54" t="str">
        <f t="shared" si="3"/>
        <v/>
      </c>
      <c r="N195" s="81" t="str">
        <f t="shared" si="5"/>
        <v/>
      </c>
      <c r="O195" s="56">
        <f t="shared" si="6"/>
        <v>0</v>
      </c>
      <c r="P195" s="56">
        <f t="shared" si="7"/>
        <v>0</v>
      </c>
      <c r="Q195" s="65">
        <f t="shared" si="4"/>
        <v>0</v>
      </c>
      <c r="R195" s="1"/>
    </row>
    <row r="196">
      <c r="A196" s="1"/>
      <c r="B196" s="1"/>
      <c r="C196" s="51"/>
      <c r="D196" s="50"/>
      <c r="E196" s="70" t="str">
        <f t="shared" si="1"/>
        <v/>
      </c>
      <c r="F196" s="1"/>
      <c r="G196" s="1"/>
      <c r="H196" s="1"/>
      <c r="I196" s="1"/>
      <c r="J196" s="1"/>
      <c r="K196" s="1"/>
      <c r="L196" s="53" t="str">
        <f t="shared" si="2"/>
        <v/>
      </c>
      <c r="M196" s="54" t="str">
        <f t="shared" si="3"/>
        <v/>
      </c>
      <c r="N196" s="81" t="str">
        <f t="shared" si="5"/>
        <v/>
      </c>
      <c r="O196" s="56">
        <f t="shared" si="6"/>
        <v>0</v>
      </c>
      <c r="P196" s="56">
        <f t="shared" si="7"/>
        <v>0</v>
      </c>
      <c r="Q196" s="65">
        <f t="shared" si="4"/>
        <v>0</v>
      </c>
      <c r="R196" s="1"/>
    </row>
    <row r="197">
      <c r="A197" s="1"/>
      <c r="B197" s="1"/>
      <c r="C197" s="51"/>
      <c r="D197" s="50"/>
      <c r="E197" s="70" t="str">
        <f t="shared" si="1"/>
        <v/>
      </c>
      <c r="F197" s="1"/>
      <c r="G197" s="1"/>
      <c r="H197" s="1"/>
      <c r="I197" s="1"/>
      <c r="J197" s="1"/>
      <c r="K197" s="1"/>
      <c r="L197" s="53" t="str">
        <f t="shared" si="2"/>
        <v/>
      </c>
      <c r="M197" s="54" t="str">
        <f t="shared" si="3"/>
        <v/>
      </c>
      <c r="N197" s="81" t="str">
        <f t="shared" si="5"/>
        <v/>
      </c>
      <c r="O197" s="56">
        <f t="shared" si="6"/>
        <v>0</v>
      </c>
      <c r="P197" s="56">
        <f t="shared" si="7"/>
        <v>0</v>
      </c>
      <c r="Q197" s="65">
        <f t="shared" si="4"/>
        <v>0</v>
      </c>
      <c r="R197" s="1"/>
    </row>
    <row r="198">
      <c r="A198" s="1"/>
      <c r="B198" s="1"/>
      <c r="C198" s="51"/>
      <c r="D198" s="50"/>
      <c r="E198" s="70" t="str">
        <f t="shared" si="1"/>
        <v/>
      </c>
      <c r="F198" s="1"/>
      <c r="G198" s="1"/>
      <c r="H198" s="1"/>
      <c r="I198" s="1"/>
      <c r="J198" s="1"/>
      <c r="K198" s="1"/>
      <c r="L198" s="53" t="str">
        <f t="shared" si="2"/>
        <v/>
      </c>
      <c r="M198" s="54" t="str">
        <f t="shared" si="3"/>
        <v/>
      </c>
      <c r="N198" s="81" t="str">
        <f t="shared" si="5"/>
        <v/>
      </c>
      <c r="O198" s="56">
        <f t="shared" si="6"/>
        <v>0</v>
      </c>
      <c r="P198" s="56">
        <f t="shared" si="7"/>
        <v>0</v>
      </c>
      <c r="Q198" s="65">
        <f t="shared" si="4"/>
        <v>0</v>
      </c>
      <c r="R198" s="1"/>
    </row>
    <row r="199">
      <c r="A199" s="1"/>
      <c r="B199" s="1"/>
      <c r="C199" s="51"/>
      <c r="D199" s="50"/>
      <c r="E199" s="70" t="str">
        <f t="shared" si="1"/>
        <v/>
      </c>
      <c r="F199" s="1"/>
      <c r="G199" s="1"/>
      <c r="H199" s="1"/>
      <c r="I199" s="1"/>
      <c r="J199" s="1"/>
      <c r="K199" s="1"/>
      <c r="L199" s="53" t="str">
        <f t="shared" si="2"/>
        <v/>
      </c>
      <c r="M199" s="54" t="str">
        <f t="shared" si="3"/>
        <v/>
      </c>
      <c r="N199" s="81" t="str">
        <f t="shared" si="5"/>
        <v/>
      </c>
      <c r="O199" s="56">
        <f t="shared" si="6"/>
        <v>0</v>
      </c>
      <c r="P199" s="56">
        <f t="shared" si="7"/>
        <v>0</v>
      </c>
      <c r="Q199" s="65">
        <f t="shared" si="4"/>
        <v>0</v>
      </c>
      <c r="R199" s="1"/>
    </row>
    <row r="200">
      <c r="A200" s="1"/>
      <c r="B200" s="1"/>
      <c r="C200" s="51"/>
      <c r="D200" s="50"/>
      <c r="E200" s="70" t="str">
        <f t="shared" si="1"/>
        <v/>
      </c>
      <c r="F200" s="1"/>
      <c r="G200" s="1"/>
      <c r="H200" s="1"/>
      <c r="I200" s="1"/>
      <c r="J200" s="1"/>
      <c r="K200" s="1"/>
      <c r="L200" s="53" t="str">
        <f t="shared" si="2"/>
        <v/>
      </c>
      <c r="M200" s="54" t="str">
        <f t="shared" si="3"/>
        <v/>
      </c>
      <c r="N200" s="81" t="str">
        <f t="shared" si="5"/>
        <v/>
      </c>
      <c r="O200" s="56">
        <f t="shared" si="6"/>
        <v>0</v>
      </c>
      <c r="P200" s="56">
        <f t="shared" si="7"/>
        <v>0</v>
      </c>
      <c r="Q200" s="65">
        <f t="shared" si="4"/>
        <v>0</v>
      </c>
      <c r="R200" s="1"/>
    </row>
    <row r="201">
      <c r="A201" s="1"/>
      <c r="B201" s="1"/>
      <c r="C201" s="51"/>
      <c r="D201" s="50"/>
      <c r="E201" s="70" t="str">
        <f t="shared" si="1"/>
        <v/>
      </c>
      <c r="F201" s="1"/>
      <c r="G201" s="1"/>
      <c r="H201" s="1"/>
      <c r="I201" s="1"/>
      <c r="J201" s="1"/>
      <c r="K201" s="1"/>
      <c r="L201" s="53" t="str">
        <f t="shared" si="2"/>
        <v/>
      </c>
      <c r="M201" s="54" t="str">
        <f t="shared" si="3"/>
        <v/>
      </c>
      <c r="N201" s="81" t="str">
        <f t="shared" si="5"/>
        <v/>
      </c>
      <c r="O201" s="56">
        <f t="shared" si="6"/>
        <v>0</v>
      </c>
      <c r="P201" s="56">
        <f t="shared" si="7"/>
        <v>0</v>
      </c>
      <c r="Q201" s="65">
        <f t="shared" si="4"/>
        <v>0</v>
      </c>
      <c r="R201" s="1"/>
    </row>
    <row r="202">
      <c r="A202" s="1"/>
      <c r="B202" s="1"/>
      <c r="C202" s="51"/>
      <c r="D202" s="50"/>
      <c r="E202" s="70" t="str">
        <f t="shared" si="1"/>
        <v/>
      </c>
      <c r="F202" s="1"/>
      <c r="G202" s="1"/>
      <c r="H202" s="1"/>
      <c r="I202" s="1"/>
      <c r="J202" s="1"/>
      <c r="K202" s="1"/>
      <c r="L202" s="53" t="str">
        <f t="shared" si="2"/>
        <v/>
      </c>
      <c r="M202" s="54" t="str">
        <f t="shared" si="3"/>
        <v/>
      </c>
      <c r="N202" s="81" t="str">
        <f t="shared" si="5"/>
        <v/>
      </c>
      <c r="O202" s="56">
        <f t="shared" si="6"/>
        <v>0</v>
      </c>
      <c r="P202" s="56">
        <f t="shared" si="7"/>
        <v>0</v>
      </c>
      <c r="Q202" s="65">
        <f t="shared" si="4"/>
        <v>0</v>
      </c>
      <c r="R202" s="1"/>
    </row>
    <row r="203">
      <c r="A203" s="1"/>
      <c r="B203" s="1"/>
      <c r="C203" s="51"/>
      <c r="D203" s="50"/>
      <c r="E203" s="70" t="str">
        <f t="shared" si="1"/>
        <v/>
      </c>
      <c r="F203" s="1"/>
      <c r="G203" s="1"/>
      <c r="H203" s="1"/>
      <c r="I203" s="1"/>
      <c r="J203" s="1"/>
      <c r="K203" s="1"/>
      <c r="L203" s="53" t="str">
        <f t="shared" si="2"/>
        <v/>
      </c>
      <c r="M203" s="54" t="str">
        <f t="shared" si="3"/>
        <v/>
      </c>
      <c r="N203" s="81" t="str">
        <f t="shared" si="5"/>
        <v/>
      </c>
      <c r="O203" s="56">
        <f t="shared" si="6"/>
        <v>0</v>
      </c>
      <c r="P203" s="56">
        <f t="shared" si="7"/>
        <v>0</v>
      </c>
      <c r="Q203" s="65">
        <f t="shared" si="4"/>
        <v>0</v>
      </c>
      <c r="R203" s="1"/>
    </row>
    <row r="204">
      <c r="A204" s="1"/>
      <c r="B204" s="1"/>
      <c r="C204" s="51"/>
      <c r="D204" s="50"/>
      <c r="E204" s="70" t="str">
        <f t="shared" si="1"/>
        <v/>
      </c>
      <c r="F204" s="1"/>
      <c r="G204" s="1"/>
      <c r="H204" s="1"/>
      <c r="I204" s="1"/>
      <c r="J204" s="1"/>
      <c r="K204" s="1"/>
      <c r="L204" s="53" t="str">
        <f t="shared" si="2"/>
        <v/>
      </c>
      <c r="M204" s="54" t="str">
        <f t="shared" si="3"/>
        <v/>
      </c>
      <c r="N204" s="81" t="str">
        <f t="shared" si="5"/>
        <v/>
      </c>
      <c r="O204" s="56">
        <f t="shared" si="6"/>
        <v>0</v>
      </c>
      <c r="P204" s="56">
        <f t="shared" si="7"/>
        <v>0</v>
      </c>
      <c r="Q204" s="65">
        <f t="shared" si="4"/>
        <v>0</v>
      </c>
      <c r="R204" s="1"/>
    </row>
    <row r="205">
      <c r="A205" s="1"/>
      <c r="B205" s="1"/>
      <c r="C205" s="51"/>
      <c r="D205" s="50"/>
      <c r="E205" s="70" t="str">
        <f t="shared" si="1"/>
        <v/>
      </c>
      <c r="F205" s="1"/>
      <c r="G205" s="1"/>
      <c r="H205" s="1"/>
      <c r="I205" s="1"/>
      <c r="J205" s="1"/>
      <c r="K205" s="1"/>
      <c r="L205" s="53" t="str">
        <f t="shared" si="2"/>
        <v/>
      </c>
      <c r="M205" s="54" t="str">
        <f t="shared" si="3"/>
        <v/>
      </c>
      <c r="N205" s="81" t="str">
        <f t="shared" si="5"/>
        <v/>
      </c>
      <c r="O205" s="56">
        <f t="shared" si="6"/>
        <v>0</v>
      </c>
      <c r="P205" s="56">
        <f t="shared" si="7"/>
        <v>0</v>
      </c>
      <c r="Q205" s="65">
        <f t="shared" si="4"/>
        <v>0</v>
      </c>
      <c r="R205" s="1"/>
    </row>
    <row r="206">
      <c r="A206" s="1"/>
      <c r="B206" s="1"/>
      <c r="C206" s="51"/>
      <c r="D206" s="50"/>
      <c r="E206" s="70" t="str">
        <f t="shared" si="1"/>
        <v/>
      </c>
      <c r="F206" s="1"/>
      <c r="G206" s="1"/>
      <c r="H206" s="1"/>
      <c r="I206" s="1"/>
      <c r="J206" s="1"/>
      <c r="K206" s="1"/>
      <c r="L206" s="53" t="str">
        <f t="shared" si="2"/>
        <v/>
      </c>
      <c r="M206" s="54" t="str">
        <f t="shared" si="3"/>
        <v/>
      </c>
      <c r="N206" s="81" t="str">
        <f t="shared" si="5"/>
        <v/>
      </c>
      <c r="O206" s="56">
        <f t="shared" si="6"/>
        <v>0</v>
      </c>
      <c r="P206" s="56">
        <f t="shared" si="7"/>
        <v>0</v>
      </c>
      <c r="Q206" s="65">
        <f t="shared" si="4"/>
        <v>0</v>
      </c>
      <c r="R206" s="1"/>
    </row>
    <row r="207">
      <c r="A207" s="1"/>
      <c r="B207" s="1"/>
      <c r="C207" s="51"/>
      <c r="D207" s="50"/>
      <c r="E207" s="70" t="str">
        <f t="shared" si="1"/>
        <v/>
      </c>
      <c r="F207" s="1"/>
      <c r="G207" s="1"/>
      <c r="H207" s="1"/>
      <c r="I207" s="1"/>
      <c r="J207" s="1"/>
      <c r="K207" s="1"/>
      <c r="L207" s="53" t="str">
        <f t="shared" si="2"/>
        <v/>
      </c>
      <c r="M207" s="54" t="str">
        <f t="shared" si="3"/>
        <v/>
      </c>
      <c r="N207" s="81" t="str">
        <f t="shared" si="5"/>
        <v/>
      </c>
      <c r="O207" s="56">
        <f t="shared" si="6"/>
        <v>0</v>
      </c>
      <c r="P207" s="56">
        <f t="shared" si="7"/>
        <v>0</v>
      </c>
      <c r="Q207" s="65">
        <f t="shared" si="4"/>
        <v>0</v>
      </c>
      <c r="R207" s="1"/>
    </row>
    <row r="208">
      <c r="A208" s="1"/>
      <c r="B208" s="1"/>
      <c r="C208" s="51"/>
      <c r="D208" s="50"/>
      <c r="E208" s="70" t="str">
        <f t="shared" si="1"/>
        <v/>
      </c>
      <c r="F208" s="1"/>
      <c r="G208" s="1"/>
      <c r="H208" s="1"/>
      <c r="I208" s="1"/>
      <c r="J208" s="1"/>
      <c r="K208" s="1"/>
      <c r="L208" s="53" t="str">
        <f t="shared" si="2"/>
        <v/>
      </c>
      <c r="M208" s="54" t="str">
        <f t="shared" si="3"/>
        <v/>
      </c>
      <c r="N208" s="81" t="str">
        <f t="shared" si="5"/>
        <v/>
      </c>
      <c r="O208" s="56">
        <f t="shared" si="6"/>
        <v>0</v>
      </c>
      <c r="P208" s="56">
        <f t="shared" si="7"/>
        <v>0</v>
      </c>
      <c r="Q208" s="65">
        <f t="shared" si="4"/>
        <v>0</v>
      </c>
      <c r="R208" s="1"/>
    </row>
    <row r="209">
      <c r="A209" s="1"/>
      <c r="B209" s="1"/>
      <c r="C209" s="51"/>
      <c r="D209" s="50"/>
      <c r="E209" s="70" t="str">
        <f t="shared" si="1"/>
        <v/>
      </c>
      <c r="F209" s="1"/>
      <c r="G209" s="1"/>
      <c r="H209" s="1"/>
      <c r="I209" s="1"/>
      <c r="J209" s="1"/>
      <c r="K209" s="1"/>
      <c r="L209" s="53" t="str">
        <f t="shared" si="2"/>
        <v/>
      </c>
      <c r="M209" s="54" t="str">
        <f t="shared" si="3"/>
        <v/>
      </c>
      <c r="N209" s="81" t="str">
        <f t="shared" si="5"/>
        <v/>
      </c>
      <c r="O209" s="56">
        <f t="shared" si="6"/>
        <v>0</v>
      </c>
      <c r="P209" s="56">
        <f t="shared" si="7"/>
        <v>0</v>
      </c>
      <c r="Q209" s="65">
        <f t="shared" si="4"/>
        <v>0</v>
      </c>
      <c r="R209" s="1"/>
    </row>
    <row r="210">
      <c r="A210" s="1"/>
      <c r="B210" s="1"/>
      <c r="C210" s="51"/>
      <c r="D210" s="50"/>
      <c r="E210" s="70" t="str">
        <f t="shared" si="1"/>
        <v/>
      </c>
      <c r="F210" s="1"/>
      <c r="G210" s="1"/>
      <c r="H210" s="1"/>
      <c r="I210" s="1"/>
      <c r="J210" s="1"/>
      <c r="K210" s="1"/>
      <c r="L210" s="53" t="str">
        <f t="shared" si="2"/>
        <v/>
      </c>
      <c r="M210" s="54" t="str">
        <f t="shared" si="3"/>
        <v/>
      </c>
      <c r="N210" s="81" t="str">
        <f t="shared" si="5"/>
        <v/>
      </c>
      <c r="O210" s="56">
        <f t="shared" si="6"/>
        <v>0</v>
      </c>
      <c r="P210" s="56">
        <f t="shared" si="7"/>
        <v>0</v>
      </c>
      <c r="Q210" s="65">
        <f t="shared" si="4"/>
        <v>0</v>
      </c>
      <c r="R210" s="1"/>
    </row>
    <row r="211">
      <c r="A211" s="1"/>
      <c r="B211" s="1"/>
      <c r="C211" s="51"/>
      <c r="D211" s="50"/>
      <c r="E211" s="70" t="str">
        <f t="shared" si="1"/>
        <v/>
      </c>
      <c r="F211" s="1"/>
      <c r="G211" s="1"/>
      <c r="H211" s="1"/>
      <c r="I211" s="1"/>
      <c r="J211" s="1"/>
      <c r="K211" s="1"/>
      <c r="L211" s="53" t="str">
        <f t="shared" si="2"/>
        <v/>
      </c>
      <c r="M211" s="54" t="str">
        <f t="shared" si="3"/>
        <v/>
      </c>
      <c r="N211" s="81" t="str">
        <f t="shared" si="5"/>
        <v/>
      </c>
      <c r="O211" s="56">
        <f t="shared" si="6"/>
        <v>0</v>
      </c>
      <c r="P211" s="56">
        <f t="shared" si="7"/>
        <v>0</v>
      </c>
      <c r="Q211" s="65">
        <f t="shared" si="4"/>
        <v>0</v>
      </c>
      <c r="R211" s="1"/>
    </row>
    <row r="212">
      <c r="A212" s="1"/>
      <c r="B212" s="1"/>
      <c r="C212" s="51"/>
      <c r="D212" s="50"/>
      <c r="E212" s="70" t="str">
        <f t="shared" si="1"/>
        <v/>
      </c>
      <c r="F212" s="1"/>
      <c r="G212" s="1"/>
      <c r="H212" s="1"/>
      <c r="I212" s="1"/>
      <c r="J212" s="1"/>
      <c r="K212" s="1"/>
      <c r="L212" s="53" t="str">
        <f t="shared" si="2"/>
        <v/>
      </c>
      <c r="M212" s="54" t="str">
        <f t="shared" si="3"/>
        <v/>
      </c>
      <c r="N212" s="81" t="str">
        <f t="shared" si="5"/>
        <v/>
      </c>
      <c r="O212" s="56">
        <f t="shared" si="6"/>
        <v>0</v>
      </c>
      <c r="P212" s="56">
        <f t="shared" si="7"/>
        <v>0</v>
      </c>
      <c r="Q212" s="65">
        <f t="shared" si="4"/>
        <v>0</v>
      </c>
      <c r="R212" s="1"/>
    </row>
    <row r="213">
      <c r="A213" s="1"/>
      <c r="B213" s="1"/>
      <c r="C213" s="51"/>
      <c r="D213" s="50"/>
      <c r="E213" s="70" t="str">
        <f t="shared" si="1"/>
        <v/>
      </c>
      <c r="F213" s="1"/>
      <c r="G213" s="1"/>
      <c r="H213" s="1"/>
      <c r="I213" s="1"/>
      <c r="J213" s="1"/>
      <c r="K213" s="1"/>
      <c r="L213" s="53" t="str">
        <f t="shared" si="2"/>
        <v/>
      </c>
      <c r="M213" s="54" t="str">
        <f t="shared" si="3"/>
        <v/>
      </c>
      <c r="N213" s="81" t="str">
        <f t="shared" si="5"/>
        <v/>
      </c>
      <c r="O213" s="56">
        <f t="shared" si="6"/>
        <v>0</v>
      </c>
      <c r="P213" s="56">
        <f t="shared" si="7"/>
        <v>0</v>
      </c>
      <c r="Q213" s="65">
        <f t="shared" si="4"/>
        <v>0</v>
      </c>
      <c r="R213" s="1"/>
    </row>
    <row r="214">
      <c r="A214" s="1"/>
      <c r="B214" s="1"/>
      <c r="C214" s="51"/>
      <c r="D214" s="50"/>
      <c r="E214" s="70" t="str">
        <f t="shared" si="1"/>
        <v/>
      </c>
      <c r="F214" s="1"/>
      <c r="G214" s="1"/>
      <c r="H214" s="1"/>
      <c r="I214" s="1"/>
      <c r="J214" s="1"/>
      <c r="K214" s="1"/>
      <c r="L214" s="53" t="str">
        <f t="shared" si="2"/>
        <v/>
      </c>
      <c r="M214" s="54" t="str">
        <f t="shared" si="3"/>
        <v/>
      </c>
      <c r="N214" s="81" t="str">
        <f t="shared" si="5"/>
        <v/>
      </c>
      <c r="O214" s="56">
        <f t="shared" si="6"/>
        <v>0</v>
      </c>
      <c r="P214" s="56">
        <f t="shared" si="7"/>
        <v>0</v>
      </c>
      <c r="Q214" s="65">
        <f t="shared" si="4"/>
        <v>0</v>
      </c>
      <c r="R214" s="1"/>
    </row>
    <row r="215">
      <c r="A215" s="1"/>
      <c r="B215" s="1"/>
      <c r="C215" s="51"/>
      <c r="D215" s="50"/>
      <c r="E215" s="70" t="str">
        <f t="shared" si="1"/>
        <v/>
      </c>
      <c r="F215" s="1"/>
      <c r="G215" s="1"/>
      <c r="H215" s="1"/>
      <c r="I215" s="1"/>
      <c r="J215" s="1"/>
      <c r="K215" s="1"/>
      <c r="L215" s="53" t="str">
        <f t="shared" si="2"/>
        <v/>
      </c>
      <c r="M215" s="54" t="str">
        <f t="shared" si="3"/>
        <v/>
      </c>
      <c r="N215" s="81" t="str">
        <f t="shared" si="5"/>
        <v/>
      </c>
      <c r="O215" s="56">
        <f t="shared" si="6"/>
        <v>0</v>
      </c>
      <c r="P215" s="56">
        <f t="shared" si="7"/>
        <v>0</v>
      </c>
      <c r="Q215" s="65">
        <f t="shared" si="4"/>
        <v>0</v>
      </c>
      <c r="R215" s="1"/>
    </row>
    <row r="216">
      <c r="A216" s="1"/>
      <c r="B216" s="1"/>
      <c r="C216" s="51"/>
      <c r="D216" s="50"/>
      <c r="E216" s="70" t="str">
        <f t="shared" si="1"/>
        <v/>
      </c>
      <c r="F216" s="1"/>
      <c r="G216" s="1"/>
      <c r="H216" s="1"/>
      <c r="I216" s="1"/>
      <c r="J216" s="1"/>
      <c r="K216" s="1"/>
      <c r="L216" s="53" t="str">
        <f t="shared" si="2"/>
        <v/>
      </c>
      <c r="M216" s="54" t="str">
        <f t="shared" si="3"/>
        <v/>
      </c>
      <c r="N216" s="81" t="str">
        <f t="shared" si="5"/>
        <v/>
      </c>
      <c r="O216" s="56">
        <f t="shared" si="6"/>
        <v>0</v>
      </c>
      <c r="P216" s="56">
        <f t="shared" si="7"/>
        <v>0</v>
      </c>
      <c r="Q216" s="65">
        <f t="shared" si="4"/>
        <v>0</v>
      </c>
      <c r="R216" s="1"/>
    </row>
    <row r="217">
      <c r="A217" s="1"/>
      <c r="B217" s="1"/>
      <c r="C217" s="51"/>
      <c r="D217" s="50"/>
      <c r="E217" s="70" t="str">
        <f t="shared" si="1"/>
        <v/>
      </c>
      <c r="F217" s="1"/>
      <c r="G217" s="1"/>
      <c r="H217" s="1"/>
      <c r="I217" s="1"/>
      <c r="J217" s="1"/>
      <c r="K217" s="1"/>
      <c r="L217" s="53" t="str">
        <f t="shared" si="2"/>
        <v/>
      </c>
      <c r="M217" s="54" t="str">
        <f t="shared" si="3"/>
        <v/>
      </c>
      <c r="N217" s="81" t="str">
        <f t="shared" si="5"/>
        <v/>
      </c>
      <c r="O217" s="56">
        <f t="shared" si="6"/>
        <v>0</v>
      </c>
      <c r="P217" s="56">
        <f t="shared" si="7"/>
        <v>0</v>
      </c>
      <c r="Q217" s="65">
        <f t="shared" si="4"/>
        <v>0</v>
      </c>
      <c r="R217" s="1"/>
    </row>
    <row r="218">
      <c r="A218" s="1"/>
      <c r="B218" s="1"/>
      <c r="C218" s="51"/>
      <c r="D218" s="50"/>
      <c r="E218" s="70" t="str">
        <f t="shared" si="1"/>
        <v/>
      </c>
      <c r="F218" s="1"/>
      <c r="G218" s="1"/>
      <c r="H218" s="1"/>
      <c r="I218" s="1"/>
      <c r="J218" s="1"/>
      <c r="K218" s="1"/>
      <c r="L218" s="53" t="str">
        <f t="shared" si="2"/>
        <v/>
      </c>
      <c r="M218" s="54" t="str">
        <f t="shared" si="3"/>
        <v/>
      </c>
      <c r="N218" s="81" t="str">
        <f t="shared" si="5"/>
        <v/>
      </c>
      <c r="O218" s="56">
        <f t="shared" si="6"/>
        <v>0</v>
      </c>
      <c r="P218" s="56">
        <f t="shared" si="7"/>
        <v>0</v>
      </c>
      <c r="Q218" s="65">
        <f t="shared" si="4"/>
        <v>0</v>
      </c>
      <c r="R218" s="1"/>
    </row>
    <row r="219">
      <c r="A219" s="1"/>
      <c r="B219" s="1"/>
      <c r="C219" s="51"/>
      <c r="D219" s="50"/>
      <c r="E219" s="70" t="str">
        <f t="shared" si="1"/>
        <v/>
      </c>
      <c r="F219" s="1"/>
      <c r="G219" s="1"/>
      <c r="H219" s="1"/>
      <c r="I219" s="1"/>
      <c r="J219" s="1"/>
      <c r="K219" s="1"/>
      <c r="L219" s="53" t="str">
        <f t="shared" si="2"/>
        <v/>
      </c>
      <c r="M219" s="54" t="str">
        <f t="shared" si="3"/>
        <v/>
      </c>
      <c r="N219" s="81" t="str">
        <f t="shared" si="5"/>
        <v/>
      </c>
      <c r="O219" s="56">
        <f t="shared" si="6"/>
        <v>0</v>
      </c>
      <c r="P219" s="56">
        <f t="shared" si="7"/>
        <v>0</v>
      </c>
      <c r="Q219" s="65">
        <f t="shared" si="4"/>
        <v>0</v>
      </c>
      <c r="R219" s="1"/>
    </row>
    <row r="220">
      <c r="A220" s="1"/>
      <c r="B220" s="1"/>
      <c r="C220" s="51"/>
      <c r="D220" s="50"/>
      <c r="E220" s="70" t="str">
        <f t="shared" si="1"/>
        <v/>
      </c>
      <c r="F220" s="1"/>
      <c r="G220" s="1"/>
      <c r="H220" s="1"/>
      <c r="I220" s="1"/>
      <c r="J220" s="1"/>
      <c r="K220" s="1"/>
      <c r="L220" s="53" t="str">
        <f t="shared" si="2"/>
        <v/>
      </c>
      <c r="M220" s="54" t="str">
        <f t="shared" si="3"/>
        <v/>
      </c>
      <c r="N220" s="81" t="str">
        <f t="shared" si="5"/>
        <v/>
      </c>
      <c r="O220" s="56">
        <f t="shared" si="6"/>
        <v>0</v>
      </c>
      <c r="P220" s="56">
        <f t="shared" si="7"/>
        <v>0</v>
      </c>
      <c r="Q220" s="65">
        <f t="shared" si="4"/>
        <v>0</v>
      </c>
      <c r="R220" s="1"/>
    </row>
    <row r="221">
      <c r="A221" s="1"/>
      <c r="B221" s="1"/>
      <c r="C221" s="51"/>
      <c r="D221" s="50"/>
      <c r="E221" s="70" t="str">
        <f t="shared" si="1"/>
        <v/>
      </c>
      <c r="F221" s="1"/>
      <c r="G221" s="1"/>
      <c r="H221" s="1"/>
      <c r="I221" s="1"/>
      <c r="J221" s="1"/>
      <c r="K221" s="1"/>
      <c r="L221" s="53" t="str">
        <f t="shared" si="2"/>
        <v/>
      </c>
      <c r="M221" s="54" t="str">
        <f t="shared" si="3"/>
        <v/>
      </c>
      <c r="N221" s="81" t="str">
        <f t="shared" si="5"/>
        <v/>
      </c>
      <c r="O221" s="56">
        <f t="shared" si="6"/>
        <v>0</v>
      </c>
      <c r="P221" s="56">
        <f t="shared" si="7"/>
        <v>0</v>
      </c>
      <c r="Q221" s="65">
        <f t="shared" si="4"/>
        <v>0</v>
      </c>
      <c r="R221" s="1"/>
    </row>
    <row r="222">
      <c r="A222" s="1"/>
      <c r="B222" s="1"/>
      <c r="C222" s="51"/>
      <c r="D222" s="50"/>
      <c r="E222" s="70" t="str">
        <f t="shared" si="1"/>
        <v/>
      </c>
      <c r="F222" s="1"/>
      <c r="G222" s="1"/>
      <c r="H222" s="1"/>
      <c r="I222" s="1"/>
      <c r="J222" s="1"/>
      <c r="K222" s="1"/>
      <c r="L222" s="53" t="str">
        <f t="shared" si="2"/>
        <v/>
      </c>
      <c r="M222" s="54" t="str">
        <f t="shared" si="3"/>
        <v/>
      </c>
      <c r="N222" s="81" t="str">
        <f t="shared" si="5"/>
        <v/>
      </c>
      <c r="O222" s="56">
        <f t="shared" si="6"/>
        <v>0</v>
      </c>
      <c r="P222" s="56">
        <f t="shared" si="7"/>
        <v>0</v>
      </c>
      <c r="Q222" s="65">
        <f t="shared" si="4"/>
        <v>0</v>
      </c>
      <c r="R222" s="1"/>
    </row>
    <row r="223">
      <c r="A223" s="1"/>
      <c r="B223" s="1"/>
      <c r="C223" s="51"/>
      <c r="D223" s="50"/>
      <c r="E223" s="70" t="str">
        <f t="shared" si="1"/>
        <v/>
      </c>
      <c r="F223" s="1"/>
      <c r="G223" s="1"/>
      <c r="H223" s="1"/>
      <c r="I223" s="1"/>
      <c r="J223" s="1"/>
      <c r="K223" s="1"/>
      <c r="L223" s="53" t="str">
        <f t="shared" si="2"/>
        <v/>
      </c>
      <c r="M223" s="54" t="str">
        <f t="shared" si="3"/>
        <v/>
      </c>
      <c r="N223" s="81" t="str">
        <f t="shared" si="5"/>
        <v/>
      </c>
      <c r="O223" s="56">
        <f t="shared" si="6"/>
        <v>0</v>
      </c>
      <c r="P223" s="56">
        <f t="shared" si="7"/>
        <v>0</v>
      </c>
      <c r="Q223" s="65">
        <f t="shared" si="4"/>
        <v>0</v>
      </c>
      <c r="R223" s="1"/>
    </row>
    <row r="224">
      <c r="A224" s="1"/>
      <c r="B224" s="1"/>
      <c r="C224" s="51"/>
      <c r="D224" s="50"/>
      <c r="E224" s="70" t="str">
        <f t="shared" si="1"/>
        <v/>
      </c>
      <c r="F224" s="1"/>
      <c r="G224" s="1"/>
      <c r="H224" s="1"/>
      <c r="I224" s="1"/>
      <c r="J224" s="1"/>
      <c r="K224" s="1"/>
      <c r="L224" s="53" t="str">
        <f t="shared" si="2"/>
        <v/>
      </c>
      <c r="M224" s="54" t="str">
        <f t="shared" si="3"/>
        <v/>
      </c>
      <c r="N224" s="81" t="str">
        <f t="shared" si="5"/>
        <v/>
      </c>
      <c r="O224" s="56">
        <f t="shared" si="6"/>
        <v>0</v>
      </c>
      <c r="P224" s="56">
        <f t="shared" si="7"/>
        <v>0</v>
      </c>
      <c r="Q224" s="65">
        <f t="shared" si="4"/>
        <v>0</v>
      </c>
      <c r="R224" s="1"/>
    </row>
    <row r="225">
      <c r="A225" s="1"/>
      <c r="B225" s="1"/>
      <c r="C225" s="51"/>
      <c r="D225" s="50"/>
      <c r="E225" s="70" t="str">
        <f t="shared" si="1"/>
        <v/>
      </c>
      <c r="F225" s="1"/>
      <c r="G225" s="1"/>
      <c r="H225" s="1"/>
      <c r="I225" s="1"/>
      <c r="J225" s="1"/>
      <c r="K225" s="1"/>
      <c r="L225" s="53" t="str">
        <f t="shared" si="2"/>
        <v/>
      </c>
      <c r="M225" s="54" t="str">
        <f t="shared" si="3"/>
        <v/>
      </c>
      <c r="N225" s="81" t="str">
        <f t="shared" si="5"/>
        <v/>
      </c>
      <c r="O225" s="56">
        <f t="shared" si="6"/>
        <v>0</v>
      </c>
      <c r="P225" s="56">
        <f t="shared" si="7"/>
        <v>0</v>
      </c>
      <c r="Q225" s="65">
        <f t="shared" si="4"/>
        <v>0</v>
      </c>
      <c r="R225" s="1"/>
    </row>
    <row r="226">
      <c r="A226" s="1"/>
      <c r="B226" s="1"/>
      <c r="C226" s="51"/>
      <c r="D226" s="50"/>
      <c r="E226" s="70" t="str">
        <f t="shared" si="1"/>
        <v/>
      </c>
      <c r="F226" s="1"/>
      <c r="G226" s="1"/>
      <c r="H226" s="1"/>
      <c r="I226" s="1"/>
      <c r="J226" s="1"/>
      <c r="K226" s="1"/>
      <c r="L226" s="53" t="str">
        <f t="shared" si="2"/>
        <v/>
      </c>
      <c r="M226" s="54" t="str">
        <f t="shared" si="3"/>
        <v/>
      </c>
      <c r="N226" s="81" t="str">
        <f t="shared" si="5"/>
        <v/>
      </c>
      <c r="O226" s="56">
        <f t="shared" si="6"/>
        <v>0</v>
      </c>
      <c r="P226" s="56">
        <f t="shared" si="7"/>
        <v>0</v>
      </c>
      <c r="Q226" s="65">
        <f t="shared" si="4"/>
        <v>0</v>
      </c>
      <c r="R226" s="1"/>
    </row>
    <row r="227">
      <c r="A227" s="1"/>
      <c r="B227" s="1"/>
      <c r="C227" s="51"/>
      <c r="D227" s="50"/>
      <c r="E227" s="70" t="str">
        <f t="shared" si="1"/>
        <v/>
      </c>
      <c r="F227" s="1"/>
      <c r="G227" s="1"/>
      <c r="H227" s="1"/>
      <c r="I227" s="1"/>
      <c r="J227" s="1"/>
      <c r="K227" s="1"/>
      <c r="L227" s="53" t="str">
        <f t="shared" si="2"/>
        <v/>
      </c>
      <c r="M227" s="54" t="str">
        <f t="shared" si="3"/>
        <v/>
      </c>
      <c r="N227" s="81" t="str">
        <f t="shared" si="5"/>
        <v/>
      </c>
      <c r="O227" s="56">
        <f t="shared" si="6"/>
        <v>0</v>
      </c>
      <c r="P227" s="56">
        <f t="shared" si="7"/>
        <v>0</v>
      </c>
      <c r="Q227" s="65">
        <f t="shared" si="4"/>
        <v>0</v>
      </c>
      <c r="R227" s="1"/>
    </row>
    <row r="228">
      <c r="A228" s="1"/>
      <c r="B228" s="1"/>
      <c r="C228" s="51"/>
      <c r="D228" s="50"/>
      <c r="E228" s="70" t="str">
        <f t="shared" si="1"/>
        <v/>
      </c>
      <c r="F228" s="1"/>
      <c r="G228" s="1"/>
      <c r="H228" s="1"/>
      <c r="I228" s="1"/>
      <c r="J228" s="1"/>
      <c r="K228" s="1"/>
      <c r="L228" s="53" t="str">
        <f t="shared" si="2"/>
        <v/>
      </c>
      <c r="M228" s="54" t="str">
        <f t="shared" si="3"/>
        <v/>
      </c>
      <c r="N228" s="81" t="str">
        <f t="shared" si="5"/>
        <v/>
      </c>
      <c r="O228" s="56">
        <f t="shared" si="6"/>
        <v>0</v>
      </c>
      <c r="P228" s="56">
        <f t="shared" si="7"/>
        <v>0</v>
      </c>
      <c r="Q228" s="65">
        <f t="shared" si="4"/>
        <v>0</v>
      </c>
      <c r="R228" s="1"/>
    </row>
    <row r="229">
      <c r="A229" s="1"/>
      <c r="B229" s="1"/>
      <c r="C229" s="51"/>
      <c r="D229" s="50"/>
      <c r="E229" s="70" t="str">
        <f t="shared" si="1"/>
        <v/>
      </c>
      <c r="F229" s="1"/>
      <c r="G229" s="1"/>
      <c r="H229" s="1"/>
      <c r="I229" s="1"/>
      <c r="J229" s="1"/>
      <c r="K229" s="1"/>
      <c r="L229" s="53" t="str">
        <f t="shared" si="2"/>
        <v/>
      </c>
      <c r="M229" s="54" t="str">
        <f t="shared" si="3"/>
        <v/>
      </c>
      <c r="N229" s="81" t="str">
        <f t="shared" si="5"/>
        <v/>
      </c>
      <c r="O229" s="56">
        <f t="shared" si="6"/>
        <v>0</v>
      </c>
      <c r="P229" s="56">
        <f t="shared" si="7"/>
        <v>0</v>
      </c>
      <c r="Q229" s="65">
        <f t="shared" si="4"/>
        <v>0</v>
      </c>
      <c r="R229" s="1"/>
    </row>
    <row r="230">
      <c r="A230" s="1"/>
      <c r="B230" s="1"/>
      <c r="C230" s="51"/>
      <c r="D230" s="50"/>
      <c r="E230" s="70" t="str">
        <f t="shared" si="1"/>
        <v/>
      </c>
      <c r="F230" s="1"/>
      <c r="G230" s="1"/>
      <c r="H230" s="1"/>
      <c r="I230" s="1"/>
      <c r="J230" s="1"/>
      <c r="K230" s="1"/>
      <c r="L230" s="53" t="str">
        <f t="shared" si="2"/>
        <v/>
      </c>
      <c r="M230" s="54" t="str">
        <f t="shared" si="3"/>
        <v/>
      </c>
      <c r="N230" s="81" t="str">
        <f t="shared" si="5"/>
        <v/>
      </c>
      <c r="O230" s="56">
        <f t="shared" si="6"/>
        <v>0</v>
      </c>
      <c r="P230" s="56">
        <f t="shared" si="7"/>
        <v>0</v>
      </c>
      <c r="Q230" s="65">
        <f t="shared" si="4"/>
        <v>0</v>
      </c>
      <c r="R230" s="1"/>
    </row>
    <row r="231">
      <c r="A231" s="1"/>
      <c r="B231" s="1"/>
      <c r="C231" s="51"/>
      <c r="D231" s="50"/>
      <c r="E231" s="70" t="str">
        <f t="shared" si="1"/>
        <v/>
      </c>
      <c r="F231" s="1"/>
      <c r="G231" s="1"/>
      <c r="H231" s="1"/>
      <c r="I231" s="1"/>
      <c r="J231" s="1"/>
      <c r="K231" s="1"/>
      <c r="L231" s="53" t="str">
        <f t="shared" si="2"/>
        <v/>
      </c>
      <c r="M231" s="54" t="str">
        <f t="shared" si="3"/>
        <v/>
      </c>
      <c r="N231" s="81" t="str">
        <f t="shared" si="5"/>
        <v/>
      </c>
      <c r="O231" s="56">
        <f t="shared" si="6"/>
        <v>0</v>
      </c>
      <c r="P231" s="56">
        <f t="shared" si="7"/>
        <v>0</v>
      </c>
      <c r="Q231" s="65">
        <f t="shared" si="4"/>
        <v>0</v>
      </c>
      <c r="R231" s="1"/>
    </row>
    <row r="232">
      <c r="A232" s="1"/>
      <c r="B232" s="1"/>
      <c r="C232" s="51"/>
      <c r="D232" s="50"/>
      <c r="E232" s="70" t="str">
        <f t="shared" si="1"/>
        <v/>
      </c>
      <c r="F232" s="1"/>
      <c r="G232" s="1"/>
      <c r="H232" s="1"/>
      <c r="I232" s="1"/>
      <c r="J232" s="1"/>
      <c r="K232" s="1"/>
      <c r="L232" s="53" t="str">
        <f t="shared" si="2"/>
        <v/>
      </c>
      <c r="M232" s="54" t="str">
        <f t="shared" si="3"/>
        <v/>
      </c>
      <c r="N232" s="81" t="str">
        <f t="shared" si="5"/>
        <v/>
      </c>
      <c r="O232" s="56">
        <f t="shared" si="6"/>
        <v>0</v>
      </c>
      <c r="P232" s="56">
        <f t="shared" si="7"/>
        <v>0</v>
      </c>
      <c r="Q232" s="65">
        <f t="shared" si="4"/>
        <v>0</v>
      </c>
      <c r="R232" s="1"/>
    </row>
    <row r="233">
      <c r="A233" s="1"/>
      <c r="B233" s="1"/>
      <c r="C233" s="51"/>
      <c r="D233" s="50"/>
      <c r="E233" s="70" t="str">
        <f t="shared" si="1"/>
        <v/>
      </c>
      <c r="F233" s="1"/>
      <c r="G233" s="1"/>
      <c r="H233" s="1"/>
      <c r="I233" s="1"/>
      <c r="J233" s="1"/>
      <c r="K233" s="1"/>
      <c r="L233" s="53" t="str">
        <f t="shared" si="2"/>
        <v/>
      </c>
      <c r="M233" s="54" t="str">
        <f t="shared" si="3"/>
        <v/>
      </c>
      <c r="N233" s="81" t="str">
        <f t="shared" si="5"/>
        <v/>
      </c>
      <c r="O233" s="56">
        <f t="shared" si="6"/>
        <v>0</v>
      </c>
      <c r="P233" s="56">
        <f t="shared" si="7"/>
        <v>0</v>
      </c>
      <c r="Q233" s="65">
        <f t="shared" si="4"/>
        <v>0</v>
      </c>
      <c r="R233" s="1"/>
    </row>
    <row r="234">
      <c r="A234" s="1"/>
      <c r="B234" s="1"/>
      <c r="C234" s="51"/>
      <c r="D234" s="50"/>
      <c r="E234" s="70" t="str">
        <f t="shared" si="1"/>
        <v/>
      </c>
      <c r="F234" s="1"/>
      <c r="G234" s="1"/>
      <c r="H234" s="1"/>
      <c r="I234" s="1"/>
      <c r="J234" s="1"/>
      <c r="K234" s="1"/>
      <c r="L234" s="53" t="str">
        <f t="shared" si="2"/>
        <v/>
      </c>
      <c r="M234" s="54" t="str">
        <f t="shared" si="3"/>
        <v/>
      </c>
      <c r="N234" s="81" t="str">
        <f t="shared" si="5"/>
        <v/>
      </c>
      <c r="O234" s="56">
        <f t="shared" si="6"/>
        <v>0</v>
      </c>
      <c r="P234" s="56">
        <f t="shared" si="7"/>
        <v>0</v>
      </c>
      <c r="Q234" s="65">
        <f t="shared" si="4"/>
        <v>0</v>
      </c>
      <c r="R234" s="1"/>
    </row>
    <row r="235">
      <c r="A235" s="1"/>
      <c r="B235" s="1"/>
      <c r="C235" s="51"/>
      <c r="D235" s="50"/>
      <c r="E235" s="70" t="str">
        <f t="shared" si="1"/>
        <v/>
      </c>
      <c r="F235" s="1"/>
      <c r="G235" s="1"/>
      <c r="H235" s="1"/>
      <c r="I235" s="1"/>
      <c r="J235" s="1"/>
      <c r="K235" s="1"/>
      <c r="L235" s="53" t="str">
        <f t="shared" si="2"/>
        <v/>
      </c>
      <c r="M235" s="54" t="str">
        <f t="shared" si="3"/>
        <v/>
      </c>
      <c r="N235" s="81" t="str">
        <f t="shared" si="5"/>
        <v/>
      </c>
      <c r="O235" s="56">
        <f t="shared" si="6"/>
        <v>0</v>
      </c>
      <c r="P235" s="56">
        <f t="shared" si="7"/>
        <v>0</v>
      </c>
      <c r="Q235" s="65">
        <f t="shared" si="4"/>
        <v>0</v>
      </c>
      <c r="R235" s="1"/>
    </row>
    <row r="236">
      <c r="A236" s="1"/>
      <c r="B236" s="1"/>
      <c r="C236" s="51"/>
      <c r="D236" s="50"/>
      <c r="E236" s="70" t="str">
        <f t="shared" si="1"/>
        <v/>
      </c>
      <c r="F236" s="1"/>
      <c r="G236" s="1"/>
      <c r="H236" s="1"/>
      <c r="I236" s="1"/>
      <c r="J236" s="1"/>
      <c r="K236" s="1"/>
      <c r="L236" s="53" t="str">
        <f t="shared" si="2"/>
        <v/>
      </c>
      <c r="M236" s="54" t="str">
        <f t="shared" si="3"/>
        <v/>
      </c>
      <c r="N236" s="81" t="str">
        <f t="shared" si="5"/>
        <v/>
      </c>
      <c r="O236" s="56">
        <f t="shared" si="6"/>
        <v>0</v>
      </c>
      <c r="P236" s="56">
        <f t="shared" si="7"/>
        <v>0</v>
      </c>
      <c r="Q236" s="65">
        <f t="shared" si="4"/>
        <v>0</v>
      </c>
      <c r="R236" s="1"/>
    </row>
    <row r="237">
      <c r="A237" s="1"/>
      <c r="B237" s="1"/>
      <c r="C237" s="51"/>
      <c r="D237" s="50"/>
      <c r="E237" s="70" t="str">
        <f t="shared" si="1"/>
        <v/>
      </c>
      <c r="F237" s="1"/>
      <c r="G237" s="1"/>
      <c r="H237" s="1"/>
      <c r="I237" s="1"/>
      <c r="J237" s="1"/>
      <c r="K237" s="1"/>
      <c r="L237" s="53" t="str">
        <f t="shared" si="2"/>
        <v/>
      </c>
      <c r="M237" s="54" t="str">
        <f t="shared" si="3"/>
        <v/>
      </c>
      <c r="N237" s="81" t="str">
        <f t="shared" si="5"/>
        <v/>
      </c>
      <c r="O237" s="56">
        <f t="shared" si="6"/>
        <v>0</v>
      </c>
      <c r="P237" s="56">
        <f t="shared" si="7"/>
        <v>0</v>
      </c>
      <c r="Q237" s="65">
        <f t="shared" si="4"/>
        <v>0</v>
      </c>
      <c r="R237" s="1"/>
    </row>
    <row r="238">
      <c r="A238" s="1"/>
      <c r="B238" s="1"/>
      <c r="C238" s="51"/>
      <c r="D238" s="50"/>
      <c r="E238" s="70" t="str">
        <f t="shared" si="1"/>
        <v/>
      </c>
      <c r="F238" s="1"/>
      <c r="G238" s="1"/>
      <c r="H238" s="1"/>
      <c r="I238" s="1"/>
      <c r="J238" s="1"/>
      <c r="K238" s="1"/>
      <c r="L238" s="53" t="str">
        <f t="shared" si="2"/>
        <v/>
      </c>
      <c r="M238" s="54" t="str">
        <f t="shared" si="3"/>
        <v/>
      </c>
      <c r="N238" s="81" t="str">
        <f t="shared" si="5"/>
        <v/>
      </c>
      <c r="O238" s="56">
        <f t="shared" si="6"/>
        <v>0</v>
      </c>
      <c r="P238" s="56">
        <f t="shared" si="7"/>
        <v>0</v>
      </c>
      <c r="Q238" s="65">
        <f t="shared" si="4"/>
        <v>0</v>
      </c>
      <c r="R238" s="1"/>
    </row>
    <row r="239">
      <c r="A239" s="1"/>
      <c r="B239" s="1"/>
      <c r="C239" s="51"/>
      <c r="D239" s="50"/>
      <c r="E239" s="70" t="str">
        <f t="shared" si="1"/>
        <v/>
      </c>
      <c r="F239" s="1"/>
      <c r="G239" s="1"/>
      <c r="H239" s="1"/>
      <c r="I239" s="1"/>
      <c r="J239" s="1"/>
      <c r="K239" s="1"/>
      <c r="L239" s="53" t="str">
        <f t="shared" si="2"/>
        <v/>
      </c>
      <c r="M239" s="54" t="str">
        <f t="shared" si="3"/>
        <v/>
      </c>
      <c r="N239" s="81" t="str">
        <f t="shared" si="5"/>
        <v/>
      </c>
      <c r="O239" s="56">
        <f t="shared" si="6"/>
        <v>0</v>
      </c>
      <c r="P239" s="56">
        <f t="shared" si="7"/>
        <v>0</v>
      </c>
      <c r="Q239" s="65">
        <f t="shared" si="4"/>
        <v>0</v>
      </c>
      <c r="R239" s="1"/>
    </row>
    <row r="240">
      <c r="A240" s="1"/>
      <c r="B240" s="1"/>
      <c r="C240" s="51"/>
      <c r="D240" s="50"/>
      <c r="E240" s="70" t="str">
        <f t="shared" si="1"/>
        <v/>
      </c>
      <c r="F240" s="1"/>
      <c r="G240" s="1"/>
      <c r="H240" s="1"/>
      <c r="I240" s="1"/>
      <c r="J240" s="1"/>
      <c r="K240" s="1"/>
      <c r="L240" s="53" t="str">
        <f t="shared" si="2"/>
        <v/>
      </c>
      <c r="M240" s="54" t="str">
        <f t="shared" si="3"/>
        <v/>
      </c>
      <c r="N240" s="81" t="str">
        <f t="shared" si="5"/>
        <v/>
      </c>
      <c r="O240" s="56">
        <f t="shared" si="6"/>
        <v>0</v>
      </c>
      <c r="P240" s="56">
        <f t="shared" si="7"/>
        <v>0</v>
      </c>
      <c r="Q240" s="65">
        <f t="shared" si="4"/>
        <v>0</v>
      </c>
      <c r="R240" s="1"/>
    </row>
    <row r="241">
      <c r="A241" s="1"/>
      <c r="B241" s="1"/>
      <c r="C241" s="51"/>
      <c r="D241" s="50"/>
      <c r="E241" s="70" t="str">
        <f t="shared" si="1"/>
        <v/>
      </c>
      <c r="F241" s="1"/>
      <c r="G241" s="1"/>
      <c r="H241" s="1"/>
      <c r="I241" s="1"/>
      <c r="J241" s="1"/>
      <c r="K241" s="1"/>
      <c r="L241" s="53" t="str">
        <f t="shared" si="2"/>
        <v/>
      </c>
      <c r="M241" s="54" t="str">
        <f t="shared" si="3"/>
        <v/>
      </c>
      <c r="N241" s="81" t="str">
        <f t="shared" si="5"/>
        <v/>
      </c>
      <c r="O241" s="56">
        <f t="shared" si="6"/>
        <v>0</v>
      </c>
      <c r="P241" s="56">
        <f t="shared" si="7"/>
        <v>0</v>
      </c>
      <c r="Q241" s="65">
        <f t="shared" si="4"/>
        <v>0</v>
      </c>
      <c r="R241" s="1"/>
    </row>
    <row r="242">
      <c r="A242" s="1"/>
      <c r="B242" s="1"/>
      <c r="C242" s="51"/>
      <c r="D242" s="50"/>
      <c r="E242" s="70" t="str">
        <f t="shared" si="1"/>
        <v/>
      </c>
      <c r="F242" s="1"/>
      <c r="G242" s="1"/>
      <c r="H242" s="1"/>
      <c r="I242" s="1"/>
      <c r="J242" s="1"/>
      <c r="K242" s="1"/>
      <c r="L242" s="53" t="str">
        <f t="shared" si="2"/>
        <v/>
      </c>
      <c r="M242" s="54" t="str">
        <f t="shared" si="3"/>
        <v/>
      </c>
      <c r="N242" s="81" t="str">
        <f t="shared" si="5"/>
        <v/>
      </c>
      <c r="O242" s="56">
        <f t="shared" si="6"/>
        <v>0</v>
      </c>
      <c r="P242" s="56">
        <f t="shared" si="7"/>
        <v>0</v>
      </c>
      <c r="Q242" s="65">
        <f t="shared" si="4"/>
        <v>0</v>
      </c>
      <c r="R242" s="1"/>
    </row>
    <row r="243">
      <c r="A243" s="1"/>
      <c r="B243" s="1"/>
      <c r="C243" s="51"/>
      <c r="D243" s="50"/>
      <c r="E243" s="70" t="str">
        <f t="shared" si="1"/>
        <v/>
      </c>
      <c r="F243" s="1"/>
      <c r="G243" s="1"/>
      <c r="H243" s="1"/>
      <c r="I243" s="1"/>
      <c r="J243" s="1"/>
      <c r="K243" s="1"/>
      <c r="L243" s="53" t="str">
        <f t="shared" si="2"/>
        <v/>
      </c>
      <c r="M243" s="54" t="str">
        <f t="shared" si="3"/>
        <v/>
      </c>
      <c r="N243" s="81" t="str">
        <f t="shared" si="5"/>
        <v/>
      </c>
      <c r="O243" s="56">
        <f t="shared" si="6"/>
        <v>0</v>
      </c>
      <c r="P243" s="56">
        <f t="shared" si="7"/>
        <v>0</v>
      </c>
      <c r="Q243" s="65">
        <f t="shared" si="4"/>
        <v>0</v>
      </c>
      <c r="R243" s="1"/>
    </row>
    <row r="244">
      <c r="A244" s="1"/>
      <c r="B244" s="1"/>
      <c r="C244" s="51"/>
      <c r="D244" s="50"/>
      <c r="E244" s="70" t="str">
        <f t="shared" si="1"/>
        <v/>
      </c>
      <c r="F244" s="1"/>
      <c r="G244" s="1"/>
      <c r="H244" s="1"/>
      <c r="I244" s="1"/>
      <c r="J244" s="1"/>
      <c r="K244" s="1"/>
      <c r="L244" s="53" t="str">
        <f t="shared" si="2"/>
        <v/>
      </c>
      <c r="M244" s="54" t="str">
        <f t="shared" si="3"/>
        <v/>
      </c>
      <c r="N244" s="81" t="str">
        <f t="shared" si="5"/>
        <v/>
      </c>
      <c r="O244" s="56">
        <f t="shared" si="6"/>
        <v>0</v>
      </c>
      <c r="P244" s="56">
        <f t="shared" si="7"/>
        <v>0</v>
      </c>
      <c r="Q244" s="65">
        <f t="shared" si="4"/>
        <v>0</v>
      </c>
      <c r="R244" s="1"/>
    </row>
    <row r="245">
      <c r="A245" s="1"/>
      <c r="B245" s="1"/>
      <c r="C245" s="51"/>
      <c r="D245" s="50"/>
      <c r="E245" s="70" t="str">
        <f t="shared" si="1"/>
        <v/>
      </c>
      <c r="F245" s="1"/>
      <c r="G245" s="1"/>
      <c r="H245" s="1"/>
      <c r="I245" s="1"/>
      <c r="J245" s="1"/>
      <c r="K245" s="1"/>
      <c r="L245" s="53" t="str">
        <f t="shared" si="2"/>
        <v/>
      </c>
      <c r="M245" s="54" t="str">
        <f t="shared" si="3"/>
        <v/>
      </c>
      <c r="N245" s="81" t="str">
        <f t="shared" si="5"/>
        <v/>
      </c>
      <c r="O245" s="56">
        <f t="shared" si="6"/>
        <v>0</v>
      </c>
      <c r="P245" s="56">
        <f t="shared" si="7"/>
        <v>0</v>
      </c>
      <c r="Q245" s="65">
        <f t="shared" si="4"/>
        <v>0</v>
      </c>
      <c r="R245" s="1"/>
    </row>
    <row r="246">
      <c r="A246" s="1"/>
      <c r="B246" s="1"/>
      <c r="C246" s="51"/>
      <c r="D246" s="50"/>
      <c r="E246" s="70" t="str">
        <f t="shared" si="1"/>
        <v/>
      </c>
      <c r="F246" s="1"/>
      <c r="G246" s="1"/>
      <c r="H246" s="1"/>
      <c r="I246" s="1"/>
      <c r="J246" s="1"/>
      <c r="K246" s="1"/>
      <c r="L246" s="53" t="str">
        <f t="shared" si="2"/>
        <v/>
      </c>
      <c r="M246" s="54" t="str">
        <f t="shared" si="3"/>
        <v/>
      </c>
      <c r="N246" s="81" t="str">
        <f t="shared" si="5"/>
        <v/>
      </c>
      <c r="O246" s="56">
        <f t="shared" si="6"/>
        <v>0</v>
      </c>
      <c r="P246" s="56">
        <f t="shared" si="7"/>
        <v>0</v>
      </c>
      <c r="Q246" s="65">
        <f t="shared" si="4"/>
        <v>0</v>
      </c>
      <c r="R246" s="1"/>
    </row>
    <row r="247">
      <c r="A247" s="1"/>
      <c r="B247" s="1"/>
      <c r="C247" s="51"/>
      <c r="D247" s="50"/>
      <c r="E247" s="70" t="str">
        <f t="shared" si="1"/>
        <v/>
      </c>
      <c r="F247" s="1"/>
      <c r="G247" s="1"/>
      <c r="H247" s="1"/>
      <c r="I247" s="1"/>
      <c r="J247" s="1"/>
      <c r="K247" s="1"/>
      <c r="L247" s="53" t="str">
        <f t="shared" si="2"/>
        <v/>
      </c>
      <c r="M247" s="54" t="str">
        <f t="shared" si="3"/>
        <v/>
      </c>
      <c r="N247" s="81" t="str">
        <f t="shared" si="5"/>
        <v/>
      </c>
      <c r="O247" s="56">
        <f t="shared" si="6"/>
        <v>0</v>
      </c>
      <c r="P247" s="56">
        <f t="shared" si="7"/>
        <v>0</v>
      </c>
      <c r="Q247" s="65">
        <f t="shared" si="4"/>
        <v>0</v>
      </c>
      <c r="R247" s="1"/>
    </row>
    <row r="248">
      <c r="A248" s="1"/>
      <c r="B248" s="1"/>
      <c r="C248" s="51"/>
      <c r="D248" s="50"/>
      <c r="E248" s="70" t="str">
        <f t="shared" si="1"/>
        <v/>
      </c>
      <c r="F248" s="1"/>
      <c r="G248" s="1"/>
      <c r="H248" s="1"/>
      <c r="I248" s="1"/>
      <c r="J248" s="1"/>
      <c r="K248" s="1"/>
      <c r="L248" s="53" t="str">
        <f t="shared" si="2"/>
        <v/>
      </c>
      <c r="M248" s="54" t="str">
        <f t="shared" si="3"/>
        <v/>
      </c>
      <c r="N248" s="81" t="str">
        <f t="shared" si="5"/>
        <v/>
      </c>
      <c r="O248" s="56">
        <f t="shared" si="6"/>
        <v>0</v>
      </c>
      <c r="P248" s="56">
        <f t="shared" si="7"/>
        <v>0</v>
      </c>
      <c r="Q248" s="65">
        <f t="shared" si="4"/>
        <v>0</v>
      </c>
      <c r="R248" s="1"/>
    </row>
    <row r="249">
      <c r="A249" s="1"/>
      <c r="B249" s="1"/>
      <c r="C249" s="51"/>
      <c r="D249" s="50"/>
      <c r="E249" s="70" t="str">
        <f t="shared" si="1"/>
        <v/>
      </c>
      <c r="F249" s="1"/>
      <c r="G249" s="1"/>
      <c r="H249" s="1"/>
      <c r="I249" s="1"/>
      <c r="J249" s="1"/>
      <c r="K249" s="1"/>
      <c r="L249" s="53" t="str">
        <f t="shared" si="2"/>
        <v/>
      </c>
      <c r="M249" s="54" t="str">
        <f t="shared" si="3"/>
        <v/>
      </c>
      <c r="N249" s="81" t="str">
        <f t="shared" si="5"/>
        <v/>
      </c>
      <c r="O249" s="56">
        <f t="shared" si="6"/>
        <v>0</v>
      </c>
      <c r="P249" s="56">
        <f t="shared" si="7"/>
        <v>0</v>
      </c>
      <c r="Q249" s="65">
        <f t="shared" si="4"/>
        <v>0</v>
      </c>
      <c r="R249" s="1"/>
    </row>
    <row r="250">
      <c r="A250" s="1"/>
      <c r="B250" s="1"/>
      <c r="C250" s="51"/>
      <c r="D250" s="50"/>
      <c r="E250" s="70" t="str">
        <f t="shared" si="1"/>
        <v/>
      </c>
      <c r="F250" s="1"/>
      <c r="G250" s="1"/>
      <c r="H250" s="1"/>
      <c r="I250" s="1"/>
      <c r="J250" s="1"/>
      <c r="K250" s="1"/>
      <c r="L250" s="53" t="str">
        <f t="shared" si="2"/>
        <v/>
      </c>
      <c r="M250" s="54" t="str">
        <f t="shared" si="3"/>
        <v/>
      </c>
      <c r="N250" s="81" t="str">
        <f t="shared" si="5"/>
        <v/>
      </c>
      <c r="O250" s="56">
        <f t="shared" si="6"/>
        <v>0</v>
      </c>
      <c r="P250" s="56">
        <f t="shared" si="7"/>
        <v>0</v>
      </c>
      <c r="Q250" s="65">
        <f t="shared" si="4"/>
        <v>0</v>
      </c>
      <c r="R250" s="1"/>
    </row>
    <row r="251">
      <c r="A251" s="1"/>
      <c r="B251" s="1"/>
      <c r="C251" s="51"/>
      <c r="D251" s="50"/>
      <c r="E251" s="70" t="str">
        <f t="shared" si="1"/>
        <v/>
      </c>
      <c r="F251" s="1"/>
      <c r="G251" s="1"/>
      <c r="H251" s="1"/>
      <c r="I251" s="1"/>
      <c r="J251" s="1"/>
      <c r="K251" s="1"/>
      <c r="L251" s="53" t="str">
        <f t="shared" si="2"/>
        <v/>
      </c>
      <c r="M251" s="54" t="str">
        <f t="shared" si="3"/>
        <v/>
      </c>
      <c r="N251" s="81" t="str">
        <f t="shared" si="5"/>
        <v/>
      </c>
      <c r="O251" s="56">
        <f t="shared" si="6"/>
        <v>0</v>
      </c>
      <c r="P251" s="56">
        <f t="shared" si="7"/>
        <v>0</v>
      </c>
      <c r="Q251" s="65">
        <f t="shared" si="4"/>
        <v>0</v>
      </c>
      <c r="R251" s="1"/>
    </row>
    <row r="252">
      <c r="A252" s="1"/>
      <c r="B252" s="1"/>
      <c r="C252" s="51"/>
      <c r="D252" s="50"/>
      <c r="E252" s="70" t="str">
        <f t="shared" si="1"/>
        <v/>
      </c>
      <c r="F252" s="1"/>
      <c r="G252" s="1"/>
      <c r="H252" s="1"/>
      <c r="I252" s="1"/>
      <c r="J252" s="1"/>
      <c r="K252" s="1"/>
      <c r="L252" s="53" t="str">
        <f t="shared" si="2"/>
        <v/>
      </c>
      <c r="M252" s="54" t="str">
        <f t="shared" si="3"/>
        <v/>
      </c>
      <c r="N252" s="81" t="str">
        <f t="shared" si="5"/>
        <v/>
      </c>
      <c r="O252" s="56">
        <f t="shared" si="6"/>
        <v>0</v>
      </c>
      <c r="P252" s="56">
        <f t="shared" si="7"/>
        <v>0</v>
      </c>
      <c r="Q252" s="65">
        <f t="shared" si="4"/>
        <v>0</v>
      </c>
      <c r="R252" s="1"/>
    </row>
    <row r="253">
      <c r="A253" s="1"/>
      <c r="B253" s="1"/>
      <c r="C253" s="51"/>
      <c r="D253" s="50"/>
      <c r="E253" s="70" t="str">
        <f t="shared" si="1"/>
        <v/>
      </c>
      <c r="F253" s="1"/>
      <c r="G253" s="1"/>
      <c r="H253" s="1"/>
      <c r="I253" s="1"/>
      <c r="J253" s="1"/>
      <c r="K253" s="1"/>
      <c r="L253" s="53" t="str">
        <f t="shared" si="2"/>
        <v/>
      </c>
      <c r="M253" s="54" t="str">
        <f t="shared" si="3"/>
        <v/>
      </c>
      <c r="N253" s="81" t="str">
        <f t="shared" si="5"/>
        <v/>
      </c>
      <c r="O253" s="56">
        <f t="shared" si="6"/>
        <v>0</v>
      </c>
      <c r="P253" s="56">
        <f t="shared" si="7"/>
        <v>0</v>
      </c>
      <c r="Q253" s="65">
        <f t="shared" si="4"/>
        <v>0</v>
      </c>
      <c r="R253" s="1"/>
    </row>
    <row r="254">
      <c r="A254" s="1"/>
      <c r="B254" s="1"/>
      <c r="C254" s="51"/>
      <c r="D254" s="50"/>
      <c r="E254" s="70" t="str">
        <f t="shared" si="1"/>
        <v/>
      </c>
      <c r="F254" s="1"/>
      <c r="G254" s="1"/>
      <c r="H254" s="1"/>
      <c r="I254" s="1"/>
      <c r="J254" s="1"/>
      <c r="K254" s="1"/>
      <c r="L254" s="53" t="str">
        <f t="shared" si="2"/>
        <v/>
      </c>
      <c r="M254" s="54" t="str">
        <f t="shared" si="3"/>
        <v/>
      </c>
      <c r="N254" s="81" t="str">
        <f t="shared" si="5"/>
        <v/>
      </c>
      <c r="O254" s="56">
        <f t="shared" si="6"/>
        <v>0</v>
      </c>
      <c r="P254" s="56">
        <f t="shared" si="7"/>
        <v>0</v>
      </c>
      <c r="Q254" s="65">
        <f t="shared" si="4"/>
        <v>0</v>
      </c>
      <c r="R254" s="1"/>
    </row>
    <row r="255">
      <c r="A255" s="1"/>
      <c r="B255" s="1"/>
      <c r="C255" s="51"/>
      <c r="D255" s="50"/>
      <c r="E255" s="70" t="str">
        <f t="shared" si="1"/>
        <v/>
      </c>
      <c r="F255" s="1"/>
      <c r="G255" s="1"/>
      <c r="H255" s="1"/>
      <c r="I255" s="1"/>
      <c r="J255" s="1"/>
      <c r="K255" s="1"/>
      <c r="L255" s="53" t="str">
        <f t="shared" si="2"/>
        <v/>
      </c>
      <c r="M255" s="54" t="str">
        <f t="shared" si="3"/>
        <v/>
      </c>
      <c r="N255" s="81" t="str">
        <f t="shared" si="5"/>
        <v/>
      </c>
      <c r="O255" s="56">
        <f t="shared" si="6"/>
        <v>0</v>
      </c>
      <c r="P255" s="56">
        <f t="shared" si="7"/>
        <v>0</v>
      </c>
      <c r="Q255" s="65">
        <f t="shared" si="4"/>
        <v>0</v>
      </c>
      <c r="R255" s="1"/>
    </row>
    <row r="256">
      <c r="A256" s="1"/>
      <c r="B256" s="1"/>
      <c r="C256" s="51"/>
      <c r="D256" s="50"/>
      <c r="E256" s="70" t="str">
        <f t="shared" si="1"/>
        <v/>
      </c>
      <c r="F256" s="1"/>
      <c r="G256" s="1"/>
      <c r="H256" s="1"/>
      <c r="I256" s="1"/>
      <c r="J256" s="1"/>
      <c r="K256" s="1"/>
      <c r="L256" s="53" t="str">
        <f t="shared" si="2"/>
        <v/>
      </c>
      <c r="M256" s="54" t="str">
        <f t="shared" si="3"/>
        <v/>
      </c>
      <c r="N256" s="81" t="str">
        <f t="shared" si="5"/>
        <v/>
      </c>
      <c r="O256" s="56">
        <f t="shared" si="6"/>
        <v>0</v>
      </c>
      <c r="P256" s="56">
        <f t="shared" si="7"/>
        <v>0</v>
      </c>
      <c r="Q256" s="65">
        <f t="shared" si="4"/>
        <v>0</v>
      </c>
      <c r="R256" s="1"/>
    </row>
    <row r="257">
      <c r="A257" s="1"/>
      <c r="B257" s="1"/>
      <c r="C257" s="51"/>
      <c r="D257" s="50"/>
      <c r="E257" s="70" t="str">
        <f t="shared" si="1"/>
        <v/>
      </c>
      <c r="F257" s="1"/>
      <c r="G257" s="1"/>
      <c r="H257" s="1"/>
      <c r="I257" s="1"/>
      <c r="J257" s="1"/>
      <c r="K257" s="1"/>
      <c r="L257" s="53" t="str">
        <f t="shared" si="2"/>
        <v/>
      </c>
      <c r="M257" s="54" t="str">
        <f t="shared" si="3"/>
        <v/>
      </c>
      <c r="N257" s="81" t="str">
        <f t="shared" si="5"/>
        <v/>
      </c>
      <c r="O257" s="56">
        <f t="shared" si="6"/>
        <v>0</v>
      </c>
      <c r="P257" s="56">
        <f t="shared" si="7"/>
        <v>0</v>
      </c>
      <c r="Q257" s="65">
        <f t="shared" si="4"/>
        <v>0</v>
      </c>
      <c r="R257" s="1"/>
    </row>
    <row r="258">
      <c r="A258" s="1"/>
      <c r="B258" s="1"/>
      <c r="C258" s="51"/>
      <c r="D258" s="50"/>
      <c r="E258" s="70" t="str">
        <f t="shared" si="1"/>
        <v/>
      </c>
      <c r="F258" s="1"/>
      <c r="G258" s="1"/>
      <c r="H258" s="1"/>
      <c r="I258" s="1"/>
      <c r="J258" s="1"/>
      <c r="K258" s="1"/>
      <c r="L258" s="53" t="str">
        <f t="shared" si="2"/>
        <v/>
      </c>
      <c r="M258" s="54" t="str">
        <f t="shared" si="3"/>
        <v/>
      </c>
      <c r="N258" s="81" t="str">
        <f t="shared" si="5"/>
        <v/>
      </c>
      <c r="O258" s="56">
        <f t="shared" si="6"/>
        <v>0</v>
      </c>
      <c r="P258" s="56">
        <f t="shared" si="7"/>
        <v>0</v>
      </c>
      <c r="Q258" s="65">
        <f t="shared" si="4"/>
        <v>0</v>
      </c>
      <c r="R258" s="1"/>
    </row>
    <row r="259">
      <c r="A259" s="1"/>
      <c r="B259" s="1"/>
      <c r="C259" s="71"/>
      <c r="D259" s="50"/>
      <c r="E259" s="70" t="str">
        <f t="shared" si="1"/>
        <v/>
      </c>
      <c r="F259" s="1"/>
      <c r="G259" s="1"/>
      <c r="H259" s="1"/>
      <c r="I259" s="1"/>
      <c r="J259" s="1"/>
      <c r="K259" s="1"/>
      <c r="L259" s="53" t="str">
        <f t="shared" si="2"/>
        <v/>
      </c>
      <c r="M259" s="54" t="str">
        <f t="shared" si="3"/>
        <v/>
      </c>
      <c r="N259" s="81" t="str">
        <f t="shared" si="5"/>
        <v/>
      </c>
      <c r="O259" s="56">
        <f t="shared" si="6"/>
        <v>0</v>
      </c>
      <c r="P259" s="56">
        <f t="shared" si="7"/>
        <v>0</v>
      </c>
      <c r="Q259" s="65">
        <f t="shared" si="4"/>
        <v>0</v>
      </c>
      <c r="R259" s="1"/>
    </row>
    <row r="260">
      <c r="A260" s="1"/>
      <c r="B260" s="1"/>
      <c r="C260" s="51"/>
      <c r="D260" s="50"/>
      <c r="E260" s="70" t="str">
        <f t="shared" si="1"/>
        <v/>
      </c>
      <c r="F260" s="1"/>
      <c r="G260" s="1"/>
      <c r="H260" s="1"/>
      <c r="I260" s="1"/>
      <c r="J260" s="1"/>
      <c r="K260" s="1"/>
      <c r="L260" s="53" t="str">
        <f t="shared" si="2"/>
        <v/>
      </c>
      <c r="M260" s="54" t="str">
        <f t="shared" si="3"/>
        <v/>
      </c>
      <c r="N260" s="81" t="str">
        <f t="shared" si="5"/>
        <v/>
      </c>
      <c r="O260" s="56">
        <f t="shared" si="6"/>
        <v>0</v>
      </c>
      <c r="P260" s="56">
        <f t="shared" si="7"/>
        <v>0</v>
      </c>
      <c r="Q260" s="65">
        <f t="shared" si="4"/>
        <v>0</v>
      </c>
      <c r="R260" s="1"/>
    </row>
    <row r="261">
      <c r="A261" s="1"/>
      <c r="B261" s="1"/>
      <c r="C261" s="51"/>
      <c r="D261" s="50"/>
      <c r="E261" s="70" t="str">
        <f t="shared" si="1"/>
        <v/>
      </c>
      <c r="F261" s="1"/>
      <c r="G261" s="1"/>
      <c r="H261" s="1"/>
      <c r="I261" s="1"/>
      <c r="J261" s="1"/>
      <c r="K261" s="1"/>
      <c r="L261" s="53" t="str">
        <f t="shared" si="2"/>
        <v/>
      </c>
      <c r="M261" s="54" t="str">
        <f t="shared" si="3"/>
        <v/>
      </c>
      <c r="N261" s="81" t="str">
        <f t="shared" si="5"/>
        <v/>
      </c>
      <c r="O261" s="56">
        <f t="shared" si="6"/>
        <v>0</v>
      </c>
      <c r="P261" s="56">
        <f t="shared" si="7"/>
        <v>0</v>
      </c>
      <c r="Q261" s="65">
        <f t="shared" si="4"/>
        <v>0</v>
      </c>
      <c r="R261" s="1"/>
    </row>
    <row r="262">
      <c r="A262" s="1"/>
      <c r="B262" s="1"/>
      <c r="C262" s="51"/>
      <c r="D262" s="50"/>
      <c r="E262" s="70" t="str">
        <f t="shared" si="1"/>
        <v/>
      </c>
      <c r="F262" s="1"/>
      <c r="G262" s="1"/>
      <c r="H262" s="1"/>
      <c r="I262" s="1"/>
      <c r="J262" s="1"/>
      <c r="K262" s="1"/>
      <c r="L262" s="53" t="str">
        <f t="shared" si="2"/>
        <v/>
      </c>
      <c r="M262" s="54" t="str">
        <f t="shared" si="3"/>
        <v/>
      </c>
      <c r="N262" s="81" t="str">
        <f t="shared" si="5"/>
        <v/>
      </c>
      <c r="O262" s="56">
        <f t="shared" si="6"/>
        <v>0</v>
      </c>
      <c r="P262" s="56">
        <f t="shared" si="7"/>
        <v>0</v>
      </c>
      <c r="Q262" s="65">
        <f t="shared" si="4"/>
        <v>0</v>
      </c>
      <c r="R262" s="1"/>
    </row>
    <row r="263">
      <c r="A263" s="1"/>
      <c r="B263" s="1"/>
      <c r="C263" s="51"/>
      <c r="D263" s="50"/>
      <c r="E263" s="70" t="str">
        <f t="shared" si="1"/>
        <v/>
      </c>
      <c r="F263" s="1"/>
      <c r="G263" s="1"/>
      <c r="H263" s="1"/>
      <c r="I263" s="1"/>
      <c r="J263" s="1"/>
      <c r="K263" s="1"/>
      <c r="L263" s="53" t="str">
        <f t="shared" si="2"/>
        <v/>
      </c>
      <c r="M263" s="54" t="str">
        <f t="shared" si="3"/>
        <v/>
      </c>
      <c r="N263" s="81" t="str">
        <f t="shared" si="5"/>
        <v/>
      </c>
      <c r="O263" s="56">
        <f t="shared" si="6"/>
        <v>0</v>
      </c>
      <c r="P263" s="56">
        <f t="shared" si="7"/>
        <v>0</v>
      </c>
      <c r="Q263" s="65">
        <f t="shared" si="4"/>
        <v>0</v>
      </c>
      <c r="R263" s="1"/>
    </row>
    <row r="264">
      <c r="A264" s="1"/>
      <c r="B264" s="1"/>
      <c r="C264" s="51"/>
      <c r="D264" s="50"/>
      <c r="E264" s="70" t="str">
        <f t="shared" si="1"/>
        <v/>
      </c>
      <c r="F264" s="1"/>
      <c r="G264" s="1"/>
      <c r="H264" s="1"/>
      <c r="I264" s="1"/>
      <c r="J264" s="1"/>
      <c r="K264" s="1"/>
      <c r="L264" s="53" t="str">
        <f t="shared" si="2"/>
        <v/>
      </c>
      <c r="M264" s="54" t="str">
        <f t="shared" si="3"/>
        <v/>
      </c>
      <c r="N264" s="81" t="str">
        <f t="shared" si="5"/>
        <v/>
      </c>
      <c r="O264" s="56">
        <f t="shared" si="6"/>
        <v>0</v>
      </c>
      <c r="P264" s="56">
        <f t="shared" si="7"/>
        <v>0</v>
      </c>
      <c r="Q264" s="65">
        <f t="shared" si="4"/>
        <v>0</v>
      </c>
      <c r="R264" s="1"/>
    </row>
    <row r="265">
      <c r="A265" s="1"/>
      <c r="B265" s="1"/>
      <c r="C265" s="51"/>
      <c r="D265" s="50"/>
      <c r="E265" s="70" t="str">
        <f t="shared" si="1"/>
        <v/>
      </c>
      <c r="F265" s="1"/>
      <c r="G265" s="1"/>
      <c r="H265" s="1"/>
      <c r="I265" s="1"/>
      <c r="J265" s="1"/>
      <c r="K265" s="1"/>
      <c r="L265" s="53" t="str">
        <f t="shared" si="2"/>
        <v/>
      </c>
      <c r="M265" s="54" t="str">
        <f t="shared" si="3"/>
        <v/>
      </c>
      <c r="N265" s="81" t="str">
        <f t="shared" si="5"/>
        <v/>
      </c>
      <c r="O265" s="56">
        <f t="shared" si="6"/>
        <v>0</v>
      </c>
      <c r="P265" s="56">
        <f t="shared" si="7"/>
        <v>0</v>
      </c>
      <c r="Q265" s="65">
        <f t="shared" si="4"/>
        <v>0</v>
      </c>
      <c r="R265" s="1"/>
    </row>
    <row r="266">
      <c r="A266" s="1"/>
      <c r="B266" s="1"/>
      <c r="C266" s="51"/>
      <c r="D266" s="50"/>
      <c r="E266" s="70" t="str">
        <f t="shared" si="1"/>
        <v/>
      </c>
      <c r="F266" s="1"/>
      <c r="G266" s="1"/>
      <c r="H266" s="1"/>
      <c r="I266" s="1"/>
      <c r="J266" s="1"/>
      <c r="K266" s="1"/>
      <c r="L266" s="53" t="str">
        <f t="shared" si="2"/>
        <v/>
      </c>
      <c r="M266" s="54" t="str">
        <f t="shared" si="3"/>
        <v/>
      </c>
      <c r="N266" s="81" t="str">
        <f t="shared" si="5"/>
        <v/>
      </c>
      <c r="O266" s="56">
        <f t="shared" si="6"/>
        <v>0</v>
      </c>
      <c r="P266" s="56">
        <f t="shared" si="7"/>
        <v>0</v>
      </c>
      <c r="Q266" s="65">
        <f t="shared" si="4"/>
        <v>0</v>
      </c>
      <c r="R266" s="1"/>
    </row>
    <row r="267">
      <c r="A267" s="1"/>
      <c r="B267" s="1"/>
      <c r="C267" s="71"/>
      <c r="D267" s="50"/>
      <c r="E267" s="70" t="str">
        <f t="shared" si="1"/>
        <v/>
      </c>
      <c r="F267" s="1"/>
      <c r="G267" s="1"/>
      <c r="H267" s="1"/>
      <c r="I267" s="1"/>
      <c r="J267" s="1"/>
      <c r="K267" s="1"/>
      <c r="L267" s="53" t="str">
        <f t="shared" si="2"/>
        <v/>
      </c>
      <c r="M267" s="54" t="str">
        <f t="shared" si="3"/>
        <v/>
      </c>
      <c r="N267" s="81" t="str">
        <f t="shared" si="5"/>
        <v/>
      </c>
      <c r="O267" s="56">
        <f t="shared" si="6"/>
        <v>0</v>
      </c>
      <c r="P267" s="56">
        <f t="shared" si="7"/>
        <v>0</v>
      </c>
      <c r="Q267" s="65">
        <f t="shared" si="4"/>
        <v>0</v>
      </c>
      <c r="R267" s="1"/>
    </row>
    <row r="268">
      <c r="A268" s="1"/>
      <c r="B268" s="1"/>
      <c r="C268" s="51"/>
      <c r="D268" s="50"/>
      <c r="E268" s="70" t="str">
        <f t="shared" si="1"/>
        <v/>
      </c>
      <c r="F268" s="1"/>
      <c r="G268" s="1"/>
      <c r="H268" s="1"/>
      <c r="I268" s="1"/>
      <c r="J268" s="1"/>
      <c r="K268" s="1"/>
      <c r="L268" s="53" t="str">
        <f t="shared" si="2"/>
        <v/>
      </c>
      <c r="M268" s="54" t="str">
        <f t="shared" si="3"/>
        <v/>
      </c>
      <c r="N268" s="81" t="str">
        <f t="shared" si="5"/>
        <v/>
      </c>
      <c r="O268" s="56">
        <f t="shared" si="6"/>
        <v>0</v>
      </c>
      <c r="P268" s="56">
        <f t="shared" si="7"/>
        <v>0</v>
      </c>
      <c r="Q268" s="65">
        <f t="shared" si="4"/>
        <v>0</v>
      </c>
      <c r="R268" s="1"/>
    </row>
    <row r="269">
      <c r="A269" s="1"/>
      <c r="B269" s="1"/>
      <c r="C269" s="51"/>
      <c r="D269" s="50"/>
      <c r="E269" s="70" t="str">
        <f t="shared" si="1"/>
        <v/>
      </c>
      <c r="F269" s="1"/>
      <c r="G269" s="1"/>
      <c r="H269" s="1"/>
      <c r="I269" s="1"/>
      <c r="J269" s="1"/>
      <c r="K269" s="1"/>
      <c r="L269" s="53" t="str">
        <f t="shared" si="2"/>
        <v/>
      </c>
      <c r="M269" s="54" t="str">
        <f t="shared" si="3"/>
        <v/>
      </c>
      <c r="N269" s="81" t="str">
        <f t="shared" si="5"/>
        <v/>
      </c>
      <c r="O269" s="56">
        <f t="shared" si="6"/>
        <v>0</v>
      </c>
      <c r="P269" s="56">
        <f t="shared" si="7"/>
        <v>0</v>
      </c>
      <c r="Q269" s="65">
        <f t="shared" si="4"/>
        <v>0</v>
      </c>
      <c r="R269" s="1"/>
    </row>
    <row r="270">
      <c r="A270" s="1"/>
      <c r="B270" s="1"/>
      <c r="C270" s="51"/>
      <c r="D270" s="50"/>
      <c r="E270" s="70" t="str">
        <f t="shared" si="1"/>
        <v/>
      </c>
      <c r="F270" s="1"/>
      <c r="G270" s="1"/>
      <c r="H270" s="1"/>
      <c r="I270" s="1"/>
      <c r="J270" s="1"/>
      <c r="K270" s="1"/>
      <c r="L270" s="53" t="str">
        <f t="shared" si="2"/>
        <v/>
      </c>
      <c r="M270" s="54" t="str">
        <f t="shared" si="3"/>
        <v/>
      </c>
      <c r="N270" s="81" t="str">
        <f t="shared" si="5"/>
        <v/>
      </c>
      <c r="O270" s="56">
        <f t="shared" si="6"/>
        <v>0</v>
      </c>
      <c r="P270" s="56">
        <f t="shared" si="7"/>
        <v>0</v>
      </c>
      <c r="Q270" s="65">
        <f t="shared" si="4"/>
        <v>0</v>
      </c>
      <c r="R270" s="1"/>
    </row>
    <row r="271">
      <c r="A271" s="1"/>
      <c r="B271" s="1"/>
      <c r="C271" s="71"/>
      <c r="D271" s="50"/>
      <c r="E271" s="70" t="str">
        <f t="shared" si="1"/>
        <v/>
      </c>
      <c r="F271" s="1"/>
      <c r="G271" s="1"/>
      <c r="H271" s="1"/>
      <c r="I271" s="1"/>
      <c r="J271" s="1"/>
      <c r="K271" s="1"/>
      <c r="L271" s="53" t="str">
        <f t="shared" si="2"/>
        <v/>
      </c>
      <c r="M271" s="54" t="str">
        <f t="shared" si="3"/>
        <v/>
      </c>
      <c r="N271" s="81" t="str">
        <f t="shared" si="5"/>
        <v/>
      </c>
      <c r="O271" s="56">
        <f t="shared" si="6"/>
        <v>0</v>
      </c>
      <c r="P271" s="56">
        <f t="shared" si="7"/>
        <v>0</v>
      </c>
      <c r="Q271" s="65">
        <f t="shared" si="4"/>
        <v>0</v>
      </c>
      <c r="R271" s="1"/>
    </row>
    <row r="272">
      <c r="A272" s="1"/>
      <c r="B272" s="1"/>
      <c r="C272" s="51"/>
      <c r="D272" s="50"/>
      <c r="E272" s="70" t="str">
        <f t="shared" si="1"/>
        <v/>
      </c>
      <c r="F272" s="1"/>
      <c r="G272" s="1"/>
      <c r="H272" s="1"/>
      <c r="I272" s="1"/>
      <c r="J272" s="1"/>
      <c r="K272" s="1"/>
      <c r="L272" s="53" t="str">
        <f t="shared" si="2"/>
        <v/>
      </c>
      <c r="M272" s="54" t="str">
        <f t="shared" si="3"/>
        <v/>
      </c>
      <c r="N272" s="81" t="str">
        <f t="shared" si="5"/>
        <v/>
      </c>
      <c r="O272" s="56">
        <f t="shared" si="6"/>
        <v>0</v>
      </c>
      <c r="P272" s="56">
        <f t="shared" si="7"/>
        <v>0</v>
      </c>
      <c r="Q272" s="65">
        <f t="shared" si="4"/>
        <v>0</v>
      </c>
      <c r="R272" s="1"/>
    </row>
    <row r="273">
      <c r="A273" s="1"/>
      <c r="B273" s="1"/>
      <c r="C273" s="51"/>
      <c r="D273" s="50"/>
      <c r="E273" s="70" t="str">
        <f t="shared" si="1"/>
        <v/>
      </c>
      <c r="F273" s="1"/>
      <c r="G273" s="1"/>
      <c r="H273" s="1"/>
      <c r="I273" s="1"/>
      <c r="J273" s="1"/>
      <c r="K273" s="1"/>
      <c r="L273" s="53" t="str">
        <f t="shared" si="2"/>
        <v/>
      </c>
      <c r="M273" s="54" t="str">
        <f t="shared" si="3"/>
        <v/>
      </c>
      <c r="N273" s="81" t="str">
        <f t="shared" si="5"/>
        <v/>
      </c>
      <c r="O273" s="56">
        <f t="shared" si="6"/>
        <v>0</v>
      </c>
      <c r="P273" s="56">
        <f t="shared" si="7"/>
        <v>0</v>
      </c>
      <c r="Q273" s="65">
        <f t="shared" si="4"/>
        <v>0</v>
      </c>
      <c r="R273" s="1"/>
    </row>
    <row r="274">
      <c r="A274" s="1"/>
      <c r="B274" s="1"/>
      <c r="C274" s="51"/>
      <c r="D274" s="50"/>
      <c r="E274" s="70" t="str">
        <f t="shared" si="1"/>
        <v/>
      </c>
      <c r="F274" s="1"/>
      <c r="G274" s="1"/>
      <c r="H274" s="1"/>
      <c r="I274" s="1"/>
      <c r="J274" s="1"/>
      <c r="K274" s="1"/>
      <c r="L274" s="53" t="str">
        <f t="shared" si="2"/>
        <v/>
      </c>
      <c r="M274" s="54" t="str">
        <f t="shared" si="3"/>
        <v/>
      </c>
      <c r="N274" s="81" t="str">
        <f t="shared" si="5"/>
        <v/>
      </c>
      <c r="O274" s="56">
        <f t="shared" si="6"/>
        <v>0</v>
      </c>
      <c r="P274" s="56">
        <f t="shared" si="7"/>
        <v>0</v>
      </c>
      <c r="Q274" s="65">
        <f t="shared" si="4"/>
        <v>0</v>
      </c>
      <c r="R274" s="1"/>
    </row>
    <row r="275">
      <c r="A275" s="1"/>
      <c r="B275" s="1"/>
      <c r="C275" s="51"/>
      <c r="D275" s="50"/>
      <c r="E275" s="70" t="str">
        <f t="shared" si="1"/>
        <v/>
      </c>
      <c r="F275" s="1"/>
      <c r="G275" s="1"/>
      <c r="H275" s="1"/>
      <c r="I275" s="1"/>
      <c r="J275" s="1"/>
      <c r="K275" s="1"/>
      <c r="L275" s="53" t="str">
        <f t="shared" si="2"/>
        <v/>
      </c>
      <c r="M275" s="54" t="str">
        <f t="shared" si="3"/>
        <v/>
      </c>
      <c r="N275" s="81" t="str">
        <f t="shared" si="5"/>
        <v/>
      </c>
      <c r="O275" s="56">
        <f t="shared" si="6"/>
        <v>0</v>
      </c>
      <c r="P275" s="56">
        <f t="shared" si="7"/>
        <v>0</v>
      </c>
      <c r="Q275" s="65">
        <f t="shared" si="4"/>
        <v>0</v>
      </c>
      <c r="R275" s="1"/>
    </row>
    <row r="276">
      <c r="A276" s="1"/>
      <c r="B276" s="1"/>
      <c r="C276" s="51"/>
      <c r="D276" s="50"/>
      <c r="E276" s="70" t="str">
        <f t="shared" si="1"/>
        <v/>
      </c>
      <c r="F276" s="1"/>
      <c r="G276" s="1"/>
      <c r="H276" s="1"/>
      <c r="I276" s="1"/>
      <c r="J276" s="1"/>
      <c r="K276" s="1"/>
      <c r="L276" s="53" t="str">
        <f t="shared" si="2"/>
        <v/>
      </c>
      <c r="M276" s="54" t="str">
        <f t="shared" si="3"/>
        <v/>
      </c>
      <c r="N276" s="81" t="str">
        <f t="shared" si="5"/>
        <v/>
      </c>
      <c r="O276" s="56">
        <f t="shared" si="6"/>
        <v>0</v>
      </c>
      <c r="P276" s="56">
        <f t="shared" si="7"/>
        <v>0</v>
      </c>
      <c r="Q276" s="65">
        <f t="shared" si="4"/>
        <v>0</v>
      </c>
      <c r="R276" s="1"/>
    </row>
    <row r="277">
      <c r="A277" s="1"/>
      <c r="B277" s="1"/>
      <c r="C277" s="51"/>
      <c r="D277" s="50"/>
      <c r="E277" s="70" t="str">
        <f t="shared" si="1"/>
        <v/>
      </c>
      <c r="F277" s="1"/>
      <c r="G277" s="1"/>
      <c r="H277" s="1"/>
      <c r="I277" s="1"/>
      <c r="J277" s="1"/>
      <c r="K277" s="1"/>
      <c r="L277" s="53" t="str">
        <f t="shared" si="2"/>
        <v/>
      </c>
      <c r="M277" s="54" t="str">
        <f t="shared" si="3"/>
        <v/>
      </c>
      <c r="N277" s="81" t="str">
        <f t="shared" si="5"/>
        <v/>
      </c>
      <c r="O277" s="56">
        <f t="shared" si="6"/>
        <v>0</v>
      </c>
      <c r="P277" s="56">
        <f t="shared" si="7"/>
        <v>0</v>
      </c>
      <c r="Q277" s="65">
        <f t="shared" si="4"/>
        <v>0</v>
      </c>
      <c r="R277" s="1"/>
    </row>
    <row r="278">
      <c r="A278" s="1"/>
      <c r="B278" s="1"/>
      <c r="C278" s="51"/>
      <c r="D278" s="50"/>
      <c r="E278" s="70" t="str">
        <f t="shared" si="1"/>
        <v/>
      </c>
      <c r="F278" s="1"/>
      <c r="G278" s="1"/>
      <c r="H278" s="1"/>
      <c r="I278" s="1"/>
      <c r="J278" s="1"/>
      <c r="K278" s="1"/>
      <c r="L278" s="53" t="str">
        <f t="shared" si="2"/>
        <v/>
      </c>
      <c r="M278" s="54" t="str">
        <f t="shared" si="3"/>
        <v/>
      </c>
      <c r="N278" s="81" t="str">
        <f t="shared" si="5"/>
        <v/>
      </c>
      <c r="O278" s="56">
        <f t="shared" si="6"/>
        <v>0</v>
      </c>
      <c r="P278" s="56">
        <f t="shared" si="7"/>
        <v>0</v>
      </c>
      <c r="Q278" s="65">
        <f t="shared" si="4"/>
        <v>0</v>
      </c>
      <c r="R278" s="1"/>
    </row>
    <row r="279">
      <c r="A279" s="1"/>
      <c r="B279" s="1"/>
      <c r="C279" s="51"/>
      <c r="D279" s="50"/>
      <c r="E279" s="70" t="str">
        <f t="shared" si="1"/>
        <v/>
      </c>
      <c r="F279" s="1"/>
      <c r="G279" s="1"/>
      <c r="H279" s="1"/>
      <c r="I279" s="1"/>
      <c r="J279" s="1"/>
      <c r="K279" s="1"/>
      <c r="L279" s="53" t="str">
        <f t="shared" si="2"/>
        <v/>
      </c>
      <c r="M279" s="54" t="str">
        <f t="shared" si="3"/>
        <v/>
      </c>
      <c r="N279" s="81" t="str">
        <f t="shared" si="5"/>
        <v/>
      </c>
      <c r="O279" s="56">
        <f t="shared" si="6"/>
        <v>0</v>
      </c>
      <c r="P279" s="56">
        <f t="shared" si="7"/>
        <v>0</v>
      </c>
      <c r="Q279" s="65">
        <f t="shared" si="4"/>
        <v>0</v>
      </c>
      <c r="R279" s="1"/>
    </row>
    <row r="280">
      <c r="A280" s="1"/>
      <c r="B280" s="1"/>
      <c r="C280" s="51"/>
      <c r="D280" s="50"/>
      <c r="E280" s="70" t="str">
        <f t="shared" si="1"/>
        <v/>
      </c>
      <c r="F280" s="1"/>
      <c r="G280" s="1"/>
      <c r="H280" s="1"/>
      <c r="I280" s="1"/>
      <c r="J280" s="1"/>
      <c r="K280" s="1"/>
      <c r="L280" s="53" t="str">
        <f t="shared" si="2"/>
        <v/>
      </c>
      <c r="M280" s="54" t="str">
        <f t="shared" si="3"/>
        <v/>
      </c>
      <c r="N280" s="81" t="str">
        <f t="shared" si="5"/>
        <v/>
      </c>
      <c r="O280" s="56">
        <f t="shared" si="6"/>
        <v>0</v>
      </c>
      <c r="P280" s="56">
        <f t="shared" si="7"/>
        <v>0</v>
      </c>
      <c r="Q280" s="65">
        <f t="shared" si="4"/>
        <v>0</v>
      </c>
      <c r="R280" s="1"/>
    </row>
    <row r="281">
      <c r="A281" s="1"/>
      <c r="B281" s="1"/>
      <c r="C281" s="51"/>
      <c r="D281" s="50"/>
      <c r="E281" s="70" t="str">
        <f t="shared" si="1"/>
        <v/>
      </c>
      <c r="F281" s="1"/>
      <c r="G281" s="1"/>
      <c r="H281" s="1"/>
      <c r="I281" s="1"/>
      <c r="J281" s="1"/>
      <c r="K281" s="1"/>
      <c r="L281" s="53" t="str">
        <f t="shared" si="2"/>
        <v/>
      </c>
      <c r="M281" s="54" t="str">
        <f t="shared" si="3"/>
        <v/>
      </c>
      <c r="N281" s="81" t="str">
        <f t="shared" si="5"/>
        <v/>
      </c>
      <c r="O281" s="56">
        <f t="shared" si="6"/>
        <v>0</v>
      </c>
      <c r="P281" s="56">
        <f t="shared" si="7"/>
        <v>0</v>
      </c>
      <c r="Q281" s="65">
        <f t="shared" si="4"/>
        <v>0</v>
      </c>
      <c r="R281" s="1"/>
    </row>
    <row r="282">
      <c r="A282" s="1"/>
      <c r="B282" s="1"/>
      <c r="C282" s="51"/>
      <c r="D282" s="50"/>
      <c r="E282" s="70" t="str">
        <f t="shared" si="1"/>
        <v/>
      </c>
      <c r="F282" s="1"/>
      <c r="G282" s="1"/>
      <c r="H282" s="1"/>
      <c r="I282" s="1"/>
      <c r="J282" s="1"/>
      <c r="K282" s="1"/>
      <c r="L282" s="53" t="str">
        <f t="shared" si="2"/>
        <v/>
      </c>
      <c r="M282" s="54" t="str">
        <f t="shared" si="3"/>
        <v/>
      </c>
      <c r="N282" s="81" t="str">
        <f t="shared" si="5"/>
        <v/>
      </c>
      <c r="O282" s="56">
        <f t="shared" si="6"/>
        <v>0</v>
      </c>
      <c r="P282" s="56">
        <f t="shared" si="7"/>
        <v>0</v>
      </c>
      <c r="Q282" s="65">
        <f t="shared" si="4"/>
        <v>0</v>
      </c>
      <c r="R282" s="1"/>
    </row>
    <row r="283">
      <c r="A283" s="1"/>
      <c r="B283" s="1"/>
      <c r="C283" s="51"/>
      <c r="D283" s="50"/>
      <c r="E283" s="70" t="str">
        <f t="shared" si="1"/>
        <v/>
      </c>
      <c r="F283" s="1"/>
      <c r="G283" s="1"/>
      <c r="H283" s="1"/>
      <c r="I283" s="1"/>
      <c r="J283" s="1"/>
      <c r="K283" s="1"/>
      <c r="L283" s="53" t="str">
        <f t="shared" si="2"/>
        <v/>
      </c>
      <c r="M283" s="54" t="str">
        <f t="shared" si="3"/>
        <v/>
      </c>
      <c r="N283" s="81" t="str">
        <f t="shared" si="5"/>
        <v/>
      </c>
      <c r="O283" s="56">
        <f t="shared" si="6"/>
        <v>0</v>
      </c>
      <c r="P283" s="56">
        <f t="shared" si="7"/>
        <v>0</v>
      </c>
      <c r="Q283" s="65">
        <f t="shared" si="4"/>
        <v>0</v>
      </c>
      <c r="R283" s="1"/>
    </row>
    <row r="284">
      <c r="A284" s="1"/>
      <c r="B284" s="1"/>
      <c r="C284" s="71"/>
      <c r="D284" s="50"/>
      <c r="E284" s="70" t="str">
        <f t="shared" si="1"/>
        <v/>
      </c>
      <c r="F284" s="1"/>
      <c r="G284" s="1"/>
      <c r="H284" s="1"/>
      <c r="I284" s="1"/>
      <c r="J284" s="1"/>
      <c r="K284" s="1"/>
      <c r="L284" s="53" t="str">
        <f t="shared" si="2"/>
        <v/>
      </c>
      <c r="M284" s="54" t="str">
        <f t="shared" si="3"/>
        <v/>
      </c>
      <c r="N284" s="81" t="str">
        <f t="shared" si="5"/>
        <v/>
      </c>
      <c r="O284" s="56">
        <f t="shared" si="6"/>
        <v>0</v>
      </c>
      <c r="P284" s="56">
        <f t="shared" si="7"/>
        <v>0</v>
      </c>
      <c r="Q284" s="65">
        <f t="shared" si="4"/>
        <v>0</v>
      </c>
      <c r="R284" s="1"/>
    </row>
    <row r="285">
      <c r="A285" s="1"/>
      <c r="B285" s="1"/>
      <c r="C285" s="1"/>
      <c r="D285" s="1"/>
      <c r="E285" s="70" t="str">
        <f t="shared" si="1"/>
        <v/>
      </c>
      <c r="F285" s="1"/>
      <c r="G285" s="1"/>
      <c r="H285" s="1"/>
      <c r="I285" s="1"/>
      <c r="J285" s="1"/>
      <c r="K285" s="1"/>
      <c r="L285" s="53" t="str">
        <f t="shared" si="2"/>
        <v/>
      </c>
      <c r="M285" s="54" t="str">
        <f t="shared" si="3"/>
        <v/>
      </c>
      <c r="N285" s="81" t="str">
        <f t="shared" si="5"/>
        <v/>
      </c>
      <c r="O285" s="56">
        <f t="shared" si="6"/>
        <v>0</v>
      </c>
      <c r="P285" s="56">
        <f t="shared" si="7"/>
        <v>0</v>
      </c>
      <c r="Q285" s="65">
        <f t="shared" si="4"/>
        <v>0</v>
      </c>
      <c r="R285" s="1"/>
    </row>
    <row r="286">
      <c r="A286" s="1"/>
      <c r="B286" s="1"/>
      <c r="C286" s="1"/>
      <c r="D286" s="1"/>
      <c r="E286" s="70" t="str">
        <f t="shared" si="1"/>
        <v/>
      </c>
      <c r="F286" s="1"/>
      <c r="G286" s="1"/>
      <c r="H286" s="1"/>
      <c r="I286" s="1"/>
      <c r="J286" s="1"/>
      <c r="K286" s="1"/>
      <c r="L286" s="53" t="str">
        <f t="shared" si="2"/>
        <v/>
      </c>
      <c r="M286" s="54" t="str">
        <f t="shared" si="3"/>
        <v/>
      </c>
      <c r="N286" s="81" t="str">
        <f t="shared" si="5"/>
        <v/>
      </c>
      <c r="O286" s="56">
        <f t="shared" si="6"/>
        <v>0</v>
      </c>
      <c r="P286" s="56">
        <f t="shared" si="7"/>
        <v>0</v>
      </c>
      <c r="Q286" s="65">
        <f t="shared" si="4"/>
        <v>0</v>
      </c>
      <c r="R286" s="1"/>
    </row>
    <row r="287">
      <c r="A287" s="1"/>
      <c r="B287" s="1"/>
      <c r="C287" s="1"/>
      <c r="D287" s="1"/>
      <c r="E287" s="70" t="str">
        <f t="shared" si="1"/>
        <v/>
      </c>
      <c r="F287" s="1"/>
      <c r="G287" s="1"/>
      <c r="H287" s="1"/>
      <c r="I287" s="1"/>
      <c r="J287" s="1"/>
      <c r="K287" s="1"/>
      <c r="L287" s="53" t="str">
        <f t="shared" si="2"/>
        <v/>
      </c>
      <c r="M287" s="54" t="str">
        <f t="shared" si="3"/>
        <v/>
      </c>
      <c r="N287" s="81" t="str">
        <f t="shared" si="5"/>
        <v/>
      </c>
      <c r="O287" s="56">
        <f t="shared" si="6"/>
        <v>0</v>
      </c>
      <c r="P287" s="56">
        <f t="shared" si="7"/>
        <v>0</v>
      </c>
      <c r="Q287" s="65">
        <f t="shared" si="4"/>
        <v>0</v>
      </c>
      <c r="R287" s="1"/>
    </row>
    <row r="288">
      <c r="A288" s="1"/>
      <c r="B288" s="1"/>
      <c r="C288" s="1"/>
      <c r="D288" s="1"/>
      <c r="E288" s="70" t="str">
        <f t="shared" si="1"/>
        <v/>
      </c>
      <c r="F288" s="1"/>
      <c r="G288" s="1"/>
      <c r="H288" s="1"/>
      <c r="I288" s="1"/>
      <c r="J288" s="1"/>
      <c r="K288" s="1"/>
      <c r="L288" s="53" t="str">
        <f t="shared" si="2"/>
        <v/>
      </c>
      <c r="M288" s="54" t="str">
        <f t="shared" si="3"/>
        <v/>
      </c>
      <c r="N288" s="81" t="str">
        <f t="shared" si="5"/>
        <v/>
      </c>
      <c r="O288" s="56">
        <f t="shared" si="6"/>
        <v>0</v>
      </c>
      <c r="P288" s="56">
        <f t="shared" si="7"/>
        <v>0</v>
      </c>
      <c r="Q288" s="65">
        <f t="shared" si="4"/>
        <v>0</v>
      </c>
      <c r="R288" s="1"/>
    </row>
    <row r="289">
      <c r="A289" s="1"/>
      <c r="B289" s="1"/>
      <c r="C289" s="1"/>
      <c r="D289" s="1"/>
      <c r="E289" s="70" t="str">
        <f t="shared" si="1"/>
        <v/>
      </c>
      <c r="F289" s="1"/>
      <c r="G289" s="1"/>
      <c r="H289" s="1"/>
      <c r="I289" s="1"/>
      <c r="J289" s="1"/>
      <c r="K289" s="1"/>
      <c r="L289" s="53" t="str">
        <f t="shared" si="2"/>
        <v/>
      </c>
      <c r="M289" s="54" t="str">
        <f t="shared" si="3"/>
        <v/>
      </c>
      <c r="N289" s="81" t="str">
        <f t="shared" si="5"/>
        <v/>
      </c>
      <c r="O289" s="56">
        <f t="shared" si="6"/>
        <v>0</v>
      </c>
      <c r="P289" s="56">
        <f t="shared" si="7"/>
        <v>0</v>
      </c>
      <c r="Q289" s="65">
        <f t="shared" si="4"/>
        <v>0</v>
      </c>
      <c r="R289" s="1"/>
    </row>
    <row r="290">
      <c r="A290" s="1"/>
      <c r="B290" s="1"/>
      <c r="C290" s="1"/>
      <c r="D290" s="1"/>
      <c r="E290" s="70" t="str">
        <f t="shared" si="1"/>
        <v/>
      </c>
      <c r="F290" s="1"/>
      <c r="G290" s="1"/>
      <c r="H290" s="1"/>
      <c r="I290" s="1"/>
      <c r="J290" s="1"/>
      <c r="K290" s="1"/>
      <c r="L290" s="53" t="str">
        <f t="shared" si="2"/>
        <v/>
      </c>
      <c r="M290" s="54" t="str">
        <f t="shared" si="3"/>
        <v/>
      </c>
      <c r="N290" s="81" t="str">
        <f t="shared" si="5"/>
        <v/>
      </c>
      <c r="O290" s="56">
        <f t="shared" si="6"/>
        <v>0</v>
      </c>
      <c r="P290" s="56">
        <f t="shared" si="7"/>
        <v>0</v>
      </c>
      <c r="Q290" s="65">
        <f t="shared" si="4"/>
        <v>0</v>
      </c>
      <c r="R290" s="1"/>
    </row>
    <row r="291">
      <c r="A291" s="1"/>
      <c r="B291" s="1"/>
      <c r="C291" s="1"/>
      <c r="D291" s="1"/>
      <c r="E291" s="70" t="str">
        <f t="shared" si="1"/>
        <v/>
      </c>
      <c r="F291" s="1"/>
      <c r="G291" s="1"/>
      <c r="H291" s="1"/>
      <c r="I291" s="1"/>
      <c r="J291" s="1"/>
      <c r="K291" s="1"/>
      <c r="L291" s="53" t="str">
        <f t="shared" si="2"/>
        <v/>
      </c>
      <c r="M291" s="54" t="str">
        <f t="shared" si="3"/>
        <v/>
      </c>
      <c r="N291" s="81" t="str">
        <f t="shared" si="5"/>
        <v/>
      </c>
      <c r="O291" s="56">
        <f t="shared" si="6"/>
        <v>0</v>
      </c>
      <c r="P291" s="56">
        <f t="shared" si="7"/>
        <v>0</v>
      </c>
      <c r="Q291" s="65">
        <f t="shared" si="4"/>
        <v>0</v>
      </c>
      <c r="R291" s="1"/>
    </row>
    <row r="292">
      <c r="A292" s="1"/>
      <c r="B292" s="1"/>
      <c r="C292" s="1"/>
      <c r="D292" s="1"/>
      <c r="E292" s="70" t="str">
        <f t="shared" si="1"/>
        <v/>
      </c>
      <c r="F292" s="1"/>
      <c r="G292" s="1"/>
      <c r="H292" s="1"/>
      <c r="I292" s="1"/>
      <c r="J292" s="1"/>
      <c r="K292" s="1"/>
      <c r="L292" s="53" t="str">
        <f t="shared" si="2"/>
        <v/>
      </c>
      <c r="M292" s="54" t="str">
        <f t="shared" si="3"/>
        <v/>
      </c>
      <c r="N292" s="81" t="str">
        <f t="shared" si="5"/>
        <v/>
      </c>
      <c r="O292" s="56">
        <f t="shared" si="6"/>
        <v>0</v>
      </c>
      <c r="P292" s="56">
        <f t="shared" si="7"/>
        <v>0</v>
      </c>
      <c r="Q292" s="65">
        <f t="shared" si="4"/>
        <v>0</v>
      </c>
      <c r="R292" s="1"/>
    </row>
    <row r="293">
      <c r="A293" s="1"/>
      <c r="B293" s="1"/>
      <c r="C293" s="1"/>
      <c r="D293" s="1"/>
      <c r="E293" s="70" t="str">
        <f t="shared" si="1"/>
        <v/>
      </c>
      <c r="F293" s="1"/>
      <c r="G293" s="1"/>
      <c r="H293" s="1"/>
      <c r="I293" s="1"/>
      <c r="J293" s="1"/>
      <c r="K293" s="1"/>
      <c r="L293" s="53" t="str">
        <f t="shared" si="2"/>
        <v/>
      </c>
      <c r="M293" s="54" t="str">
        <f t="shared" si="3"/>
        <v/>
      </c>
      <c r="N293" s="81" t="str">
        <f t="shared" si="5"/>
        <v/>
      </c>
      <c r="O293" s="56">
        <f t="shared" si="6"/>
        <v>0</v>
      </c>
      <c r="P293" s="56">
        <f t="shared" si="7"/>
        <v>0</v>
      </c>
      <c r="Q293" s="65">
        <f t="shared" si="4"/>
        <v>0</v>
      </c>
      <c r="R293" s="1"/>
    </row>
    <row r="294">
      <c r="A294" s="1"/>
      <c r="B294" s="1"/>
      <c r="C294" s="1"/>
      <c r="D294" s="1"/>
      <c r="E294" s="70" t="str">
        <f t="shared" si="1"/>
        <v/>
      </c>
      <c r="F294" s="1"/>
      <c r="G294" s="1"/>
      <c r="H294" s="1"/>
      <c r="I294" s="1"/>
      <c r="J294" s="1"/>
      <c r="K294" s="1"/>
      <c r="L294" s="53" t="str">
        <f t="shared" si="2"/>
        <v/>
      </c>
      <c r="M294" s="54" t="str">
        <f t="shared" si="3"/>
        <v/>
      </c>
      <c r="N294" s="81" t="str">
        <f t="shared" si="5"/>
        <v/>
      </c>
      <c r="O294" s="56">
        <f t="shared" si="6"/>
        <v>0</v>
      </c>
      <c r="P294" s="56">
        <f t="shared" si="7"/>
        <v>0</v>
      </c>
      <c r="Q294" s="65">
        <f t="shared" si="4"/>
        <v>0</v>
      </c>
      <c r="R294" s="1"/>
    </row>
    <row r="295">
      <c r="A295" s="1"/>
      <c r="B295" s="1"/>
      <c r="C295" s="1"/>
      <c r="D295" s="1"/>
      <c r="E295" s="70" t="str">
        <f t="shared" si="1"/>
        <v/>
      </c>
      <c r="F295" s="1"/>
      <c r="G295" s="1"/>
      <c r="H295" s="1"/>
      <c r="I295" s="1"/>
      <c r="J295" s="1"/>
      <c r="K295" s="1"/>
      <c r="L295" s="53" t="str">
        <f t="shared" si="2"/>
        <v/>
      </c>
      <c r="M295" s="54" t="str">
        <f t="shared" si="3"/>
        <v/>
      </c>
      <c r="N295" s="81" t="str">
        <f t="shared" si="5"/>
        <v/>
      </c>
      <c r="O295" s="56">
        <f t="shared" si="6"/>
        <v>0</v>
      </c>
      <c r="P295" s="56">
        <f t="shared" si="7"/>
        <v>0</v>
      </c>
      <c r="Q295" s="65">
        <f t="shared" si="4"/>
        <v>0</v>
      </c>
      <c r="R295" s="1"/>
    </row>
    <row r="296">
      <c r="A296" s="1"/>
      <c r="B296" s="1"/>
      <c r="C296" s="1"/>
      <c r="D296" s="1"/>
      <c r="E296" s="70" t="str">
        <f t="shared" si="1"/>
        <v/>
      </c>
      <c r="F296" s="1"/>
      <c r="G296" s="1"/>
      <c r="H296" s="1"/>
      <c r="I296" s="1"/>
      <c r="J296" s="1"/>
      <c r="K296" s="1"/>
      <c r="L296" s="53" t="str">
        <f t="shared" si="2"/>
        <v/>
      </c>
      <c r="M296" s="54" t="str">
        <f t="shared" si="3"/>
        <v/>
      </c>
      <c r="N296" s="81" t="str">
        <f t="shared" si="5"/>
        <v/>
      </c>
      <c r="O296" s="56">
        <f t="shared" si="6"/>
        <v>0</v>
      </c>
      <c r="P296" s="56">
        <f t="shared" si="7"/>
        <v>0</v>
      </c>
      <c r="Q296" s="65">
        <f t="shared" si="4"/>
        <v>0</v>
      </c>
      <c r="R296" s="1"/>
    </row>
    <row r="297">
      <c r="A297" s="1"/>
      <c r="B297" s="1"/>
      <c r="C297" s="1"/>
      <c r="D297" s="1"/>
      <c r="E297" s="70" t="str">
        <f t="shared" si="1"/>
        <v/>
      </c>
      <c r="F297" s="1"/>
      <c r="G297" s="1"/>
      <c r="H297" s="1"/>
      <c r="I297" s="1"/>
      <c r="J297" s="1"/>
      <c r="K297" s="1"/>
      <c r="L297" s="53" t="str">
        <f t="shared" si="2"/>
        <v/>
      </c>
      <c r="M297" s="54" t="str">
        <f t="shared" si="3"/>
        <v/>
      </c>
      <c r="N297" s="81" t="str">
        <f t="shared" si="5"/>
        <v/>
      </c>
      <c r="O297" s="56">
        <f t="shared" si="6"/>
        <v>0</v>
      </c>
      <c r="P297" s="56">
        <f t="shared" si="7"/>
        <v>0</v>
      </c>
      <c r="Q297" s="65">
        <f t="shared" si="4"/>
        <v>0</v>
      </c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3" t="str">
        <f t="shared" si="2"/>
        <v/>
      </c>
      <c r="M298" s="54" t="str">
        <f t="shared" si="3"/>
        <v/>
      </c>
      <c r="N298" s="81" t="str">
        <f t="shared" si="5"/>
        <v/>
      </c>
      <c r="O298" s="56">
        <f t="shared" si="6"/>
        <v>0</v>
      </c>
      <c r="P298" s="56">
        <f t="shared" si="7"/>
        <v>0</v>
      </c>
      <c r="Q298" s="65">
        <f t="shared" si="4"/>
        <v>0</v>
      </c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3" t="str">
        <f t="shared" si="2"/>
        <v/>
      </c>
      <c r="M299" s="54" t="str">
        <f t="shared" si="3"/>
        <v/>
      </c>
      <c r="N299" s="81" t="str">
        <f t="shared" si="5"/>
        <v/>
      </c>
      <c r="O299" s="56">
        <f t="shared" si="6"/>
        <v>0</v>
      </c>
      <c r="P299" s="56">
        <f t="shared" si="7"/>
        <v>0</v>
      </c>
      <c r="Q299" s="65">
        <f t="shared" si="4"/>
        <v>0</v>
      </c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3" t="str">
        <f t="shared" si="2"/>
        <v/>
      </c>
      <c r="M300" s="54" t="str">
        <f t="shared" si="3"/>
        <v/>
      </c>
      <c r="N300" s="81" t="str">
        <f t="shared" si="5"/>
        <v/>
      </c>
      <c r="O300" s="56">
        <f t="shared" si="6"/>
        <v>0</v>
      </c>
      <c r="P300" s="56">
        <f t="shared" si="7"/>
        <v>0</v>
      </c>
      <c r="Q300" s="65">
        <f t="shared" si="4"/>
        <v>0</v>
      </c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3" t="str">
        <f t="shared" si="2"/>
        <v/>
      </c>
      <c r="M301" s="54" t="str">
        <f t="shared" si="3"/>
        <v/>
      </c>
      <c r="N301" s="81" t="str">
        <f t="shared" si="5"/>
        <v/>
      </c>
      <c r="O301" s="56">
        <f t="shared" si="6"/>
        <v>0</v>
      </c>
      <c r="P301" s="56">
        <f t="shared" si="7"/>
        <v>0</v>
      </c>
      <c r="Q301" s="65">
        <f t="shared" si="4"/>
        <v>0</v>
      </c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3" t="str">
        <f t="shared" si="2"/>
        <v/>
      </c>
      <c r="M302" s="54" t="str">
        <f t="shared" si="3"/>
        <v/>
      </c>
      <c r="N302" s="81" t="str">
        <f t="shared" si="5"/>
        <v/>
      </c>
      <c r="O302" s="56">
        <f t="shared" si="6"/>
        <v>0</v>
      </c>
      <c r="P302" s="56">
        <f t="shared" si="7"/>
        <v>0</v>
      </c>
      <c r="Q302" s="65">
        <f t="shared" si="4"/>
        <v>0</v>
      </c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3" t="str">
        <f t="shared" si="2"/>
        <v/>
      </c>
      <c r="M303" s="54" t="str">
        <f t="shared" si="3"/>
        <v/>
      </c>
      <c r="N303" s="81" t="str">
        <f t="shared" si="5"/>
        <v/>
      </c>
      <c r="O303" s="56">
        <f t="shared" si="6"/>
        <v>0</v>
      </c>
      <c r="P303" s="56">
        <f t="shared" si="7"/>
        <v>0</v>
      </c>
      <c r="Q303" s="65">
        <f t="shared" si="4"/>
        <v>0</v>
      </c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3" t="str">
        <f t="shared" si="2"/>
        <v/>
      </c>
      <c r="M304" s="54" t="str">
        <f t="shared" si="3"/>
        <v/>
      </c>
      <c r="N304" s="81" t="str">
        <f t="shared" si="5"/>
        <v/>
      </c>
      <c r="O304" s="56">
        <f t="shared" si="6"/>
        <v>0</v>
      </c>
      <c r="P304" s="56">
        <f t="shared" si="7"/>
        <v>0</v>
      </c>
      <c r="Q304" s="65">
        <f t="shared" si="4"/>
        <v>0</v>
      </c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3" t="str">
        <f t="shared" si="2"/>
        <v/>
      </c>
      <c r="M305" s="54" t="str">
        <f t="shared" si="3"/>
        <v/>
      </c>
      <c r="N305" s="81" t="str">
        <f t="shared" si="5"/>
        <v/>
      </c>
      <c r="O305" s="56">
        <f t="shared" si="6"/>
        <v>0</v>
      </c>
      <c r="P305" s="56">
        <f t="shared" si="7"/>
        <v>0</v>
      </c>
      <c r="Q305" s="65">
        <f t="shared" si="4"/>
        <v>0</v>
      </c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3" t="str">
        <f t="shared" si="2"/>
        <v/>
      </c>
      <c r="M306" s="54" t="str">
        <f t="shared" si="3"/>
        <v/>
      </c>
      <c r="N306" s="81" t="str">
        <f t="shared" si="5"/>
        <v/>
      </c>
      <c r="O306" s="56">
        <f t="shared" si="6"/>
        <v>0</v>
      </c>
      <c r="P306" s="56">
        <f t="shared" si="7"/>
        <v>0</v>
      </c>
      <c r="Q306" s="65">
        <f t="shared" si="4"/>
        <v>0</v>
      </c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3" t="str">
        <f t="shared" si="2"/>
        <v/>
      </c>
      <c r="M307" s="54" t="str">
        <f t="shared" si="3"/>
        <v/>
      </c>
      <c r="N307" s="81" t="str">
        <f t="shared" si="5"/>
        <v/>
      </c>
      <c r="O307" s="56">
        <f t="shared" si="6"/>
        <v>0</v>
      </c>
      <c r="P307" s="56">
        <f t="shared" si="7"/>
        <v>0</v>
      </c>
      <c r="Q307" s="65">
        <f t="shared" si="4"/>
        <v>0</v>
      </c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3" t="str">
        <f t="shared" si="2"/>
        <v/>
      </c>
      <c r="M308" s="54" t="str">
        <f t="shared" si="3"/>
        <v/>
      </c>
      <c r="N308" s="81" t="str">
        <f t="shared" si="5"/>
        <v/>
      </c>
      <c r="O308" s="56">
        <f t="shared" si="6"/>
        <v>0</v>
      </c>
      <c r="P308" s="56">
        <f t="shared" si="7"/>
        <v>0</v>
      </c>
      <c r="Q308" s="65">
        <f t="shared" si="4"/>
        <v>0</v>
      </c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3" t="str">
        <f t="shared" si="2"/>
        <v/>
      </c>
      <c r="M309" s="54" t="str">
        <f t="shared" si="3"/>
        <v/>
      </c>
      <c r="N309" s="81" t="str">
        <f t="shared" si="5"/>
        <v/>
      </c>
      <c r="O309" s="56">
        <f t="shared" si="6"/>
        <v>0</v>
      </c>
      <c r="P309" s="56">
        <f t="shared" si="7"/>
        <v>0</v>
      </c>
      <c r="Q309" s="65">
        <f t="shared" si="4"/>
        <v>0</v>
      </c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3" t="str">
        <f t="shared" si="2"/>
        <v/>
      </c>
      <c r="M310" s="54" t="str">
        <f t="shared" si="3"/>
        <v/>
      </c>
      <c r="N310" s="81" t="str">
        <f t="shared" si="5"/>
        <v/>
      </c>
      <c r="O310" s="56">
        <f t="shared" si="6"/>
        <v>0</v>
      </c>
      <c r="P310" s="56">
        <f t="shared" si="7"/>
        <v>0</v>
      </c>
      <c r="Q310" s="65">
        <f t="shared" si="4"/>
        <v>0</v>
      </c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3" t="str">
        <f t="shared" si="2"/>
        <v/>
      </c>
      <c r="M311" s="54" t="str">
        <f t="shared" si="3"/>
        <v/>
      </c>
      <c r="N311" s="81" t="str">
        <f t="shared" si="5"/>
        <v/>
      </c>
      <c r="O311" s="56">
        <f t="shared" si="6"/>
        <v>0</v>
      </c>
      <c r="P311" s="56">
        <f t="shared" si="7"/>
        <v>0</v>
      </c>
      <c r="Q311" s="65">
        <f t="shared" si="4"/>
        <v>0</v>
      </c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3" t="str">
        <f t="shared" si="2"/>
        <v/>
      </c>
      <c r="M312" s="54" t="str">
        <f t="shared" si="3"/>
        <v/>
      </c>
      <c r="N312" s="81" t="str">
        <f t="shared" si="5"/>
        <v/>
      </c>
      <c r="O312" s="56">
        <f t="shared" si="6"/>
        <v>0</v>
      </c>
      <c r="P312" s="56">
        <f t="shared" si="7"/>
        <v>0</v>
      </c>
      <c r="Q312" s="65">
        <f t="shared" si="4"/>
        <v>0</v>
      </c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3" t="str">
        <f t="shared" si="2"/>
        <v/>
      </c>
      <c r="M313" s="54" t="str">
        <f t="shared" si="3"/>
        <v/>
      </c>
      <c r="N313" s="81" t="str">
        <f t="shared" si="5"/>
        <v/>
      </c>
      <c r="O313" s="56">
        <f t="shared" si="6"/>
        <v>0</v>
      </c>
      <c r="P313" s="56">
        <f t="shared" si="7"/>
        <v>0</v>
      </c>
      <c r="Q313" s="65">
        <f t="shared" si="4"/>
        <v>0</v>
      </c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3" t="str">
        <f t="shared" si="2"/>
        <v/>
      </c>
      <c r="M314" s="54" t="str">
        <f t="shared" si="3"/>
        <v/>
      </c>
      <c r="N314" s="81" t="str">
        <f t="shared" si="5"/>
        <v/>
      </c>
      <c r="O314" s="56">
        <f t="shared" si="6"/>
        <v>0</v>
      </c>
      <c r="P314" s="56">
        <f t="shared" si="7"/>
        <v>0</v>
      </c>
      <c r="Q314" s="65">
        <f t="shared" si="4"/>
        <v>0</v>
      </c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3" t="str">
        <f t="shared" si="2"/>
        <v/>
      </c>
      <c r="M315" s="54" t="str">
        <f t="shared" si="3"/>
        <v/>
      </c>
      <c r="N315" s="81" t="str">
        <f t="shared" si="5"/>
        <v/>
      </c>
      <c r="O315" s="56">
        <f t="shared" si="6"/>
        <v>0</v>
      </c>
      <c r="P315" s="56">
        <f t="shared" si="7"/>
        <v>0</v>
      </c>
      <c r="Q315" s="65">
        <f t="shared" si="4"/>
        <v>0</v>
      </c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3" t="str">
        <f t="shared" si="2"/>
        <v/>
      </c>
      <c r="M316" s="54" t="str">
        <f t="shared" si="3"/>
        <v/>
      </c>
      <c r="N316" s="81" t="str">
        <f t="shared" si="5"/>
        <v/>
      </c>
      <c r="O316" s="56">
        <f t="shared" si="6"/>
        <v>0</v>
      </c>
      <c r="P316" s="56">
        <f t="shared" si="7"/>
        <v>0</v>
      </c>
      <c r="Q316" s="65">
        <f t="shared" si="4"/>
        <v>0</v>
      </c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3" t="str">
        <f t="shared" si="2"/>
        <v/>
      </c>
      <c r="M317" s="54" t="str">
        <f t="shared" si="3"/>
        <v/>
      </c>
      <c r="N317" s="81" t="str">
        <f t="shared" si="5"/>
        <v/>
      </c>
      <c r="O317" s="56">
        <f t="shared" si="6"/>
        <v>0</v>
      </c>
      <c r="P317" s="56">
        <f t="shared" si="7"/>
        <v>0</v>
      </c>
      <c r="Q317" s="65">
        <f t="shared" si="4"/>
        <v>0</v>
      </c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3" t="str">
        <f t="shared" si="2"/>
        <v/>
      </c>
      <c r="M318" s="54" t="str">
        <f t="shared" si="3"/>
        <v/>
      </c>
      <c r="N318" s="81" t="str">
        <f t="shared" si="5"/>
        <v/>
      </c>
      <c r="O318" s="56">
        <f t="shared" si="6"/>
        <v>0</v>
      </c>
      <c r="P318" s="56">
        <f t="shared" si="7"/>
        <v>0</v>
      </c>
      <c r="Q318" s="65">
        <f t="shared" si="4"/>
        <v>0</v>
      </c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3" t="str">
        <f t="shared" si="2"/>
        <v/>
      </c>
      <c r="M319" s="54" t="str">
        <f t="shared" si="3"/>
        <v/>
      </c>
      <c r="N319" s="81" t="str">
        <f t="shared" si="5"/>
        <v/>
      </c>
      <c r="O319" s="56">
        <f t="shared" si="6"/>
        <v>0</v>
      </c>
      <c r="P319" s="56">
        <f t="shared" si="7"/>
        <v>0</v>
      </c>
      <c r="Q319" s="65">
        <f t="shared" si="4"/>
        <v>0</v>
      </c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3" t="str">
        <f t="shared" si="2"/>
        <v/>
      </c>
      <c r="M320" s="54" t="str">
        <f t="shared" si="3"/>
        <v/>
      </c>
      <c r="N320" s="81" t="str">
        <f t="shared" si="5"/>
        <v/>
      </c>
      <c r="O320" s="56">
        <f t="shared" si="6"/>
        <v>0</v>
      </c>
      <c r="P320" s="56">
        <f t="shared" si="7"/>
        <v>0</v>
      </c>
      <c r="Q320" s="65">
        <f t="shared" si="4"/>
        <v>0</v>
      </c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