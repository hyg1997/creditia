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edio salarial" sheetId="1" r:id="rId5"/>
    <sheet state="visible" name="SaldoAfore" sheetId="2" r:id="rId6"/>
    <sheet state="visible" name="SalarioPromedio" sheetId="3" r:id="rId7"/>
    <sheet state="visible" name="CalculoAfore" sheetId="4" r:id="rId8"/>
  </sheets>
  <definedNames/>
  <calcPr/>
</workbook>
</file>

<file path=xl/sharedStrings.xml><?xml version="1.0" encoding="utf-8"?>
<sst xmlns="http://schemas.openxmlformats.org/spreadsheetml/2006/main" count="70" uniqueCount="49">
  <si>
    <t>Pega tus semanas aquí 👇</t>
  </si>
  <si>
    <t>No Modificar</t>
  </si>
  <si>
    <t>Salario promedio de las últimas 250 semanas - actualidad</t>
  </si>
  <si>
    <t>TIPO DE MOVIMIENTO</t>
  </si>
  <si>
    <t>FECHA DE INICIO</t>
  </si>
  <si>
    <t>SALARIO REGISTRADO</t>
  </si>
  <si>
    <t xml:space="preserve">FECHA DE TÉRMINO </t>
  </si>
  <si>
    <t>Nombre 👉</t>
  </si>
  <si>
    <t>MODIFICACION DE SALARIO</t>
  </si>
  <si>
    <t>Total de semanas cotizadas</t>
  </si>
  <si>
    <t># de semanas a promediar</t>
  </si>
  <si>
    <t>Salario de las semanas que se están promediando</t>
  </si>
  <si>
    <t>SEMANAS COTIZADAS TOTALES</t>
  </si>
  <si>
    <t>SEMANAS COTIZADAS</t>
  </si>
  <si>
    <t>RESULTADO</t>
  </si>
  <si>
    <t>REINGRESO</t>
  </si>
  <si>
    <t>BAJA</t>
  </si>
  <si>
    <t>ALTA</t>
  </si>
  <si>
    <t>Saldo Actual Cuentas AFORE a Regresar</t>
  </si>
  <si>
    <t>CAUSAS POR LAS QUE EL SALDO PODRIA SER MENOR AL CALCULADO</t>
  </si>
  <si>
    <t>Retiros Parciales por Desempleo</t>
  </si>
  <si>
    <t>Retiro Parcial por Matrimonio</t>
  </si>
  <si>
    <t>Usó Credito Infonavit</t>
  </si>
  <si>
    <t>FECHA ALTA</t>
  </si>
  <si>
    <t>FECHA BAJA</t>
  </si>
  <si>
    <t>SALARIO DIARIO</t>
  </si>
  <si>
    <t>DÍAS</t>
  </si>
  <si>
    <t>SEMANAS</t>
  </si>
  <si>
    <t>Suma</t>
  </si>
  <si>
    <t>$ -</t>
  </si>
  <si>
    <t>S. D. Promedio</t>
  </si>
  <si>
    <t>No considera Comisiones de AFORE</t>
  </si>
  <si>
    <t>Retiro</t>
  </si>
  <si>
    <t>RCV</t>
  </si>
  <si>
    <t>salario diario</t>
  </si>
  <si>
    <t>Dias</t>
  </si>
  <si>
    <t>SAR 92</t>
  </si>
  <si>
    <t>Rendimientos</t>
  </si>
  <si>
    <t>SAR 97</t>
  </si>
  <si>
    <t>Aportacion Trabajador</t>
  </si>
  <si>
    <t>Aportacion Patronal</t>
  </si>
  <si>
    <t>Cuota Social</t>
  </si>
  <si>
    <t>Vivienda 92</t>
  </si>
  <si>
    <t>Vivienda 97</t>
  </si>
  <si>
    <t>TOTALES</t>
  </si>
  <si>
    <t>IMSS 92</t>
  </si>
  <si>
    <t>IMSS 97</t>
  </si>
  <si>
    <t>VIVIENDA 92</t>
  </si>
  <si>
    <t>VIVIENDA 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</si>
</sst>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"/>
    <numFmt numFmtId="165" formatCode="&quot;$&quot;#,##0.00"/>
    <numFmt numFmtId="166" formatCode="dd/mm/yyyy"/>
    <numFmt numFmtId="167" formatCode="d/M/yyyy"/>
    <numFmt numFmtId="168" formatCode="dd&quot;/&quot;mm&quot;/&quot;yyyy"/>
    <numFmt numFmtId="169" formatCode="d/m/yyyy"/>
  </numFmts>
  <fonts count="27">
    <font>
      <sz val="10.0"/>
      <color rgb="FF000000"/>
      <name val="Arial"/>
      <scheme val="minor"/>
    </font>
    <font>
      <color theme="1"/>
      <name val="Arial"/>
    </font>
    <font>
      <sz val="14.0"/>
      <color rgb="FFFFFFFF"/>
      <name val="Arial"/>
    </font>
    <font/>
    <font>
      <sz val="14.0"/>
      <color rgb="FFFFFFFF"/>
      <name val="Calibri"/>
    </font>
    <font>
      <sz val="8.0"/>
      <color theme="1"/>
      <name val="Arial"/>
    </font>
    <font>
      <b/>
      <sz val="11.0"/>
      <color rgb="FFFFFFFF"/>
      <name val="Arial"/>
    </font>
    <font>
      <b/>
      <sz val="16.0"/>
      <color theme="1"/>
      <name val="Arial"/>
    </font>
    <font>
      <sz val="8.0"/>
      <color rgb="FF1F2320"/>
      <name val="Arial"/>
    </font>
    <font>
      <sz val="8.0"/>
      <color rgb="FF000000"/>
      <name val="Arial"/>
    </font>
    <font>
      <sz val="11.0"/>
      <color theme="1"/>
      <name val="Calibri"/>
    </font>
    <font>
      <b/>
      <sz val="11.0"/>
      <color theme="1"/>
      <name val="Arial"/>
    </font>
    <font>
      <sz val="12.0"/>
      <color rgb="FF00B050"/>
      <name val="Arial"/>
    </font>
    <font>
      <b/>
      <sz val="12.0"/>
      <color rgb="FF00B050"/>
      <name val="Arial"/>
    </font>
    <font>
      <color theme="1"/>
      <name val="Arial"/>
      <scheme val="minor"/>
    </font>
    <font>
      <sz val="9.0"/>
      <color theme="1"/>
      <name val="Arial"/>
    </font>
    <font>
      <b/>
      <sz val="9.0"/>
      <color rgb="FF00B050"/>
      <name val="Arial"/>
    </font>
    <font>
      <color rgb="FF181A18"/>
      <name val="Arial"/>
      <scheme val="minor"/>
    </font>
    <font>
      <sz val="11.0"/>
      <color rgb="FF000000"/>
      <name val="Calibri"/>
    </font>
    <font>
      <b/>
      <sz val="18.0"/>
      <color rgb="FF000000"/>
      <name val="Calibri"/>
    </font>
    <font>
      <b/>
      <sz val="18.0"/>
      <color rgb="FFFFFFFF"/>
      <name val="Calibri"/>
    </font>
    <font>
      <sz val="14.0"/>
      <color rgb="FF000000"/>
      <name val="Calibri"/>
    </font>
    <font>
      <b/>
      <sz val="11.0"/>
      <color theme="1"/>
      <name val="Calibri"/>
    </font>
    <font>
      <sz val="11.0"/>
      <color rgb="FF1F221F"/>
      <name val="&quot;Aptos Narrow&quot;"/>
    </font>
    <font>
      <b/>
      <sz val="11.0"/>
      <color rgb="FF000000"/>
      <name val="Calibri"/>
    </font>
    <font>
      <sz val="11.0"/>
      <color rgb="FF000000"/>
      <name val="Arial"/>
    </font>
    <font>
      <b/>
      <sz val="11.0"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0554E"/>
        <bgColor rgb="FF00554E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  <fill>
      <patternFill patternType="solid">
        <fgColor rgb="FFCCCCCC"/>
        <bgColor rgb="FFCCCCCC"/>
      </patternFill>
    </fill>
    <fill>
      <patternFill patternType="solid">
        <fgColor rgb="FFE7E6E6"/>
        <bgColor rgb="FFE7E6E6"/>
      </patternFill>
    </fill>
    <fill>
      <patternFill patternType="solid">
        <fgColor rgb="FF007E39"/>
        <bgColor rgb="FF007E39"/>
      </patternFill>
    </fill>
    <fill>
      <patternFill patternType="solid">
        <fgColor rgb="FFD6DCE4"/>
        <bgColor rgb="FFD6DCE4"/>
      </patternFill>
    </fill>
    <fill>
      <patternFill patternType="solid">
        <fgColor rgb="FFCCFFCC"/>
        <bgColor rgb="FFCCFFCC"/>
      </patternFill>
    </fill>
    <fill>
      <patternFill patternType="solid">
        <fgColor rgb="FFB4C6E7"/>
        <bgColor rgb="FFB4C6E7"/>
      </patternFill>
    </fill>
  </fills>
  <borders count="47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554E"/>
      </left>
      <right style="medium">
        <color rgb="FF00554E"/>
      </right>
      <top style="medium">
        <color rgb="FF00554E"/>
      </top>
      <bottom style="medium">
        <color rgb="FF00554E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554E"/>
      </bottom>
    </border>
    <border>
      <right style="thick">
        <color rgb="FF000000"/>
      </right>
      <bottom style="medium">
        <color rgb="FF00554E"/>
      </bottom>
    </border>
    <border>
      <right style="thin">
        <color rgb="FFA6A9A9"/>
      </right>
      <bottom style="thin">
        <color rgb="FFA6A9A9"/>
      </bottom>
    </border>
    <border>
      <left style="medium">
        <color rgb="FF025C67"/>
      </left>
      <bottom style="hair">
        <color rgb="FF025C67"/>
      </bottom>
    </border>
    <border>
      <bottom style="hair">
        <color rgb="FF025C67"/>
      </bottom>
    </border>
    <border>
      <right style="hair">
        <color rgb="FF025C67"/>
      </right>
      <bottom style="hair">
        <color rgb="FF025C67"/>
      </bottom>
    </border>
    <border>
      <left style="medium">
        <color rgb="FF025C67"/>
      </left>
      <top style="medium">
        <color rgb="FF025C67"/>
      </top>
      <bottom style="hair">
        <color rgb="FF025C67"/>
      </bottom>
    </border>
    <border>
      <top style="medium">
        <color rgb="FF025C67"/>
      </top>
      <bottom style="hair">
        <color rgb="FF025C67"/>
      </bottom>
    </border>
    <border>
      <right style="hair">
        <color rgb="FF025C67"/>
      </right>
      <top style="medium">
        <color rgb="FF025C67"/>
      </top>
      <bottom style="hair">
        <color rgb="FF025C67"/>
      </bottom>
    </border>
    <border>
      <left style="medium">
        <color rgb="FF025C67"/>
      </left>
      <top style="hair">
        <color rgb="FF025C67"/>
      </top>
      <bottom style="medium">
        <color rgb="FF025C67"/>
      </bottom>
    </border>
    <border>
      <top style="hair">
        <color rgb="FF025C67"/>
      </top>
      <bottom style="medium">
        <color rgb="FF025C67"/>
      </bottom>
    </border>
    <border>
      <left style="medium">
        <color rgb="FF025C67"/>
      </left>
      <right style="hair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hair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medium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medium">
        <color rgb="FF025C67"/>
      </right>
      <bottom style="medium">
        <color rgb="FF025C67"/>
      </bottom>
    </border>
    <border>
      <left style="medium">
        <color rgb="FF025C67"/>
      </left>
      <right style="hair">
        <color rgb="FF00554E"/>
      </right>
      <top style="hair">
        <color rgb="FF00554E"/>
      </top>
      <bottom style="hair">
        <color rgb="FF00554E"/>
      </bottom>
    </border>
    <border>
      <left style="hair">
        <color rgb="FF00554E"/>
      </left>
      <right style="hair">
        <color rgb="FF00554E"/>
      </right>
      <top style="hair">
        <color rgb="FF00554E"/>
      </top>
      <bottom style="hair">
        <color rgb="FF00554E"/>
      </bottom>
    </border>
    <border>
      <left style="hair">
        <color rgb="FF00554E"/>
      </left>
      <top style="hair">
        <color rgb="FF00554E"/>
      </top>
      <bottom style="hair">
        <color rgb="FF00554E"/>
      </bottom>
    </border>
    <border>
      <right style="hair">
        <color rgb="FF00554E"/>
      </right>
      <top style="hair">
        <color rgb="FF025C67"/>
      </top>
      <bottom style="hair">
        <color rgb="FF00554E"/>
      </bottom>
    </border>
    <border>
      <left style="hair">
        <color rgb="FF025C67"/>
      </left>
      <right style="medium">
        <color rgb="FF025C67"/>
      </right>
      <top style="medium">
        <color rgb="FF025C67"/>
      </top>
      <bottom style="hair">
        <color rgb="FF025C67"/>
      </bottom>
    </border>
    <border>
      <left style="hair">
        <color rgb="FF00554E"/>
      </left>
      <right style="medium">
        <color rgb="FF025C67"/>
      </right>
      <top style="hair">
        <color rgb="FF025C67"/>
      </top>
      <bottom style="hair">
        <color rgb="FF00554E"/>
      </bottom>
    </border>
    <border>
      <left style="hair">
        <color rgb="FF00554E"/>
      </left>
      <right style="medium">
        <color rgb="FF025C67"/>
      </right>
      <top style="hair">
        <color rgb="FF00554E"/>
      </top>
      <bottom style="hair">
        <color rgb="FF00554E"/>
      </bottom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shrinkToFit="0" vertical="bottom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vertical="bottom" wrapText="1"/>
    </xf>
    <xf borderId="5" fillId="2" fontId="2" numFmtId="0" xfId="0" applyAlignment="1" applyBorder="1" applyFont="1">
      <alignment horizontal="center" shrinkToFit="0" vertical="bottom" wrapText="1"/>
    </xf>
    <xf borderId="6" fillId="0" fontId="3" numFmtId="0" xfId="0" applyBorder="1" applyFont="1"/>
    <xf borderId="7" fillId="0" fontId="3" numFmtId="0" xfId="0" applyBorder="1" applyFont="1"/>
    <xf borderId="8" fillId="4" fontId="5" numFmtId="0" xfId="0" applyAlignment="1" applyBorder="1" applyFill="1" applyFont="1">
      <alignment horizontal="center" shrinkToFit="0" vertical="center" wrapText="1"/>
    </xf>
    <xf borderId="8" fillId="4" fontId="5" numFmtId="164" xfId="0" applyAlignment="1" applyBorder="1" applyFont="1" applyNumberFormat="1">
      <alignment horizontal="center" shrinkToFit="0" vertical="center" wrapText="1"/>
    </xf>
    <xf borderId="8" fillId="5" fontId="5" numFmtId="164" xfId="0" applyAlignment="1" applyBorder="1" applyFill="1" applyFont="1" applyNumberFormat="1">
      <alignment horizontal="center" shrinkToFit="0" vertical="center" wrapText="1"/>
    </xf>
    <xf borderId="0" fillId="0" fontId="1" numFmtId="16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9" fillId="2" fontId="6" numFmtId="165" xfId="0" applyAlignment="1" applyBorder="1" applyFont="1" applyNumberFormat="1">
      <alignment horizontal="center" shrinkToFit="0" vertical="bottom" wrapText="1"/>
    </xf>
    <xf borderId="10" fillId="0" fontId="7" numFmtId="165" xfId="0" applyAlignment="1" applyBorder="1" applyFont="1" applyNumberFormat="1">
      <alignment horizontal="center" vertical="center"/>
    </xf>
    <xf borderId="10" fillId="0" fontId="3" numFmtId="0" xfId="0" applyBorder="1" applyFont="1"/>
    <xf borderId="11" fillId="0" fontId="3" numFmtId="0" xfId="0" applyBorder="1" applyFont="1"/>
    <xf borderId="0" fillId="0" fontId="8" numFmtId="0" xfId="0" applyAlignment="1" applyFont="1">
      <alignment horizontal="center" readingOrder="0" shrinkToFit="0" wrapText="1"/>
    </xf>
    <xf borderId="0" fillId="0" fontId="8" numFmtId="166" xfId="0" applyAlignment="1" applyFont="1" applyNumberFormat="1">
      <alignment horizontal="center" readingOrder="0" shrinkToFit="0" wrapText="1"/>
    </xf>
    <xf borderId="0" fillId="0" fontId="9" numFmtId="165" xfId="0" applyAlignment="1" applyFont="1" applyNumberFormat="1">
      <alignment horizontal="center" readingOrder="0" shrinkToFit="0" wrapText="1"/>
    </xf>
    <xf borderId="12" fillId="5" fontId="1" numFmtId="166" xfId="0" applyAlignment="1" applyBorder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10" numFmtId="167" xfId="0" applyAlignment="1" applyFont="1" applyNumberFormat="1">
      <alignment horizontal="right" vertical="bottom"/>
    </xf>
    <xf borderId="0" fillId="0" fontId="10" numFmtId="165" xfId="0" applyAlignment="1" applyFont="1" applyNumberFormat="1">
      <alignment horizontal="right" vertical="bottom"/>
    </xf>
    <xf borderId="0" fillId="0" fontId="10" numFmtId="166" xfId="0" applyAlignment="1" applyFont="1" applyNumberFormat="1">
      <alignment horizontal="right" vertical="bottom"/>
    </xf>
    <xf borderId="13" fillId="0" fontId="11" numFmtId="165" xfId="0" applyAlignment="1" applyBorder="1" applyFont="1" applyNumberFormat="1">
      <alignment horizontal="center" shrinkToFit="0" vertical="bottom" wrapText="1"/>
    </xf>
    <xf borderId="14" fillId="0" fontId="3" numFmtId="0" xfId="0" applyBorder="1" applyFont="1"/>
    <xf borderId="15" fillId="0" fontId="3" numFmtId="0" xfId="0" applyBorder="1" applyFont="1"/>
    <xf borderId="9" fillId="6" fontId="12" numFmtId="1" xfId="0" applyAlignment="1" applyBorder="1" applyFill="1" applyFont="1" applyNumberFormat="1">
      <alignment horizontal="center" vertical="bottom"/>
    </xf>
    <xf borderId="16" fillId="0" fontId="11" numFmtId="165" xfId="0" applyAlignment="1" applyBorder="1" applyFont="1" applyNumberFormat="1">
      <alignment horizontal="center" shrinkToFit="0" vertical="bottom" wrapText="1"/>
    </xf>
    <xf borderId="17" fillId="0" fontId="3" numFmtId="0" xfId="0" applyBorder="1" applyFont="1"/>
    <xf borderId="18" fillId="0" fontId="3" numFmtId="0" xfId="0" applyBorder="1" applyFont="1"/>
    <xf borderId="5" fillId="6" fontId="12" numFmtId="1" xfId="0" applyAlignment="1" applyBorder="1" applyFont="1" applyNumberFormat="1">
      <alignment horizontal="center" vertical="bottom"/>
    </xf>
    <xf borderId="19" fillId="2" fontId="6" numFmtId="0" xfId="0" applyAlignment="1" applyBorder="1" applyFont="1">
      <alignment horizontal="center" shrinkToFit="0" vertical="bottom" wrapText="1"/>
    </xf>
    <xf borderId="20" fillId="0" fontId="3" numFmtId="0" xfId="0" applyBorder="1" applyFont="1"/>
    <xf borderId="0" fillId="2" fontId="1" numFmtId="0" xfId="0" applyAlignment="1" applyFont="1">
      <alignment vertical="bottom"/>
    </xf>
    <xf borderId="9" fillId="2" fontId="13" numFmtId="165" xfId="0" applyAlignment="1" applyBorder="1" applyFont="1" applyNumberFormat="1">
      <alignment horizontal="center" vertical="bottom"/>
    </xf>
    <xf borderId="0" fillId="0" fontId="14" numFmtId="0" xfId="0" applyAlignment="1" applyFont="1">
      <alignment readingOrder="0"/>
    </xf>
    <xf borderId="21" fillId="4" fontId="5" numFmtId="0" xfId="0" applyAlignment="1" applyBorder="1" applyFont="1">
      <alignment horizontal="center" shrinkToFit="0" vertical="bottom" wrapText="1"/>
    </xf>
    <xf borderId="22" fillId="4" fontId="5" numFmtId="0" xfId="0" applyAlignment="1" applyBorder="1" applyFont="1">
      <alignment horizontal="center" shrinkToFit="0" vertical="bottom" wrapText="1"/>
    </xf>
    <xf borderId="23" fillId="4" fontId="5" numFmtId="0" xfId="0" applyAlignment="1" applyBorder="1" applyFont="1">
      <alignment horizontal="center" shrinkToFit="0" vertical="bottom" wrapText="1"/>
    </xf>
    <xf borderId="24" fillId="4" fontId="5" numFmtId="165" xfId="0" applyAlignment="1" applyBorder="1" applyFont="1" applyNumberFormat="1">
      <alignment horizontal="center" shrinkToFit="0" vertical="bottom" wrapText="1"/>
    </xf>
    <xf borderId="0" fillId="0" fontId="1" numFmtId="166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25" fillId="6" fontId="1" numFmtId="168" xfId="0" applyAlignment="1" applyBorder="1" applyFont="1" applyNumberFormat="1">
      <alignment vertical="bottom"/>
    </xf>
    <xf borderId="26" fillId="6" fontId="1" numFmtId="168" xfId="0" applyAlignment="1" applyBorder="1" applyFont="1" applyNumberFormat="1">
      <alignment vertical="bottom"/>
    </xf>
    <xf borderId="27" fillId="6" fontId="15" numFmtId="165" xfId="0" applyAlignment="1" applyBorder="1" applyFont="1" applyNumberFormat="1">
      <alignment horizontal="center" vertical="bottom"/>
    </xf>
    <xf borderId="28" fillId="7" fontId="16" numFmtId="2" xfId="0" applyAlignment="1" applyBorder="1" applyFill="1" applyFont="1" applyNumberFormat="1">
      <alignment horizontal="center" vertical="bottom"/>
    </xf>
    <xf borderId="29" fillId="6" fontId="15" numFmtId="165" xfId="0" applyAlignment="1" applyBorder="1" applyFont="1" applyNumberFormat="1">
      <alignment horizontal="center" vertical="bottom"/>
    </xf>
    <xf borderId="0" fillId="0" fontId="14" numFmtId="2" xfId="0" applyFont="1" applyNumberFormat="1"/>
    <xf borderId="30" fillId="6" fontId="15" numFmtId="165" xfId="0" applyAlignment="1" applyBorder="1" applyFont="1" applyNumberFormat="1">
      <alignment horizontal="center" vertical="bottom"/>
    </xf>
    <xf borderId="31" fillId="6" fontId="15" numFmtId="165" xfId="0" applyAlignment="1" applyBorder="1" applyFont="1" applyNumberFormat="1">
      <alignment horizontal="center" vertical="bottom"/>
    </xf>
    <xf borderId="27" fillId="6" fontId="1" numFmtId="165" xfId="0" applyAlignment="1" applyBorder="1" applyFont="1" applyNumberFormat="1">
      <alignment vertical="bottom"/>
    </xf>
    <xf borderId="0" fillId="0" fontId="17" numFmtId="0" xfId="0" applyAlignment="1" applyFont="1">
      <alignment readingOrder="0"/>
    </xf>
    <xf borderId="0" fillId="0" fontId="1" numFmtId="169" xfId="0" applyAlignment="1" applyFont="1" applyNumberFormat="1">
      <alignment vertical="bottom"/>
    </xf>
    <xf borderId="25" fillId="6" fontId="1" numFmtId="167" xfId="0" applyAlignment="1" applyBorder="1" applyFont="1" applyNumberFormat="1">
      <alignment vertical="bottom"/>
    </xf>
    <xf borderId="26" fillId="6" fontId="1" numFmtId="167" xfId="0" applyAlignment="1" applyBorder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8" numFmtId="169" xfId="0" applyAlignment="1" applyFont="1" applyNumberFormat="1">
      <alignment horizontal="center" readingOrder="0" shrinkToFit="0" wrapText="1"/>
    </xf>
    <xf borderId="0" fillId="0" fontId="8" numFmtId="165" xfId="0" applyAlignment="1" applyFont="1" applyNumberFormat="1">
      <alignment horizontal="center" readingOrder="0" shrinkToFit="0" wrapText="1"/>
    </xf>
    <xf borderId="0" fillId="8" fontId="8" numFmtId="165" xfId="0" applyAlignment="1" applyFill="1" applyFont="1" applyNumberFormat="1">
      <alignment horizontal="center" readingOrder="0" shrinkToFit="0" wrapText="1"/>
    </xf>
    <xf borderId="0" fillId="8" fontId="8" numFmtId="166" xfId="0" applyAlignment="1" applyFont="1" applyNumberFormat="1">
      <alignment horizontal="center" readingOrder="0" shrinkToFit="0" wrapText="1"/>
    </xf>
    <xf borderId="0" fillId="8" fontId="9" numFmtId="165" xfId="0" applyAlignment="1" applyFont="1" applyNumberFormat="1">
      <alignment horizontal="center" readingOrder="0" shrinkToFit="0" wrapText="1"/>
    </xf>
    <xf borderId="0" fillId="8" fontId="8" numFmtId="0" xfId="0" applyAlignment="1" applyFont="1">
      <alignment horizontal="center" readingOrder="0" shrinkToFit="0" wrapText="1"/>
    </xf>
    <xf borderId="0" fillId="8" fontId="8" numFmtId="169" xfId="0" applyAlignment="1" applyFont="1" applyNumberFormat="1">
      <alignment horizontal="center" readingOrder="0" shrinkToFit="0" wrapText="1"/>
    </xf>
    <xf borderId="0" fillId="8" fontId="1" numFmtId="0" xfId="0" applyAlignment="1" applyFont="1">
      <alignment vertical="bottom"/>
    </xf>
    <xf borderId="0" fillId="8" fontId="1" numFmtId="166" xfId="0" applyAlignment="1" applyFont="1" applyNumberFormat="1">
      <alignment vertical="bottom"/>
    </xf>
    <xf borderId="0" fillId="8" fontId="1" numFmtId="165" xfId="0" applyAlignment="1" applyFont="1" applyNumberFormat="1">
      <alignment vertical="bottom"/>
    </xf>
    <xf borderId="0" fillId="8" fontId="1" numFmtId="169" xfId="0" applyAlignment="1" applyFont="1" applyNumberFormat="1">
      <alignment vertical="bottom"/>
    </xf>
    <xf borderId="0" fillId="8" fontId="14" numFmtId="0" xfId="0" applyFont="1"/>
    <xf borderId="0" fillId="0" fontId="18" numFmtId="0" xfId="0" applyAlignment="1" applyFont="1">
      <alignment shrinkToFit="0" vertical="bottom" wrapText="0"/>
    </xf>
    <xf borderId="5" fillId="9" fontId="19" numFmtId="0" xfId="0" applyAlignment="1" applyBorder="1" applyFill="1" applyFont="1">
      <alignment horizontal="center" readingOrder="0" shrinkToFit="0" vertical="bottom" wrapText="1"/>
    </xf>
    <xf borderId="5" fillId="10" fontId="20" numFmtId="165" xfId="0" applyAlignment="1" applyBorder="1" applyFill="1" applyFont="1" applyNumberFormat="1">
      <alignment horizontal="center" readingOrder="0" shrinkToFit="0" vertical="bottom" wrapText="0"/>
    </xf>
    <xf borderId="5" fillId="10" fontId="20" numFmtId="0" xfId="0" applyAlignment="1" applyBorder="1" applyFont="1">
      <alignment horizontal="center" readingOrder="0" shrinkToFit="0" vertical="bottom" wrapText="1"/>
    </xf>
    <xf borderId="32" fillId="0" fontId="21" numFmtId="0" xfId="0" applyAlignment="1" applyBorder="1" applyFont="1">
      <alignment horizontal="center" readingOrder="0" shrinkToFit="0" vertical="bottom" wrapText="0"/>
    </xf>
    <xf borderId="33" fillId="0" fontId="3" numFmtId="0" xfId="0" applyBorder="1" applyFont="1"/>
    <xf borderId="34" fillId="0" fontId="3" numFmtId="0" xfId="0" applyBorder="1" applyFont="1"/>
    <xf borderId="35" fillId="0" fontId="21" numFmtId="0" xfId="0" applyAlignment="1" applyBorder="1" applyFont="1">
      <alignment horizontal="center" readingOrder="0" shrinkToFit="0" vertical="bottom" wrapText="0"/>
    </xf>
    <xf borderId="36" fillId="0" fontId="3" numFmtId="0" xfId="0" applyBorder="1" applyFont="1"/>
    <xf borderId="37" fillId="0" fontId="3" numFmtId="0" xfId="0" applyBorder="1" applyFont="1"/>
    <xf borderId="38" fillId="0" fontId="21" numFmtId="0" xfId="0" applyAlignment="1" applyBorder="1" applyFont="1">
      <alignment horizontal="center" readingOrder="0" shrinkToFit="0" vertical="bottom" wrapText="0"/>
    </xf>
    <xf borderId="39" fillId="0" fontId="3" numFmtId="0" xfId="0" applyBorder="1" applyFont="1"/>
    <xf borderId="40" fillId="0" fontId="3" numFmtId="0" xfId="0" applyBorder="1" applyFont="1"/>
    <xf borderId="41" fillId="11" fontId="22" numFmtId="0" xfId="0" applyAlignment="1" applyBorder="1" applyFill="1" applyFont="1">
      <alignment horizontal="center" readingOrder="0" shrinkToFit="0" vertical="bottom" wrapText="0"/>
    </xf>
    <xf borderId="41" fillId="0" fontId="23" numFmtId="168" xfId="0" applyAlignment="1" applyBorder="1" applyFont="1" applyNumberFormat="1">
      <alignment shrinkToFit="0" vertical="top" wrapText="0"/>
    </xf>
    <xf borderId="42" fillId="0" fontId="18" numFmtId="165" xfId="0" applyAlignment="1" applyBorder="1" applyFont="1" applyNumberFormat="1">
      <alignment horizontal="center" shrinkToFit="0" wrapText="0"/>
    </xf>
    <xf borderId="42" fillId="0" fontId="18" numFmtId="0" xfId="0" applyAlignment="1" applyBorder="1" applyFont="1">
      <alignment horizontal="center" readingOrder="0" shrinkToFit="0" vertical="bottom" wrapText="0"/>
    </xf>
    <xf borderId="41" fillId="12" fontId="18" numFmtId="0" xfId="0" applyAlignment="1" applyBorder="1" applyFill="1" applyFont="1">
      <alignment horizontal="right" readingOrder="0" shrinkToFit="0" wrapText="0"/>
    </xf>
    <xf borderId="41" fillId="12" fontId="18" numFmtId="0" xfId="0" applyAlignment="1" applyBorder="1" applyFont="1">
      <alignment horizontal="right" readingOrder="0" shrinkToFit="0" vertical="bottom" wrapText="0"/>
    </xf>
    <xf borderId="41" fillId="0" fontId="23" numFmtId="0" xfId="0" applyAlignment="1" applyBorder="1" applyFont="1">
      <alignment shrinkToFit="0" vertical="top" wrapText="0"/>
    </xf>
    <xf borderId="42" fillId="0" fontId="18" numFmtId="0" xfId="0" applyAlignment="1" applyBorder="1" applyFont="1">
      <alignment horizontal="center" shrinkToFit="0" wrapText="0"/>
    </xf>
    <xf borderId="43" fillId="13" fontId="24" numFmtId="0" xfId="0" applyAlignment="1" applyBorder="1" applyFill="1" applyFont="1">
      <alignment shrinkToFit="0" vertical="bottom" wrapText="0"/>
    </xf>
    <xf borderId="33" fillId="13" fontId="24" numFmtId="0" xfId="0" applyAlignment="1" applyBorder="1" applyFont="1">
      <alignment shrinkToFit="0" vertical="bottom" wrapText="0"/>
    </xf>
    <xf borderId="41" fillId="13" fontId="24" numFmtId="0" xfId="0" applyAlignment="1" applyBorder="1" applyFont="1">
      <alignment readingOrder="0" shrinkToFit="0" vertical="bottom" wrapText="0"/>
    </xf>
    <xf borderId="33" fillId="13" fontId="24" numFmtId="0" xfId="0" applyAlignment="1" applyBorder="1" applyFont="1">
      <alignment horizontal="center" readingOrder="0" shrinkToFit="0" vertical="bottom" wrapText="0"/>
    </xf>
    <xf borderId="44" fillId="13" fontId="18" numFmtId="0" xfId="0" applyAlignment="1" applyBorder="1" applyFont="1">
      <alignment readingOrder="0" shrinkToFit="0" vertical="bottom" wrapText="0"/>
    </xf>
    <xf borderId="0" fillId="4" fontId="18" numFmtId="0" xfId="0" applyAlignment="1" applyFont="1">
      <alignment shrinkToFit="0" vertical="bottom" wrapText="0"/>
    </xf>
    <xf borderId="41" fillId="0" fontId="24" numFmtId="0" xfId="0" applyAlignment="1" applyBorder="1" applyFont="1">
      <alignment readingOrder="0" shrinkToFit="0" vertical="bottom" wrapText="0"/>
    </xf>
    <xf borderId="0" fillId="4" fontId="18" numFmtId="0" xfId="0" applyAlignment="1" applyFont="1">
      <alignment readingOrder="0" shrinkToFit="0" vertical="bottom" wrapText="0"/>
    </xf>
    <xf borderId="0" fillId="0" fontId="25" numFmtId="0" xfId="0" applyAlignment="1" applyFont="1">
      <alignment shrinkToFit="0" vertical="bottom" wrapText="0"/>
    </xf>
    <xf borderId="0" fillId="0" fontId="26" numFmtId="0" xfId="0" applyAlignment="1" applyFont="1">
      <alignment readingOrder="0" shrinkToFit="0" vertical="bottom" wrapText="0"/>
    </xf>
    <xf borderId="0" fillId="0" fontId="25" numFmtId="0" xfId="0" applyAlignment="1" applyFont="1">
      <alignment readingOrder="0" shrinkToFit="0" vertical="bottom" wrapText="0"/>
    </xf>
    <xf borderId="0" fillId="0" fontId="25" numFmtId="0" xfId="0" applyAlignment="1" applyFont="1">
      <alignment horizontal="center" readingOrder="0" shrinkToFit="0" vertical="bottom" wrapText="0"/>
    </xf>
    <xf borderId="0" fillId="0" fontId="25" numFmtId="0" xfId="0" applyAlignment="1" applyFont="1">
      <alignment horizontal="center" shrinkToFit="0" vertical="bottom" wrapText="0"/>
    </xf>
    <xf borderId="45" fillId="0" fontId="25" numFmtId="0" xfId="0" applyAlignment="1" applyBorder="1" applyFont="1">
      <alignment readingOrder="0" shrinkToFit="0" vertical="bottom" wrapText="0"/>
    </xf>
    <xf borderId="46" fillId="0" fontId="25" numFmtId="0" xfId="0" applyAlignment="1" applyBorder="1" applyFont="1">
      <alignment readingOrder="0" shrinkToFit="0" vertical="bottom" wrapText="0"/>
    </xf>
    <xf borderId="0" fillId="0" fontId="25" numFmtId="165" xfId="0" applyAlignment="1" applyFont="1" applyNumberFormat="1">
      <alignment horizontal="center" shrinkToFit="0" vertical="bottom" wrapText="0"/>
    </xf>
    <xf borderId="0" fillId="0" fontId="25" numFmtId="3" xfId="0" applyAlignment="1" applyFont="1" applyNumberFormat="1">
      <alignment horizontal="center" readingOrder="0" shrinkToFit="0" vertical="bottom" wrapText="0"/>
    </xf>
    <xf borderId="0" fillId="0" fontId="25" numFmtId="0" xfId="0" applyAlignment="1" applyFont="1">
      <alignment horizontal="right" readingOrder="0" shrinkToFit="0" vertical="bottom" wrapText="0"/>
    </xf>
    <xf borderId="45" fillId="0" fontId="25" numFmtId="0" xfId="0" applyAlignment="1" applyBorder="1" applyFont="1">
      <alignment shrinkToFit="0" vertical="bottom" wrapText="0"/>
    </xf>
    <xf borderId="46" fillId="0" fontId="25" numFmtId="0" xfId="0" applyAlignment="1" applyBorder="1" applyFont="1">
      <alignment shrinkToFit="0" vertical="bottom" wrapText="0"/>
    </xf>
    <xf borderId="0" fillId="0" fontId="25" numFmtId="165" xfId="0" applyAlignment="1" applyFont="1" applyNumberFormat="1">
      <alignment horizontal="right" readingOrder="0" shrinkToFit="0" vertical="bottom" wrapText="0"/>
    </xf>
    <xf borderId="45" fillId="0" fontId="25" numFmtId="165" xfId="0" applyAlignment="1" applyBorder="1" applyFont="1" applyNumberFormat="1">
      <alignment horizontal="right" readingOrder="0" shrinkToFit="0" vertical="bottom" wrapText="0"/>
    </xf>
    <xf borderId="46" fillId="0" fontId="25" numFmtId="165" xfId="0" applyAlignment="1" applyBorder="1" applyFont="1" applyNumberFormat="1">
      <alignment horizontal="right" readingOrder="0" shrinkToFit="0" vertical="bottom" wrapText="0"/>
    </xf>
    <xf borderId="0" fillId="0" fontId="25" numFmtId="165" xfId="0" applyAlignment="1" applyFont="1" applyNumberFormat="1">
      <alignment horizontal="center" readingOrder="0" shrinkToFit="0" vertical="bottom" wrapText="0"/>
    </xf>
    <xf borderId="0" fillId="0" fontId="25" numFmtId="165" xfId="0" applyAlignment="1" applyFont="1" applyNumberFormat="1">
      <alignment horizontal="center" readingOrder="0" shrinkToFit="0" wrapText="0"/>
    </xf>
    <xf borderId="0" fillId="0" fontId="25" numFmtId="165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9.0"/>
    <col customWidth="1" min="4" max="5" width="9.38"/>
    <col customWidth="1" min="6" max="6" width="8.0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3" t="s">
        <v>0</v>
      </c>
      <c r="C2" s="4"/>
      <c r="D2" s="5"/>
      <c r="E2" s="6" t="s">
        <v>1</v>
      </c>
      <c r="F2" s="1"/>
      <c r="G2" s="1"/>
      <c r="H2" s="1"/>
      <c r="I2" s="1"/>
      <c r="J2" s="1"/>
      <c r="K2" s="1"/>
      <c r="L2" s="7" t="s">
        <v>2</v>
      </c>
      <c r="M2" s="8"/>
      <c r="N2" s="8"/>
      <c r="O2" s="8"/>
      <c r="P2" s="8"/>
      <c r="Q2" s="9"/>
      <c r="R2" s="1"/>
    </row>
    <row r="3">
      <c r="A3" s="1"/>
      <c r="B3" s="10" t="s">
        <v>3</v>
      </c>
      <c r="C3" s="11" t="s">
        <v>4</v>
      </c>
      <c r="D3" s="11" t="s">
        <v>5</v>
      </c>
      <c r="E3" s="12" t="s">
        <v>6</v>
      </c>
      <c r="F3" s="13"/>
      <c r="G3" s="14"/>
      <c r="H3" s="2"/>
      <c r="I3" s="1"/>
      <c r="J3" s="1"/>
      <c r="K3" s="1"/>
      <c r="L3" s="15" t="s">
        <v>7</v>
      </c>
      <c r="M3" s="16" t="str">
        <f>Inicio!E3</f>
        <v>#REF!</v>
      </c>
      <c r="N3" s="17"/>
      <c r="O3" s="17"/>
      <c r="P3" s="17"/>
      <c r="Q3" s="18"/>
      <c r="R3" s="1"/>
    </row>
    <row r="4">
      <c r="B4" s="19" t="s">
        <v>8</v>
      </c>
      <c r="C4" s="20">
        <v>46023.0</v>
      </c>
      <c r="D4" s="21">
        <v>330.57</v>
      </c>
      <c r="E4" s="22">
        <f>IF(B4&lt;&gt;"BAJA",TODAY(),"")</f>
        <v>46106</v>
      </c>
      <c r="F4" s="23"/>
      <c r="G4" s="24" t="str">
        <f>IFERROR(__xludf.DUMMYFUNCTION("filter(B4:E1001,B4:B1001&lt;&gt;"""",B4:B1001&lt;&gt;""BAJA"")"),"MODIFICACION DE SALARIO")</f>
        <v>MODIFICACION DE SALARIO</v>
      </c>
      <c r="H4" s="25">
        <f>IFERROR(__xludf.DUMMYFUNCTION("""COMPUTED_VALUE"""),46023.0)</f>
        <v>46023</v>
      </c>
      <c r="I4" s="26">
        <f>IFERROR(__xludf.DUMMYFUNCTION("""COMPUTED_VALUE"""),330.57)</f>
        <v>330.57</v>
      </c>
      <c r="J4" s="27">
        <f>IFERROR(__xludf.DUMMYFUNCTION("""COMPUTED_VALUE"""),46106.0)</f>
        <v>46106</v>
      </c>
      <c r="K4" s="1"/>
      <c r="L4" s="28" t="s">
        <v>9</v>
      </c>
      <c r="M4" s="29"/>
      <c r="N4" s="29"/>
      <c r="O4" s="29"/>
      <c r="P4" s="30"/>
      <c r="Q4" s="31" t="str">
        <f>Inicio!E7</f>
        <v>#REF!</v>
      </c>
      <c r="R4" s="31" t="str">
        <f>Q4+Inicio!E8</f>
        <v>#REF!</v>
      </c>
    </row>
    <row r="5">
      <c r="B5" s="19" t="s">
        <v>8</v>
      </c>
      <c r="C5" s="20">
        <v>45658.0</v>
      </c>
      <c r="D5" s="21">
        <v>292.54</v>
      </c>
      <c r="E5" s="22">
        <f t="shared" ref="E5:E397" si="1">C4</f>
        <v>46023</v>
      </c>
      <c r="F5" s="23"/>
      <c r="G5" s="24" t="str">
        <f>IFERROR(__xludf.DUMMYFUNCTION("""COMPUTED_VALUE"""),"MODIFICACION DE SALARIO")</f>
        <v>MODIFICACION DE SALARIO</v>
      </c>
      <c r="H5" s="25">
        <f>IFERROR(__xludf.DUMMYFUNCTION("""COMPUTED_VALUE"""),45658.0)</f>
        <v>45658</v>
      </c>
      <c r="I5" s="26">
        <f>IFERROR(__xludf.DUMMYFUNCTION("""COMPUTED_VALUE"""),292.54)</f>
        <v>292.54</v>
      </c>
      <c r="J5" s="27">
        <f>IFERROR(__xludf.DUMMYFUNCTION("""COMPUTED_VALUE"""),46023.0)</f>
        <v>46023</v>
      </c>
      <c r="K5" s="1"/>
      <c r="L5" s="32" t="s">
        <v>10</v>
      </c>
      <c r="M5" s="33"/>
      <c r="N5" s="33"/>
      <c r="O5" s="33"/>
      <c r="P5" s="34"/>
      <c r="Q5" s="35">
        <v>250.0</v>
      </c>
      <c r="R5" s="9"/>
    </row>
    <row r="6">
      <c r="B6" s="19" t="s">
        <v>8</v>
      </c>
      <c r="C6" s="20">
        <v>45292.0</v>
      </c>
      <c r="D6" s="21">
        <v>261.2</v>
      </c>
      <c r="E6" s="22">
        <f t="shared" si="1"/>
        <v>45658</v>
      </c>
      <c r="F6" s="23"/>
      <c r="G6" s="24" t="str">
        <f>IFERROR(__xludf.DUMMYFUNCTION("""COMPUTED_VALUE"""),"MODIFICACION DE SALARIO")</f>
        <v>MODIFICACION DE SALARIO</v>
      </c>
      <c r="H6" s="25">
        <f>IFERROR(__xludf.DUMMYFUNCTION("""COMPUTED_VALUE"""),45292.0)</f>
        <v>45292</v>
      </c>
      <c r="I6" s="26">
        <f>IFERROR(__xludf.DUMMYFUNCTION("""COMPUTED_VALUE"""),261.2)</f>
        <v>261.2</v>
      </c>
      <c r="J6" s="27">
        <f>IFERROR(__xludf.DUMMYFUNCTION("""COMPUTED_VALUE"""),45658.0)</f>
        <v>45658</v>
      </c>
      <c r="K6" s="1"/>
      <c r="L6" s="36" t="s">
        <v>11</v>
      </c>
      <c r="M6" s="37"/>
      <c r="N6" s="37"/>
      <c r="O6" s="38"/>
      <c r="P6" s="38"/>
      <c r="Q6" s="39">
        <f>SUM(Q8:Q151)/250</f>
        <v>237.1975486</v>
      </c>
      <c r="R6" s="39">
        <f>Q6*30.4</f>
        <v>7210.805477</v>
      </c>
      <c r="T6" s="40"/>
      <c r="U6" s="40"/>
    </row>
    <row r="7">
      <c r="B7" s="19" t="s">
        <v>8</v>
      </c>
      <c r="C7" s="20">
        <v>44927.0</v>
      </c>
      <c r="D7" s="21">
        <v>217.67</v>
      </c>
      <c r="E7" s="22">
        <f t="shared" si="1"/>
        <v>45292</v>
      </c>
      <c r="F7" s="23"/>
      <c r="G7" s="24" t="str">
        <f>IFERROR(__xludf.DUMMYFUNCTION("""COMPUTED_VALUE"""),"MODIFICACION DE SALARIO")</f>
        <v>MODIFICACION DE SALARIO</v>
      </c>
      <c r="H7" s="27">
        <f>IFERROR(__xludf.DUMMYFUNCTION("""COMPUTED_VALUE"""),44927.0)</f>
        <v>44927</v>
      </c>
      <c r="I7" s="26">
        <f>IFERROR(__xludf.DUMMYFUNCTION("""COMPUTED_VALUE"""),217.67)</f>
        <v>217.67</v>
      </c>
      <c r="J7" s="27">
        <f>IFERROR(__xludf.DUMMYFUNCTION("""COMPUTED_VALUE"""),45292.0)</f>
        <v>45292</v>
      </c>
      <c r="K7" s="1"/>
      <c r="L7" s="41" t="s">
        <v>4</v>
      </c>
      <c r="M7" s="42" t="s">
        <v>6</v>
      </c>
      <c r="N7" s="43" t="s">
        <v>5</v>
      </c>
      <c r="O7" s="41" t="s">
        <v>12</v>
      </c>
      <c r="P7" s="41" t="s">
        <v>13</v>
      </c>
      <c r="Q7" s="44" t="s">
        <v>14</v>
      </c>
      <c r="R7" s="1"/>
    </row>
    <row r="8">
      <c r="B8" s="19" t="s">
        <v>15</v>
      </c>
      <c r="C8" s="20">
        <v>43435.0</v>
      </c>
      <c r="D8" s="21">
        <v>184.71</v>
      </c>
      <c r="E8" s="22">
        <f t="shared" si="1"/>
        <v>44927</v>
      </c>
      <c r="F8" s="23"/>
      <c r="G8" s="1" t="str">
        <f>IFERROR(__xludf.DUMMYFUNCTION("""COMPUTED_VALUE"""),"REINGRESO")</f>
        <v>REINGRESO</v>
      </c>
      <c r="H8" s="45">
        <f>IFERROR(__xludf.DUMMYFUNCTION("""COMPUTED_VALUE"""),43435.0)</f>
        <v>43435</v>
      </c>
      <c r="I8" s="46">
        <f>IFERROR(__xludf.DUMMYFUNCTION("""COMPUTED_VALUE"""),184.71)</f>
        <v>184.71</v>
      </c>
      <c r="J8" s="45">
        <f>IFERROR(__xludf.DUMMYFUNCTION("""COMPUTED_VALUE"""),44927.0)</f>
        <v>44927</v>
      </c>
      <c r="K8" s="1"/>
      <c r="L8" s="47">
        <f t="shared" ref="L8:L320" si="2">H4</f>
        <v>46023</v>
      </c>
      <c r="M8" s="48">
        <f t="shared" ref="M8:M320" si="3">J4</f>
        <v>46106</v>
      </c>
      <c r="N8" s="49">
        <f t="shared" ref="N8:N320" si="4">I4</f>
        <v>330.57</v>
      </c>
      <c r="O8" s="50">
        <f>DATEDIF(H4-1,J4,"d")/7</f>
        <v>12</v>
      </c>
      <c r="P8" s="50">
        <f>IF((M8-(L8-1))/7&gt;250,250,(M8-(L8-1))/7)</f>
        <v>12</v>
      </c>
      <c r="Q8" s="51">
        <f t="shared" ref="Q8:Q320" si="5">IF(P8&gt;0,P8*N8,0)</f>
        <v>3966.84</v>
      </c>
      <c r="R8" s="1"/>
      <c r="T8" s="52"/>
      <c r="U8" s="52"/>
    </row>
    <row r="9">
      <c r="B9" s="19" t="s">
        <v>16</v>
      </c>
      <c r="C9" s="20">
        <v>37642.0</v>
      </c>
      <c r="D9" s="21">
        <v>263.02</v>
      </c>
      <c r="E9" s="22">
        <f t="shared" si="1"/>
        <v>43435</v>
      </c>
      <c r="F9" s="23"/>
      <c r="G9" s="1" t="str">
        <f>IFERROR(__xludf.DUMMYFUNCTION("""COMPUTED_VALUE"""),"MODIFICACION DE SALARIO")</f>
        <v>MODIFICACION DE SALARIO</v>
      </c>
      <c r="H9" s="45">
        <f>IFERROR(__xludf.DUMMYFUNCTION("""COMPUTED_VALUE"""),37155.0)</f>
        <v>37155</v>
      </c>
      <c r="I9" s="46">
        <f>IFERROR(__xludf.DUMMYFUNCTION("""COMPUTED_VALUE"""),263.02)</f>
        <v>263.02</v>
      </c>
      <c r="J9" s="45">
        <f>IFERROR(__xludf.DUMMYFUNCTION("""COMPUTED_VALUE"""),37642.0)</f>
        <v>37642</v>
      </c>
      <c r="K9" s="1"/>
      <c r="L9" s="47">
        <f t="shared" si="2"/>
        <v>45658</v>
      </c>
      <c r="M9" s="48">
        <f t="shared" si="3"/>
        <v>46023</v>
      </c>
      <c r="N9" s="49">
        <f t="shared" si="4"/>
        <v>292.54</v>
      </c>
      <c r="O9" s="50">
        <f t="shared" ref="O9:O320" si="6">IF(H5="",0,DATEDIF(H5-1,J5,"d")/7)</f>
        <v>52.28571429</v>
      </c>
      <c r="P9" s="50">
        <f t="shared" ref="P9:P320" si="7">IF((M9-(L9-1))/7+SUM($P$8:P8)&gt;250,(250-SUM($P$8:P8)),(M9-(L9-1))/7)</f>
        <v>52.28571429</v>
      </c>
      <c r="Q9" s="53">
        <f t="shared" si="5"/>
        <v>15295.66286</v>
      </c>
      <c r="R9" s="1"/>
    </row>
    <row r="10">
      <c r="B10" s="19" t="s">
        <v>8</v>
      </c>
      <c r="C10" s="20">
        <v>37155.0</v>
      </c>
      <c r="D10" s="21">
        <v>263.02</v>
      </c>
      <c r="E10" s="22">
        <f t="shared" si="1"/>
        <v>37642</v>
      </c>
      <c r="F10" s="23"/>
      <c r="G10" s="1" t="str">
        <f>IFERROR(__xludf.DUMMYFUNCTION("""COMPUTED_VALUE"""),"MODIFICACION DE SALARIO")</f>
        <v>MODIFICACION DE SALARIO</v>
      </c>
      <c r="H10" s="45">
        <f>IFERROR(__xludf.DUMMYFUNCTION("""COMPUTED_VALUE"""),37005.0)</f>
        <v>37005</v>
      </c>
      <c r="I10" s="46">
        <f>IFERROR(__xludf.DUMMYFUNCTION("""COMPUTED_VALUE"""),262.68)</f>
        <v>262.68</v>
      </c>
      <c r="J10" s="45">
        <f>IFERROR(__xludf.DUMMYFUNCTION("""COMPUTED_VALUE"""),37155.0)</f>
        <v>37155</v>
      </c>
      <c r="K10" s="1"/>
      <c r="L10" s="47">
        <f t="shared" si="2"/>
        <v>45292</v>
      </c>
      <c r="M10" s="48">
        <f t="shared" si="3"/>
        <v>45658</v>
      </c>
      <c r="N10" s="49">
        <f t="shared" si="4"/>
        <v>261.2</v>
      </c>
      <c r="O10" s="50">
        <f t="shared" si="6"/>
        <v>52.42857143</v>
      </c>
      <c r="P10" s="50">
        <f t="shared" si="7"/>
        <v>52.42857143</v>
      </c>
      <c r="Q10" s="54">
        <f t="shared" si="5"/>
        <v>13694.34286</v>
      </c>
      <c r="R10" s="1"/>
    </row>
    <row r="11">
      <c r="B11" s="19" t="s">
        <v>8</v>
      </c>
      <c r="C11" s="20">
        <v>37005.0</v>
      </c>
      <c r="D11" s="21">
        <v>262.68</v>
      </c>
      <c r="E11" s="22">
        <f t="shared" si="1"/>
        <v>37155</v>
      </c>
      <c r="F11" s="23"/>
      <c r="G11" s="1" t="str">
        <f>IFERROR(__xludf.DUMMYFUNCTION("""COMPUTED_VALUE"""),"MODIFICACION DE SALARIO")</f>
        <v>MODIFICACION DE SALARIO</v>
      </c>
      <c r="H11" s="45">
        <f>IFERROR(__xludf.DUMMYFUNCTION("""COMPUTED_VALUE"""),36943.0)</f>
        <v>36943</v>
      </c>
      <c r="I11" s="46">
        <f>IFERROR(__xludf.DUMMYFUNCTION("""COMPUTED_VALUE"""),261.3)</f>
        <v>261.3</v>
      </c>
      <c r="J11" s="45">
        <f>IFERROR(__xludf.DUMMYFUNCTION("""COMPUTED_VALUE"""),37005.0)</f>
        <v>37005</v>
      </c>
      <c r="K11" s="1"/>
      <c r="L11" s="47">
        <f t="shared" si="2"/>
        <v>44927</v>
      </c>
      <c r="M11" s="48">
        <f t="shared" si="3"/>
        <v>45292</v>
      </c>
      <c r="N11" s="49">
        <f t="shared" si="4"/>
        <v>217.67</v>
      </c>
      <c r="O11" s="50">
        <f t="shared" si="6"/>
        <v>52.28571429</v>
      </c>
      <c r="P11" s="50">
        <f t="shared" si="7"/>
        <v>52.28571429</v>
      </c>
      <c r="Q11" s="54">
        <f t="shared" si="5"/>
        <v>11381.03143</v>
      </c>
      <c r="R11" s="1"/>
    </row>
    <row r="12">
      <c r="B12" s="19" t="s">
        <v>8</v>
      </c>
      <c r="C12" s="20">
        <v>36943.0</v>
      </c>
      <c r="D12" s="21">
        <v>261.3</v>
      </c>
      <c r="E12" s="22">
        <f t="shared" si="1"/>
        <v>37005</v>
      </c>
      <c r="F12" s="23"/>
      <c r="G12" s="1" t="str">
        <f>IFERROR(__xludf.DUMMYFUNCTION("""COMPUTED_VALUE"""),"MODIFICACION DE SALARIO")</f>
        <v>MODIFICACION DE SALARIO</v>
      </c>
      <c r="H12" s="45">
        <f>IFERROR(__xludf.DUMMYFUNCTION("""COMPUTED_VALUE"""),36745.0)</f>
        <v>36745</v>
      </c>
      <c r="I12" s="46">
        <f>IFERROR(__xludf.DUMMYFUNCTION("""COMPUTED_VALUE"""),230.0)</f>
        <v>230</v>
      </c>
      <c r="J12" s="45">
        <f>IFERROR(__xludf.DUMMYFUNCTION("""COMPUTED_VALUE"""),36943.0)</f>
        <v>36943</v>
      </c>
      <c r="K12" s="1"/>
      <c r="L12" s="47">
        <f t="shared" si="2"/>
        <v>43435</v>
      </c>
      <c r="M12" s="48">
        <f t="shared" si="3"/>
        <v>44927</v>
      </c>
      <c r="N12" s="55">
        <f t="shared" si="4"/>
        <v>184.71</v>
      </c>
      <c r="O12" s="50">
        <f t="shared" si="6"/>
        <v>213.2857143</v>
      </c>
      <c r="P12" s="50">
        <f t="shared" si="7"/>
        <v>81</v>
      </c>
      <c r="Q12" s="54">
        <f t="shared" si="5"/>
        <v>14961.51</v>
      </c>
      <c r="R12" s="1"/>
    </row>
    <row r="13">
      <c r="B13" s="19" t="s">
        <v>8</v>
      </c>
      <c r="C13" s="20">
        <v>36745.0</v>
      </c>
      <c r="D13" s="21">
        <v>230.0</v>
      </c>
      <c r="E13" s="22">
        <f t="shared" si="1"/>
        <v>36943</v>
      </c>
      <c r="F13" s="23"/>
      <c r="G13" s="1" t="str">
        <f>IFERROR(__xludf.DUMMYFUNCTION("""COMPUTED_VALUE"""),"MODIFICACION DE SALARIO")</f>
        <v>MODIFICACION DE SALARIO</v>
      </c>
      <c r="H13" s="45">
        <f>IFERROR(__xludf.DUMMYFUNCTION("""COMPUTED_VALUE"""),35886.0)</f>
        <v>35886</v>
      </c>
      <c r="I13" s="46">
        <f>IFERROR(__xludf.DUMMYFUNCTION("""COMPUTED_VALUE"""),156.78)</f>
        <v>156.78</v>
      </c>
      <c r="J13" s="45">
        <f>IFERROR(__xludf.DUMMYFUNCTION("""COMPUTED_VALUE"""),36745.0)</f>
        <v>36745</v>
      </c>
      <c r="K13" s="1"/>
      <c r="L13" s="47">
        <f t="shared" si="2"/>
        <v>37155</v>
      </c>
      <c r="M13" s="48">
        <f t="shared" si="3"/>
        <v>37642</v>
      </c>
      <c r="N13" s="55">
        <f t="shared" si="4"/>
        <v>263.02</v>
      </c>
      <c r="O13" s="50">
        <f t="shared" si="6"/>
        <v>69.71428571</v>
      </c>
      <c r="P13" s="50">
        <f t="shared" si="7"/>
        <v>0</v>
      </c>
      <c r="Q13" s="54">
        <f t="shared" si="5"/>
        <v>0</v>
      </c>
      <c r="R13" s="1"/>
      <c r="T13" s="56"/>
      <c r="U13" s="56"/>
    </row>
    <row r="14">
      <c r="B14" s="19" t="s">
        <v>8</v>
      </c>
      <c r="C14" s="20">
        <v>35886.0</v>
      </c>
      <c r="D14" s="21">
        <v>156.78</v>
      </c>
      <c r="E14" s="22">
        <f t="shared" si="1"/>
        <v>36745</v>
      </c>
      <c r="F14" s="23"/>
      <c r="G14" s="1" t="str">
        <f>IFERROR(__xludf.DUMMYFUNCTION("""COMPUTED_VALUE"""),"MODIFICACION DE SALARIO")</f>
        <v>MODIFICACION DE SALARIO</v>
      </c>
      <c r="H14" s="45">
        <f>IFERROR(__xludf.DUMMYFUNCTION("""COMPUTED_VALUE"""),35400.0)</f>
        <v>35400</v>
      </c>
      <c r="I14" s="46">
        <f>IFERROR(__xludf.DUMMYFUNCTION("""COMPUTED_VALUE"""),104.52)</f>
        <v>104.52</v>
      </c>
      <c r="J14" s="45">
        <f>IFERROR(__xludf.DUMMYFUNCTION("""COMPUTED_VALUE"""),35886.0)</f>
        <v>35886</v>
      </c>
      <c r="K14" s="1"/>
      <c r="L14" s="47">
        <f t="shared" si="2"/>
        <v>37005</v>
      </c>
      <c r="M14" s="48">
        <f t="shared" si="3"/>
        <v>37155</v>
      </c>
      <c r="N14" s="55">
        <f t="shared" si="4"/>
        <v>262.68</v>
      </c>
      <c r="O14" s="50">
        <f t="shared" si="6"/>
        <v>21.57142857</v>
      </c>
      <c r="P14" s="50">
        <f t="shared" si="7"/>
        <v>0</v>
      </c>
      <c r="Q14" s="54">
        <f t="shared" si="5"/>
        <v>0</v>
      </c>
      <c r="R14" s="1"/>
      <c r="T14" s="56"/>
      <c r="U14" s="56"/>
    </row>
    <row r="15">
      <c r="B15" s="19" t="s">
        <v>8</v>
      </c>
      <c r="C15" s="20">
        <v>35400.0</v>
      </c>
      <c r="D15" s="21">
        <v>104.52</v>
      </c>
      <c r="E15" s="22">
        <f t="shared" si="1"/>
        <v>35886</v>
      </c>
      <c r="F15" s="23"/>
      <c r="G15" s="1" t="str">
        <f>IFERROR(__xludf.DUMMYFUNCTION("""COMPUTED_VALUE"""),"REINGRESO")</f>
        <v>REINGRESO</v>
      </c>
      <c r="H15" s="45">
        <f>IFERROR(__xludf.DUMMYFUNCTION("""COMPUTED_VALUE"""),34912.0)</f>
        <v>34912</v>
      </c>
      <c r="I15" s="46">
        <f>IFERROR(__xludf.DUMMYFUNCTION("""COMPUTED_VALUE"""),70.0)</f>
        <v>70</v>
      </c>
      <c r="J15" s="45">
        <f>IFERROR(__xludf.DUMMYFUNCTION("""COMPUTED_VALUE"""),35400.0)</f>
        <v>35400</v>
      </c>
      <c r="K15" s="1"/>
      <c r="L15" s="47">
        <f t="shared" si="2"/>
        <v>36943</v>
      </c>
      <c r="M15" s="48">
        <f t="shared" si="3"/>
        <v>37005</v>
      </c>
      <c r="N15" s="55">
        <f t="shared" si="4"/>
        <v>261.3</v>
      </c>
      <c r="O15" s="50">
        <f t="shared" si="6"/>
        <v>9</v>
      </c>
      <c r="P15" s="50">
        <f t="shared" si="7"/>
        <v>0</v>
      </c>
      <c r="Q15" s="54">
        <f t="shared" si="5"/>
        <v>0</v>
      </c>
      <c r="R15" s="1"/>
      <c r="T15" s="56"/>
      <c r="U15" s="56"/>
    </row>
    <row r="16">
      <c r="B16" s="19" t="s">
        <v>15</v>
      </c>
      <c r="C16" s="20">
        <v>34912.0</v>
      </c>
      <c r="D16" s="21">
        <v>70.0</v>
      </c>
      <c r="E16" s="22">
        <f t="shared" si="1"/>
        <v>35400</v>
      </c>
      <c r="F16" s="23"/>
      <c r="G16" s="1" t="str">
        <f>IFERROR(__xludf.DUMMYFUNCTION("""COMPUTED_VALUE"""),"ALTA")</f>
        <v>ALTA</v>
      </c>
      <c r="H16" s="45">
        <f>IFERROR(__xludf.DUMMYFUNCTION("""COMPUTED_VALUE"""),34127.0)</f>
        <v>34127</v>
      </c>
      <c r="I16" s="46">
        <f>IFERROR(__xludf.DUMMYFUNCTION("""COMPUTED_VALUE"""),30.57)</f>
        <v>30.57</v>
      </c>
      <c r="J16" s="45">
        <f>IFERROR(__xludf.DUMMYFUNCTION("""COMPUTED_VALUE"""),34145.0)</f>
        <v>34145</v>
      </c>
      <c r="K16" s="1"/>
      <c r="L16" s="47">
        <f t="shared" si="2"/>
        <v>36745</v>
      </c>
      <c r="M16" s="48">
        <f t="shared" si="3"/>
        <v>36943</v>
      </c>
      <c r="N16" s="55">
        <f t="shared" si="4"/>
        <v>230</v>
      </c>
      <c r="O16" s="50">
        <f t="shared" si="6"/>
        <v>28.42857143</v>
      </c>
      <c r="P16" s="50">
        <f t="shared" si="7"/>
        <v>0</v>
      </c>
      <c r="Q16" s="54">
        <f t="shared" si="5"/>
        <v>0</v>
      </c>
      <c r="R16" s="1"/>
      <c r="T16" s="56"/>
      <c r="U16" s="56"/>
    </row>
    <row r="17">
      <c r="B17" s="19" t="s">
        <v>16</v>
      </c>
      <c r="C17" s="20">
        <v>34145.0</v>
      </c>
      <c r="D17" s="21">
        <v>30.57</v>
      </c>
      <c r="E17" s="22">
        <f t="shared" si="1"/>
        <v>34912</v>
      </c>
      <c r="F17" s="23"/>
      <c r="G17" s="1"/>
      <c r="H17" s="45"/>
      <c r="I17" s="46"/>
      <c r="J17" s="45"/>
      <c r="K17" s="1"/>
      <c r="L17" s="47">
        <f t="shared" si="2"/>
        <v>35886</v>
      </c>
      <c r="M17" s="48">
        <f t="shared" si="3"/>
        <v>36745</v>
      </c>
      <c r="N17" s="55">
        <f t="shared" si="4"/>
        <v>156.78</v>
      </c>
      <c r="O17" s="50">
        <f t="shared" si="6"/>
        <v>122.8571429</v>
      </c>
      <c r="P17" s="50">
        <f t="shared" si="7"/>
        <v>0</v>
      </c>
      <c r="Q17" s="54">
        <f t="shared" si="5"/>
        <v>0</v>
      </c>
      <c r="R17" s="1"/>
      <c r="T17" s="56"/>
      <c r="U17" s="56"/>
    </row>
    <row r="18">
      <c r="B18" s="19" t="s">
        <v>17</v>
      </c>
      <c r="C18" s="20">
        <v>34127.0</v>
      </c>
      <c r="D18" s="21">
        <v>30.57</v>
      </c>
      <c r="E18" s="22">
        <f t="shared" si="1"/>
        <v>34145</v>
      </c>
      <c r="F18" s="23"/>
      <c r="G18" s="1"/>
      <c r="H18" s="45"/>
      <c r="I18" s="46"/>
      <c r="J18" s="45"/>
      <c r="K18" s="1"/>
      <c r="L18" s="47">
        <f t="shared" si="2"/>
        <v>35400</v>
      </c>
      <c r="M18" s="48">
        <f t="shared" si="3"/>
        <v>35886</v>
      </c>
      <c r="N18" s="55">
        <f t="shared" si="4"/>
        <v>104.52</v>
      </c>
      <c r="O18" s="50">
        <f t="shared" si="6"/>
        <v>69.57142857</v>
      </c>
      <c r="P18" s="50">
        <f t="shared" si="7"/>
        <v>0</v>
      </c>
      <c r="Q18" s="54">
        <f t="shared" si="5"/>
        <v>0</v>
      </c>
      <c r="R18" s="1"/>
      <c r="T18" s="56"/>
      <c r="U18" s="56"/>
    </row>
    <row r="19">
      <c r="B19" s="19"/>
      <c r="C19" s="20"/>
      <c r="D19" s="21"/>
      <c r="E19" s="22">
        <f t="shared" si="1"/>
        <v>34127</v>
      </c>
      <c r="F19" s="23"/>
      <c r="G19" s="1"/>
      <c r="H19" s="45"/>
      <c r="I19" s="46"/>
      <c r="J19" s="45"/>
      <c r="K19" s="1"/>
      <c r="L19" s="47">
        <f t="shared" si="2"/>
        <v>34912</v>
      </c>
      <c r="M19" s="48">
        <f t="shared" si="3"/>
        <v>35400</v>
      </c>
      <c r="N19" s="55">
        <f t="shared" si="4"/>
        <v>70</v>
      </c>
      <c r="O19" s="50">
        <f t="shared" si="6"/>
        <v>69.85714286</v>
      </c>
      <c r="P19" s="50">
        <f t="shared" si="7"/>
        <v>0</v>
      </c>
      <c r="Q19" s="54">
        <f t="shared" si="5"/>
        <v>0</v>
      </c>
      <c r="R19" s="1"/>
      <c r="T19" s="56"/>
      <c r="U19" s="56"/>
    </row>
    <row r="20">
      <c r="B20" s="19"/>
      <c r="C20" s="20"/>
      <c r="D20" s="21"/>
      <c r="E20" s="22" t="str">
        <f t="shared" si="1"/>
        <v/>
      </c>
      <c r="F20" s="23"/>
      <c r="G20" s="1"/>
      <c r="H20" s="45"/>
      <c r="I20" s="46"/>
      <c r="J20" s="45"/>
      <c r="K20" s="1"/>
      <c r="L20" s="47">
        <f t="shared" si="2"/>
        <v>34127</v>
      </c>
      <c r="M20" s="48">
        <f t="shared" si="3"/>
        <v>34145</v>
      </c>
      <c r="N20" s="55">
        <f t="shared" si="4"/>
        <v>30.57</v>
      </c>
      <c r="O20" s="50">
        <f t="shared" si="6"/>
        <v>2.714285714</v>
      </c>
      <c r="P20" s="50">
        <f t="shared" si="7"/>
        <v>0</v>
      </c>
      <c r="Q20" s="54">
        <f t="shared" si="5"/>
        <v>0</v>
      </c>
      <c r="R20" s="1"/>
      <c r="T20" s="56"/>
      <c r="U20" s="56"/>
    </row>
    <row r="21">
      <c r="B21" s="19"/>
      <c r="C21" s="20"/>
      <c r="D21" s="21"/>
      <c r="E21" s="22" t="str">
        <f t="shared" si="1"/>
        <v/>
      </c>
      <c r="F21" s="23"/>
      <c r="G21" s="1"/>
      <c r="H21" s="45"/>
      <c r="I21" s="46"/>
      <c r="J21" s="45"/>
      <c r="K21" s="1"/>
      <c r="L21" s="47" t="str">
        <f t="shared" si="2"/>
        <v/>
      </c>
      <c r="M21" s="48" t="str">
        <f t="shared" si="3"/>
        <v/>
      </c>
      <c r="N21" s="55" t="str">
        <f t="shared" si="4"/>
        <v/>
      </c>
      <c r="O21" s="50">
        <f t="shared" si="6"/>
        <v>0</v>
      </c>
      <c r="P21" s="50">
        <f t="shared" si="7"/>
        <v>0</v>
      </c>
      <c r="Q21" s="54">
        <f t="shared" si="5"/>
        <v>0</v>
      </c>
      <c r="R21" s="1"/>
      <c r="T21" s="56"/>
      <c r="U21" s="56"/>
    </row>
    <row r="22">
      <c r="B22" s="19"/>
      <c r="C22" s="20"/>
      <c r="D22" s="21"/>
      <c r="E22" s="22" t="str">
        <f t="shared" si="1"/>
        <v/>
      </c>
      <c r="F22" s="23"/>
      <c r="G22" s="1"/>
      <c r="H22" s="45"/>
      <c r="I22" s="46"/>
      <c r="J22" s="45"/>
      <c r="K22" s="1"/>
      <c r="L22" s="47" t="str">
        <f t="shared" si="2"/>
        <v/>
      </c>
      <c r="M22" s="48" t="str">
        <f t="shared" si="3"/>
        <v/>
      </c>
      <c r="N22" s="55" t="str">
        <f t="shared" si="4"/>
        <v/>
      </c>
      <c r="O22" s="50">
        <f t="shared" si="6"/>
        <v>0</v>
      </c>
      <c r="P22" s="50">
        <f t="shared" si="7"/>
        <v>0</v>
      </c>
      <c r="Q22" s="54">
        <f t="shared" si="5"/>
        <v>0</v>
      </c>
      <c r="R22" s="1"/>
      <c r="T22" s="56"/>
      <c r="U22" s="56"/>
    </row>
    <row r="23">
      <c r="B23" s="19"/>
      <c r="C23" s="20"/>
      <c r="D23" s="21"/>
      <c r="E23" s="22" t="str">
        <f t="shared" si="1"/>
        <v/>
      </c>
      <c r="F23" s="23"/>
      <c r="G23" s="1"/>
      <c r="H23" s="45"/>
      <c r="I23" s="46"/>
      <c r="J23" s="45"/>
      <c r="K23" s="1"/>
      <c r="L23" s="47" t="str">
        <f t="shared" si="2"/>
        <v/>
      </c>
      <c r="M23" s="48" t="str">
        <f t="shared" si="3"/>
        <v/>
      </c>
      <c r="N23" s="55" t="str">
        <f t="shared" si="4"/>
        <v/>
      </c>
      <c r="O23" s="50">
        <f t="shared" si="6"/>
        <v>0</v>
      </c>
      <c r="P23" s="50">
        <f t="shared" si="7"/>
        <v>0</v>
      </c>
      <c r="Q23" s="54">
        <f t="shared" si="5"/>
        <v>0</v>
      </c>
      <c r="R23" s="1"/>
      <c r="T23" s="56"/>
      <c r="U23" s="56"/>
    </row>
    <row r="24">
      <c r="B24" s="19"/>
      <c r="C24" s="20"/>
      <c r="D24" s="21"/>
      <c r="E24" s="22" t="str">
        <f t="shared" si="1"/>
        <v/>
      </c>
      <c r="F24" s="1"/>
      <c r="G24" s="1"/>
      <c r="H24" s="45"/>
      <c r="I24" s="46"/>
      <c r="J24" s="45"/>
      <c r="K24" s="1"/>
      <c r="L24" s="47" t="str">
        <f t="shared" si="2"/>
        <v/>
      </c>
      <c r="M24" s="48" t="str">
        <f t="shared" si="3"/>
        <v/>
      </c>
      <c r="N24" s="55" t="str">
        <f t="shared" si="4"/>
        <v/>
      </c>
      <c r="O24" s="50">
        <f t="shared" si="6"/>
        <v>0</v>
      </c>
      <c r="P24" s="50">
        <f t="shared" si="7"/>
        <v>0</v>
      </c>
      <c r="Q24" s="54">
        <f t="shared" si="5"/>
        <v>0</v>
      </c>
      <c r="R24" s="1"/>
      <c r="T24" s="56"/>
      <c r="U24" s="56"/>
    </row>
    <row r="25">
      <c r="B25" s="19"/>
      <c r="C25" s="20"/>
      <c r="D25" s="21"/>
      <c r="E25" s="22" t="str">
        <f t="shared" si="1"/>
        <v/>
      </c>
      <c r="F25" s="1"/>
      <c r="G25" s="1"/>
      <c r="H25" s="45"/>
      <c r="I25" s="46"/>
      <c r="J25" s="45"/>
      <c r="K25" s="1"/>
      <c r="L25" s="47" t="str">
        <f t="shared" si="2"/>
        <v/>
      </c>
      <c r="M25" s="48" t="str">
        <f t="shared" si="3"/>
        <v/>
      </c>
      <c r="N25" s="55" t="str">
        <f t="shared" si="4"/>
        <v/>
      </c>
      <c r="O25" s="50">
        <f t="shared" si="6"/>
        <v>0</v>
      </c>
      <c r="P25" s="50">
        <f t="shared" si="7"/>
        <v>0</v>
      </c>
      <c r="Q25" s="54">
        <f t="shared" si="5"/>
        <v>0</v>
      </c>
      <c r="R25" s="1"/>
      <c r="T25" s="56"/>
      <c r="U25" s="56"/>
    </row>
    <row r="26">
      <c r="B26" s="19"/>
      <c r="C26" s="20"/>
      <c r="D26" s="21"/>
      <c r="E26" s="22" t="str">
        <f t="shared" si="1"/>
        <v/>
      </c>
      <c r="F26" s="1"/>
      <c r="G26" s="1"/>
      <c r="H26" s="45"/>
      <c r="I26" s="46"/>
      <c r="J26" s="45"/>
      <c r="K26" s="1"/>
      <c r="L26" s="47" t="str">
        <f t="shared" si="2"/>
        <v/>
      </c>
      <c r="M26" s="48" t="str">
        <f t="shared" si="3"/>
        <v/>
      </c>
      <c r="N26" s="55" t="str">
        <f t="shared" si="4"/>
        <v/>
      </c>
      <c r="O26" s="50">
        <f t="shared" si="6"/>
        <v>0</v>
      </c>
      <c r="P26" s="50">
        <f t="shared" si="7"/>
        <v>0</v>
      </c>
      <c r="Q26" s="54">
        <f t="shared" si="5"/>
        <v>0</v>
      </c>
      <c r="R26" s="1"/>
      <c r="T26" s="56"/>
      <c r="U26" s="56"/>
    </row>
    <row r="27">
      <c r="B27" s="19"/>
      <c r="C27" s="20"/>
      <c r="D27" s="21"/>
      <c r="E27" s="22" t="str">
        <f t="shared" si="1"/>
        <v/>
      </c>
      <c r="F27" s="1"/>
      <c r="G27" s="1"/>
      <c r="H27" s="45"/>
      <c r="I27" s="46"/>
      <c r="J27" s="45"/>
      <c r="K27" s="1"/>
      <c r="L27" s="47" t="str">
        <f t="shared" si="2"/>
        <v/>
      </c>
      <c r="M27" s="48" t="str">
        <f t="shared" si="3"/>
        <v/>
      </c>
      <c r="N27" s="55" t="str">
        <f t="shared" si="4"/>
        <v/>
      </c>
      <c r="O27" s="50">
        <f t="shared" si="6"/>
        <v>0</v>
      </c>
      <c r="P27" s="50">
        <f t="shared" si="7"/>
        <v>0</v>
      </c>
      <c r="Q27" s="54">
        <f t="shared" si="5"/>
        <v>0</v>
      </c>
      <c r="R27" s="1"/>
      <c r="T27" s="56"/>
      <c r="U27" s="56"/>
    </row>
    <row r="28">
      <c r="B28" s="19"/>
      <c r="C28" s="20"/>
      <c r="D28" s="21"/>
      <c r="E28" s="22" t="str">
        <f t="shared" si="1"/>
        <v/>
      </c>
      <c r="F28" s="1"/>
      <c r="G28" s="1"/>
      <c r="H28" s="45"/>
      <c r="I28" s="46"/>
      <c r="J28" s="45"/>
      <c r="K28" s="1"/>
      <c r="L28" s="47" t="str">
        <f t="shared" si="2"/>
        <v/>
      </c>
      <c r="M28" s="48" t="str">
        <f t="shared" si="3"/>
        <v/>
      </c>
      <c r="N28" s="55" t="str">
        <f t="shared" si="4"/>
        <v/>
      </c>
      <c r="O28" s="50">
        <f t="shared" si="6"/>
        <v>0</v>
      </c>
      <c r="P28" s="50">
        <f t="shared" si="7"/>
        <v>0</v>
      </c>
      <c r="Q28" s="54">
        <f t="shared" si="5"/>
        <v>0</v>
      </c>
      <c r="R28" s="1"/>
      <c r="T28" s="56"/>
      <c r="U28" s="56"/>
    </row>
    <row r="29">
      <c r="B29" s="19"/>
      <c r="C29" s="20"/>
      <c r="D29" s="21"/>
      <c r="E29" s="22" t="str">
        <f t="shared" si="1"/>
        <v/>
      </c>
      <c r="F29" s="1"/>
      <c r="G29" s="1"/>
      <c r="H29" s="45"/>
      <c r="I29" s="46"/>
      <c r="J29" s="45"/>
      <c r="K29" s="1"/>
      <c r="L29" s="47" t="str">
        <f t="shared" si="2"/>
        <v/>
      </c>
      <c r="M29" s="48" t="str">
        <f t="shared" si="3"/>
        <v/>
      </c>
      <c r="N29" s="55" t="str">
        <f t="shared" si="4"/>
        <v/>
      </c>
      <c r="O29" s="50">
        <f t="shared" si="6"/>
        <v>0</v>
      </c>
      <c r="P29" s="50">
        <f t="shared" si="7"/>
        <v>0</v>
      </c>
      <c r="Q29" s="54">
        <f t="shared" si="5"/>
        <v>0</v>
      </c>
      <c r="R29" s="1"/>
      <c r="T29" s="56"/>
      <c r="U29" s="56"/>
    </row>
    <row r="30">
      <c r="B30" s="19"/>
      <c r="C30" s="20"/>
      <c r="D30" s="21"/>
      <c r="E30" s="22" t="str">
        <f t="shared" si="1"/>
        <v/>
      </c>
      <c r="F30" s="1"/>
      <c r="G30" s="1"/>
      <c r="H30" s="45"/>
      <c r="I30" s="46"/>
      <c r="J30" s="45"/>
      <c r="K30" s="1"/>
      <c r="L30" s="47" t="str">
        <f t="shared" si="2"/>
        <v/>
      </c>
      <c r="M30" s="48" t="str">
        <f t="shared" si="3"/>
        <v/>
      </c>
      <c r="N30" s="55" t="str">
        <f t="shared" si="4"/>
        <v/>
      </c>
      <c r="O30" s="50">
        <f t="shared" si="6"/>
        <v>0</v>
      </c>
      <c r="P30" s="50">
        <f t="shared" si="7"/>
        <v>0</v>
      </c>
      <c r="Q30" s="54">
        <f t="shared" si="5"/>
        <v>0</v>
      </c>
      <c r="R30" s="1"/>
      <c r="T30" s="56"/>
      <c r="U30" s="56"/>
    </row>
    <row r="31">
      <c r="B31" s="19"/>
      <c r="C31" s="20"/>
      <c r="D31" s="21"/>
      <c r="E31" s="22" t="str">
        <f t="shared" si="1"/>
        <v/>
      </c>
      <c r="F31" s="1"/>
      <c r="G31" s="1"/>
      <c r="H31" s="45"/>
      <c r="I31" s="46"/>
      <c r="J31" s="45"/>
      <c r="K31" s="1"/>
      <c r="L31" s="47" t="str">
        <f t="shared" si="2"/>
        <v/>
      </c>
      <c r="M31" s="48" t="str">
        <f t="shared" si="3"/>
        <v/>
      </c>
      <c r="N31" s="55" t="str">
        <f t="shared" si="4"/>
        <v/>
      </c>
      <c r="O31" s="50">
        <f t="shared" si="6"/>
        <v>0</v>
      </c>
      <c r="P31" s="50">
        <f t="shared" si="7"/>
        <v>0</v>
      </c>
      <c r="Q31" s="54">
        <f t="shared" si="5"/>
        <v>0</v>
      </c>
      <c r="R31" s="1"/>
      <c r="T31" s="56"/>
      <c r="U31" s="56"/>
    </row>
    <row r="32">
      <c r="B32" s="19"/>
      <c r="C32" s="20"/>
      <c r="D32" s="21"/>
      <c r="E32" s="22" t="str">
        <f t="shared" si="1"/>
        <v/>
      </c>
      <c r="F32" s="1"/>
      <c r="G32" s="1"/>
      <c r="H32" s="57"/>
      <c r="I32" s="46"/>
      <c r="J32" s="45"/>
      <c r="K32" s="1"/>
      <c r="L32" s="47" t="str">
        <f t="shared" si="2"/>
        <v/>
      </c>
      <c r="M32" s="48" t="str">
        <f t="shared" si="3"/>
        <v/>
      </c>
      <c r="N32" s="55" t="str">
        <f t="shared" si="4"/>
        <v/>
      </c>
      <c r="O32" s="50">
        <f t="shared" si="6"/>
        <v>0</v>
      </c>
      <c r="P32" s="50">
        <f t="shared" si="7"/>
        <v>0</v>
      </c>
      <c r="Q32" s="54">
        <f t="shared" si="5"/>
        <v>0</v>
      </c>
      <c r="R32" s="1"/>
    </row>
    <row r="33">
      <c r="B33" s="19"/>
      <c r="C33" s="20"/>
      <c r="D33" s="21"/>
      <c r="E33" s="22" t="str">
        <f t="shared" si="1"/>
        <v/>
      </c>
      <c r="F33" s="1"/>
      <c r="G33" s="1"/>
      <c r="H33" s="45"/>
      <c r="I33" s="46"/>
      <c r="J33" s="45"/>
      <c r="K33" s="1"/>
      <c r="L33" s="47" t="str">
        <f t="shared" si="2"/>
        <v/>
      </c>
      <c r="M33" s="48" t="str">
        <f t="shared" si="3"/>
        <v/>
      </c>
      <c r="N33" s="55" t="str">
        <f t="shared" si="4"/>
        <v/>
      </c>
      <c r="O33" s="50">
        <f t="shared" si="6"/>
        <v>0</v>
      </c>
      <c r="P33" s="50">
        <f t="shared" si="7"/>
        <v>0</v>
      </c>
      <c r="Q33" s="54">
        <f t="shared" si="5"/>
        <v>0</v>
      </c>
      <c r="R33" s="1"/>
    </row>
    <row r="34">
      <c r="B34" s="19"/>
      <c r="C34" s="20"/>
      <c r="D34" s="21"/>
      <c r="E34" s="22" t="str">
        <f t="shared" si="1"/>
        <v/>
      </c>
      <c r="F34" s="1"/>
      <c r="G34" s="1"/>
      <c r="H34" s="45"/>
      <c r="I34" s="46"/>
      <c r="J34" s="45"/>
      <c r="K34" s="1"/>
      <c r="L34" s="47" t="str">
        <f t="shared" si="2"/>
        <v/>
      </c>
      <c r="M34" s="48" t="str">
        <f t="shared" si="3"/>
        <v/>
      </c>
      <c r="N34" s="55" t="str">
        <f t="shared" si="4"/>
        <v/>
      </c>
      <c r="O34" s="50">
        <f t="shared" si="6"/>
        <v>0</v>
      </c>
      <c r="P34" s="50">
        <f t="shared" si="7"/>
        <v>0</v>
      </c>
      <c r="Q34" s="54">
        <f t="shared" si="5"/>
        <v>0</v>
      </c>
      <c r="R34" s="1"/>
    </row>
    <row r="35">
      <c r="B35" s="19"/>
      <c r="C35" s="20"/>
      <c r="D35" s="21"/>
      <c r="E35" s="22" t="str">
        <f t="shared" si="1"/>
        <v/>
      </c>
      <c r="F35" s="1"/>
      <c r="G35" s="1"/>
      <c r="H35" s="45"/>
      <c r="I35" s="46"/>
      <c r="J35" s="45"/>
      <c r="K35" s="1"/>
      <c r="L35" s="47" t="str">
        <f t="shared" si="2"/>
        <v/>
      </c>
      <c r="M35" s="48" t="str">
        <f t="shared" si="3"/>
        <v/>
      </c>
      <c r="N35" s="55" t="str">
        <f t="shared" si="4"/>
        <v/>
      </c>
      <c r="O35" s="50">
        <f t="shared" si="6"/>
        <v>0</v>
      </c>
      <c r="P35" s="50">
        <f t="shared" si="7"/>
        <v>0</v>
      </c>
      <c r="Q35" s="54">
        <f t="shared" si="5"/>
        <v>0</v>
      </c>
      <c r="R35" s="1"/>
    </row>
    <row r="36">
      <c r="B36" s="19"/>
      <c r="C36" s="20"/>
      <c r="D36" s="21"/>
      <c r="E36" s="22" t="str">
        <f t="shared" si="1"/>
        <v/>
      </c>
      <c r="F36" s="1"/>
      <c r="G36" s="1"/>
      <c r="H36" s="45"/>
      <c r="I36" s="46"/>
      <c r="J36" s="45"/>
      <c r="K36" s="1"/>
      <c r="L36" s="47" t="str">
        <f t="shared" si="2"/>
        <v/>
      </c>
      <c r="M36" s="48" t="str">
        <f t="shared" si="3"/>
        <v/>
      </c>
      <c r="N36" s="55" t="str">
        <f t="shared" si="4"/>
        <v/>
      </c>
      <c r="O36" s="50">
        <f t="shared" si="6"/>
        <v>0</v>
      </c>
      <c r="P36" s="50">
        <f t="shared" si="7"/>
        <v>0</v>
      </c>
      <c r="Q36" s="54">
        <f t="shared" si="5"/>
        <v>0</v>
      </c>
      <c r="R36" s="1"/>
    </row>
    <row r="37">
      <c r="B37" s="19"/>
      <c r="C37" s="20"/>
      <c r="D37" s="21"/>
      <c r="E37" s="22" t="str">
        <f t="shared" si="1"/>
        <v/>
      </c>
      <c r="F37" s="1"/>
      <c r="G37" s="1"/>
      <c r="H37" s="57"/>
      <c r="I37" s="46"/>
      <c r="J37" s="45"/>
      <c r="K37" s="1"/>
      <c r="L37" s="47" t="str">
        <f t="shared" si="2"/>
        <v/>
      </c>
      <c r="M37" s="48" t="str">
        <f t="shared" si="3"/>
        <v/>
      </c>
      <c r="N37" s="55" t="str">
        <f t="shared" si="4"/>
        <v/>
      </c>
      <c r="O37" s="50">
        <f t="shared" si="6"/>
        <v>0</v>
      </c>
      <c r="P37" s="50">
        <f t="shared" si="7"/>
        <v>0</v>
      </c>
      <c r="Q37" s="54">
        <f t="shared" si="5"/>
        <v>0</v>
      </c>
      <c r="R37" s="1"/>
    </row>
    <row r="38">
      <c r="B38" s="19"/>
      <c r="C38" s="20"/>
      <c r="D38" s="21"/>
      <c r="E38" s="22" t="str">
        <f t="shared" si="1"/>
        <v/>
      </c>
      <c r="F38" s="1"/>
      <c r="G38" s="1"/>
      <c r="H38" s="45"/>
      <c r="I38" s="46"/>
      <c r="J38" s="45"/>
      <c r="K38" s="1"/>
      <c r="L38" s="47" t="str">
        <f t="shared" si="2"/>
        <v/>
      </c>
      <c r="M38" s="48" t="str">
        <f t="shared" si="3"/>
        <v/>
      </c>
      <c r="N38" s="55" t="str">
        <f t="shared" si="4"/>
        <v/>
      </c>
      <c r="O38" s="50">
        <f t="shared" si="6"/>
        <v>0</v>
      </c>
      <c r="P38" s="50">
        <f t="shared" si="7"/>
        <v>0</v>
      </c>
      <c r="Q38" s="54">
        <f t="shared" si="5"/>
        <v>0</v>
      </c>
      <c r="R38" s="1"/>
    </row>
    <row r="39">
      <c r="B39" s="19"/>
      <c r="C39" s="20"/>
      <c r="D39" s="21"/>
      <c r="E39" s="22" t="str">
        <f t="shared" si="1"/>
        <v/>
      </c>
      <c r="F39" s="1"/>
      <c r="G39" s="1"/>
      <c r="H39" s="45"/>
      <c r="I39" s="46"/>
      <c r="J39" s="45"/>
      <c r="K39" s="1"/>
      <c r="L39" s="47" t="str">
        <f t="shared" si="2"/>
        <v/>
      </c>
      <c r="M39" s="48" t="str">
        <f t="shared" si="3"/>
        <v/>
      </c>
      <c r="N39" s="55" t="str">
        <f t="shared" si="4"/>
        <v/>
      </c>
      <c r="O39" s="50">
        <f t="shared" si="6"/>
        <v>0</v>
      </c>
      <c r="P39" s="50">
        <f t="shared" si="7"/>
        <v>0</v>
      </c>
      <c r="Q39" s="54">
        <f t="shared" si="5"/>
        <v>0</v>
      </c>
      <c r="R39" s="1"/>
    </row>
    <row r="40">
      <c r="B40" s="19"/>
      <c r="C40" s="20"/>
      <c r="D40" s="21"/>
      <c r="E40" s="22" t="str">
        <f t="shared" si="1"/>
        <v/>
      </c>
      <c r="F40" s="1"/>
      <c r="G40" s="1"/>
      <c r="H40" s="45"/>
      <c r="I40" s="46"/>
      <c r="J40" s="45"/>
      <c r="K40" s="1"/>
      <c r="L40" s="47" t="str">
        <f t="shared" si="2"/>
        <v/>
      </c>
      <c r="M40" s="48" t="str">
        <f t="shared" si="3"/>
        <v/>
      </c>
      <c r="N40" s="55" t="str">
        <f t="shared" si="4"/>
        <v/>
      </c>
      <c r="O40" s="50">
        <f t="shared" si="6"/>
        <v>0</v>
      </c>
      <c r="P40" s="50">
        <f t="shared" si="7"/>
        <v>0</v>
      </c>
      <c r="Q40" s="54">
        <f t="shared" si="5"/>
        <v>0</v>
      </c>
      <c r="R40" s="1"/>
    </row>
    <row r="41">
      <c r="B41" s="19"/>
      <c r="C41" s="20"/>
      <c r="D41" s="21"/>
      <c r="E41" s="22" t="str">
        <f t="shared" si="1"/>
        <v/>
      </c>
      <c r="F41" s="1"/>
      <c r="G41" s="1"/>
      <c r="H41" s="45"/>
      <c r="I41" s="46"/>
      <c r="J41" s="45"/>
      <c r="K41" s="1"/>
      <c r="L41" s="47" t="str">
        <f t="shared" si="2"/>
        <v/>
      </c>
      <c r="M41" s="48" t="str">
        <f t="shared" si="3"/>
        <v/>
      </c>
      <c r="N41" s="55" t="str">
        <f t="shared" si="4"/>
        <v/>
      </c>
      <c r="O41" s="50">
        <f t="shared" si="6"/>
        <v>0</v>
      </c>
      <c r="P41" s="50">
        <f t="shared" si="7"/>
        <v>0</v>
      </c>
      <c r="Q41" s="54">
        <f t="shared" si="5"/>
        <v>0</v>
      </c>
      <c r="R41" s="1"/>
    </row>
    <row r="42">
      <c r="B42" s="19"/>
      <c r="C42" s="20"/>
      <c r="D42" s="21"/>
      <c r="E42" s="22" t="str">
        <f t="shared" si="1"/>
        <v/>
      </c>
      <c r="F42" s="1"/>
      <c r="G42" s="1"/>
      <c r="H42" s="45"/>
      <c r="I42" s="46"/>
      <c r="J42" s="45"/>
      <c r="K42" s="1"/>
      <c r="L42" s="47" t="str">
        <f t="shared" si="2"/>
        <v/>
      </c>
      <c r="M42" s="48" t="str">
        <f t="shared" si="3"/>
        <v/>
      </c>
      <c r="N42" s="55" t="str">
        <f t="shared" si="4"/>
        <v/>
      </c>
      <c r="O42" s="50">
        <f t="shared" si="6"/>
        <v>0</v>
      </c>
      <c r="P42" s="50">
        <f t="shared" si="7"/>
        <v>0</v>
      </c>
      <c r="Q42" s="54">
        <f t="shared" si="5"/>
        <v>0</v>
      </c>
      <c r="R42" s="1"/>
    </row>
    <row r="43">
      <c r="B43" s="19"/>
      <c r="C43" s="20"/>
      <c r="D43" s="21"/>
      <c r="E43" s="22" t="str">
        <f t="shared" si="1"/>
        <v/>
      </c>
      <c r="F43" s="1"/>
      <c r="G43" s="1"/>
      <c r="H43" s="45"/>
      <c r="I43" s="46"/>
      <c r="J43" s="45"/>
      <c r="K43" s="1"/>
      <c r="L43" s="47" t="str">
        <f t="shared" si="2"/>
        <v/>
      </c>
      <c r="M43" s="48" t="str">
        <f t="shared" si="3"/>
        <v/>
      </c>
      <c r="N43" s="55" t="str">
        <f t="shared" si="4"/>
        <v/>
      </c>
      <c r="O43" s="50">
        <f t="shared" si="6"/>
        <v>0</v>
      </c>
      <c r="P43" s="50">
        <f t="shared" si="7"/>
        <v>0</v>
      </c>
      <c r="Q43" s="54">
        <f t="shared" si="5"/>
        <v>0</v>
      </c>
      <c r="R43" s="1"/>
    </row>
    <row r="44">
      <c r="B44" s="19"/>
      <c r="C44" s="20"/>
      <c r="D44" s="21"/>
      <c r="E44" s="22" t="str">
        <f t="shared" si="1"/>
        <v/>
      </c>
      <c r="F44" s="1"/>
      <c r="G44" s="1"/>
      <c r="H44" s="45"/>
      <c r="I44" s="46"/>
      <c r="J44" s="45"/>
      <c r="K44" s="1"/>
      <c r="L44" s="47" t="str">
        <f t="shared" si="2"/>
        <v/>
      </c>
      <c r="M44" s="48" t="str">
        <f t="shared" si="3"/>
        <v/>
      </c>
      <c r="N44" s="55" t="str">
        <f t="shared" si="4"/>
        <v/>
      </c>
      <c r="O44" s="50">
        <f t="shared" si="6"/>
        <v>0</v>
      </c>
      <c r="P44" s="50">
        <f t="shared" si="7"/>
        <v>0</v>
      </c>
      <c r="Q44" s="54">
        <f t="shared" si="5"/>
        <v>0</v>
      </c>
      <c r="R44" s="1"/>
    </row>
    <row r="45">
      <c r="B45" s="19"/>
      <c r="C45" s="20"/>
      <c r="D45" s="21"/>
      <c r="E45" s="22" t="str">
        <f t="shared" si="1"/>
        <v/>
      </c>
      <c r="F45" s="1"/>
      <c r="G45" s="1"/>
      <c r="H45" s="45"/>
      <c r="I45" s="46"/>
      <c r="J45" s="45"/>
      <c r="K45" s="1"/>
      <c r="L45" s="47" t="str">
        <f t="shared" si="2"/>
        <v/>
      </c>
      <c r="M45" s="48" t="str">
        <f t="shared" si="3"/>
        <v/>
      </c>
      <c r="N45" s="55" t="str">
        <f t="shared" si="4"/>
        <v/>
      </c>
      <c r="O45" s="50">
        <f t="shared" si="6"/>
        <v>0</v>
      </c>
      <c r="P45" s="50">
        <f t="shared" si="7"/>
        <v>0</v>
      </c>
      <c r="Q45" s="54">
        <f t="shared" si="5"/>
        <v>0</v>
      </c>
      <c r="R45" s="1"/>
    </row>
    <row r="46">
      <c r="B46" s="19"/>
      <c r="C46" s="20"/>
      <c r="D46" s="21"/>
      <c r="E46" s="22" t="str">
        <f t="shared" si="1"/>
        <v/>
      </c>
      <c r="F46" s="1"/>
      <c r="G46" s="1"/>
      <c r="H46" s="45"/>
      <c r="I46" s="46"/>
      <c r="J46" s="45"/>
      <c r="K46" s="1"/>
      <c r="L46" s="47" t="str">
        <f t="shared" si="2"/>
        <v/>
      </c>
      <c r="M46" s="48" t="str">
        <f t="shared" si="3"/>
        <v/>
      </c>
      <c r="N46" s="55" t="str">
        <f t="shared" si="4"/>
        <v/>
      </c>
      <c r="O46" s="50">
        <f t="shared" si="6"/>
        <v>0</v>
      </c>
      <c r="P46" s="50">
        <f t="shared" si="7"/>
        <v>0</v>
      </c>
      <c r="Q46" s="54">
        <f t="shared" si="5"/>
        <v>0</v>
      </c>
      <c r="R46" s="1"/>
    </row>
    <row r="47">
      <c r="B47" s="19"/>
      <c r="C47" s="20"/>
      <c r="D47" s="21"/>
      <c r="E47" s="22" t="str">
        <f t="shared" si="1"/>
        <v/>
      </c>
      <c r="F47" s="1"/>
      <c r="G47" s="1"/>
      <c r="H47" s="45"/>
      <c r="I47" s="46"/>
      <c r="J47" s="45"/>
      <c r="K47" s="1"/>
      <c r="L47" s="47" t="str">
        <f t="shared" si="2"/>
        <v/>
      </c>
      <c r="M47" s="48" t="str">
        <f t="shared" si="3"/>
        <v/>
      </c>
      <c r="N47" s="55" t="str">
        <f t="shared" si="4"/>
        <v/>
      </c>
      <c r="O47" s="50">
        <f t="shared" si="6"/>
        <v>0</v>
      </c>
      <c r="P47" s="50">
        <f t="shared" si="7"/>
        <v>0</v>
      </c>
      <c r="Q47" s="54">
        <f t="shared" si="5"/>
        <v>0</v>
      </c>
      <c r="R47" s="1"/>
    </row>
    <row r="48">
      <c r="B48" s="19"/>
      <c r="C48" s="20"/>
      <c r="D48" s="21"/>
      <c r="E48" s="22" t="str">
        <f t="shared" si="1"/>
        <v/>
      </c>
      <c r="F48" s="1"/>
      <c r="G48" s="1"/>
      <c r="H48" s="45"/>
      <c r="I48" s="46"/>
      <c r="J48" s="45"/>
      <c r="K48" s="1"/>
      <c r="L48" s="47" t="str">
        <f t="shared" si="2"/>
        <v/>
      </c>
      <c r="M48" s="48" t="str">
        <f t="shared" si="3"/>
        <v/>
      </c>
      <c r="N48" s="55" t="str">
        <f t="shared" si="4"/>
        <v/>
      </c>
      <c r="O48" s="50">
        <f t="shared" si="6"/>
        <v>0</v>
      </c>
      <c r="P48" s="50">
        <f t="shared" si="7"/>
        <v>0</v>
      </c>
      <c r="Q48" s="54">
        <f t="shared" si="5"/>
        <v>0</v>
      </c>
      <c r="R48" s="1"/>
    </row>
    <row r="49">
      <c r="B49" s="19"/>
      <c r="C49" s="20"/>
      <c r="D49" s="21"/>
      <c r="E49" s="22" t="str">
        <f t="shared" si="1"/>
        <v/>
      </c>
      <c r="F49" s="1"/>
      <c r="G49" s="1"/>
      <c r="H49" s="45"/>
      <c r="I49" s="46"/>
      <c r="J49" s="45"/>
      <c r="K49" s="1"/>
      <c r="L49" s="47" t="str">
        <f t="shared" si="2"/>
        <v/>
      </c>
      <c r="M49" s="48" t="str">
        <f t="shared" si="3"/>
        <v/>
      </c>
      <c r="N49" s="55" t="str">
        <f t="shared" si="4"/>
        <v/>
      </c>
      <c r="O49" s="50">
        <f t="shared" si="6"/>
        <v>0</v>
      </c>
      <c r="P49" s="50">
        <f t="shared" si="7"/>
        <v>0</v>
      </c>
      <c r="Q49" s="54">
        <f t="shared" si="5"/>
        <v>0</v>
      </c>
      <c r="R49" s="1"/>
    </row>
    <row r="50">
      <c r="B50" s="19"/>
      <c r="C50" s="20"/>
      <c r="D50" s="21"/>
      <c r="E50" s="22" t="str">
        <f t="shared" si="1"/>
        <v/>
      </c>
      <c r="F50" s="1"/>
      <c r="G50" s="1"/>
      <c r="H50" s="45"/>
      <c r="I50" s="46"/>
      <c r="J50" s="45"/>
      <c r="K50" s="1"/>
      <c r="L50" s="47" t="str">
        <f t="shared" si="2"/>
        <v/>
      </c>
      <c r="M50" s="48" t="str">
        <f t="shared" si="3"/>
        <v/>
      </c>
      <c r="N50" s="55" t="str">
        <f t="shared" si="4"/>
        <v/>
      </c>
      <c r="O50" s="50">
        <f t="shared" si="6"/>
        <v>0</v>
      </c>
      <c r="P50" s="50">
        <f t="shared" si="7"/>
        <v>0</v>
      </c>
      <c r="Q50" s="54">
        <f t="shared" si="5"/>
        <v>0</v>
      </c>
      <c r="R50" s="1"/>
    </row>
    <row r="51">
      <c r="B51" s="19"/>
      <c r="C51" s="20"/>
      <c r="D51" s="21"/>
      <c r="E51" s="22" t="str">
        <f t="shared" si="1"/>
        <v/>
      </c>
      <c r="F51" s="1"/>
      <c r="G51" s="1"/>
      <c r="H51" s="45"/>
      <c r="I51" s="46"/>
      <c r="J51" s="45"/>
      <c r="K51" s="1"/>
      <c r="L51" s="47" t="str">
        <f t="shared" si="2"/>
        <v/>
      </c>
      <c r="M51" s="48" t="str">
        <f t="shared" si="3"/>
        <v/>
      </c>
      <c r="N51" s="55" t="str">
        <f t="shared" si="4"/>
        <v/>
      </c>
      <c r="O51" s="50">
        <f t="shared" si="6"/>
        <v>0</v>
      </c>
      <c r="P51" s="50">
        <f t="shared" si="7"/>
        <v>0</v>
      </c>
      <c r="Q51" s="54">
        <f t="shared" si="5"/>
        <v>0</v>
      </c>
      <c r="R51" s="1"/>
    </row>
    <row r="52">
      <c r="B52" s="19"/>
      <c r="C52" s="20"/>
      <c r="D52" s="21"/>
      <c r="E52" s="22" t="str">
        <f t="shared" si="1"/>
        <v/>
      </c>
      <c r="F52" s="1"/>
      <c r="G52" s="1"/>
      <c r="H52" s="45"/>
      <c r="I52" s="46"/>
      <c r="J52" s="45"/>
      <c r="K52" s="1"/>
      <c r="L52" s="47" t="str">
        <f t="shared" si="2"/>
        <v/>
      </c>
      <c r="M52" s="48" t="str">
        <f t="shared" si="3"/>
        <v/>
      </c>
      <c r="N52" s="55" t="str">
        <f t="shared" si="4"/>
        <v/>
      </c>
      <c r="O52" s="50">
        <f t="shared" si="6"/>
        <v>0</v>
      </c>
      <c r="P52" s="50">
        <f t="shared" si="7"/>
        <v>0</v>
      </c>
      <c r="Q52" s="54">
        <f t="shared" si="5"/>
        <v>0</v>
      </c>
      <c r="R52" s="1"/>
    </row>
    <row r="53">
      <c r="B53" s="19"/>
      <c r="C53" s="20"/>
      <c r="D53" s="21"/>
      <c r="E53" s="22" t="str">
        <f t="shared" si="1"/>
        <v/>
      </c>
      <c r="F53" s="1"/>
      <c r="G53" s="1"/>
      <c r="H53" s="45"/>
      <c r="I53" s="46"/>
      <c r="J53" s="45"/>
      <c r="K53" s="1"/>
      <c r="L53" s="47" t="str">
        <f t="shared" si="2"/>
        <v/>
      </c>
      <c r="M53" s="48" t="str">
        <f t="shared" si="3"/>
        <v/>
      </c>
      <c r="N53" s="55" t="str">
        <f t="shared" si="4"/>
        <v/>
      </c>
      <c r="O53" s="50">
        <f t="shared" si="6"/>
        <v>0</v>
      </c>
      <c r="P53" s="50">
        <f t="shared" si="7"/>
        <v>0</v>
      </c>
      <c r="Q53" s="54">
        <f t="shared" si="5"/>
        <v>0</v>
      </c>
      <c r="R53" s="1"/>
    </row>
    <row r="54">
      <c r="B54" s="19"/>
      <c r="C54" s="20"/>
      <c r="D54" s="21"/>
      <c r="E54" s="22" t="str">
        <f t="shared" si="1"/>
        <v/>
      </c>
      <c r="F54" s="1"/>
      <c r="G54" s="1"/>
      <c r="H54" s="45"/>
      <c r="I54" s="46"/>
      <c r="J54" s="45"/>
      <c r="K54" s="1"/>
      <c r="L54" s="47" t="str">
        <f t="shared" si="2"/>
        <v/>
      </c>
      <c r="M54" s="48" t="str">
        <f t="shared" si="3"/>
        <v/>
      </c>
      <c r="N54" s="55" t="str">
        <f t="shared" si="4"/>
        <v/>
      </c>
      <c r="O54" s="50">
        <f t="shared" si="6"/>
        <v>0</v>
      </c>
      <c r="P54" s="50">
        <f t="shared" si="7"/>
        <v>0</v>
      </c>
      <c r="Q54" s="54">
        <f t="shared" si="5"/>
        <v>0</v>
      </c>
      <c r="R54" s="1"/>
    </row>
    <row r="55">
      <c r="B55" s="19"/>
      <c r="C55" s="20"/>
      <c r="D55" s="21"/>
      <c r="E55" s="22" t="str">
        <f t="shared" si="1"/>
        <v/>
      </c>
      <c r="F55" s="1"/>
      <c r="G55" s="1"/>
      <c r="H55" s="45"/>
      <c r="I55" s="46"/>
      <c r="J55" s="45"/>
      <c r="K55" s="1"/>
      <c r="L55" s="47" t="str">
        <f t="shared" si="2"/>
        <v/>
      </c>
      <c r="M55" s="48" t="str">
        <f t="shared" si="3"/>
        <v/>
      </c>
      <c r="N55" s="55" t="str">
        <f t="shared" si="4"/>
        <v/>
      </c>
      <c r="O55" s="50">
        <f t="shared" si="6"/>
        <v>0</v>
      </c>
      <c r="P55" s="50">
        <f t="shared" si="7"/>
        <v>0</v>
      </c>
      <c r="Q55" s="54">
        <f t="shared" si="5"/>
        <v>0</v>
      </c>
      <c r="R55" s="1"/>
    </row>
    <row r="56">
      <c r="B56" s="19"/>
      <c r="C56" s="20"/>
      <c r="D56" s="21"/>
      <c r="E56" s="22" t="str">
        <f t="shared" si="1"/>
        <v/>
      </c>
      <c r="F56" s="1"/>
      <c r="G56" s="1"/>
      <c r="H56" s="45"/>
      <c r="I56" s="46"/>
      <c r="J56" s="45"/>
      <c r="K56" s="1"/>
      <c r="L56" s="47" t="str">
        <f t="shared" si="2"/>
        <v/>
      </c>
      <c r="M56" s="48" t="str">
        <f t="shared" si="3"/>
        <v/>
      </c>
      <c r="N56" s="55" t="str">
        <f t="shared" si="4"/>
        <v/>
      </c>
      <c r="O56" s="50">
        <f t="shared" si="6"/>
        <v>0</v>
      </c>
      <c r="P56" s="50">
        <f t="shared" si="7"/>
        <v>0</v>
      </c>
      <c r="Q56" s="54">
        <f t="shared" si="5"/>
        <v>0</v>
      </c>
      <c r="R56" s="1"/>
    </row>
    <row r="57">
      <c r="B57" s="19"/>
      <c r="C57" s="20"/>
      <c r="D57" s="21"/>
      <c r="E57" s="22" t="str">
        <f t="shared" si="1"/>
        <v/>
      </c>
      <c r="F57" s="1"/>
      <c r="G57" s="1"/>
      <c r="H57" s="45"/>
      <c r="I57" s="46"/>
      <c r="J57" s="45"/>
      <c r="K57" s="1"/>
      <c r="L57" s="47" t="str">
        <f t="shared" si="2"/>
        <v/>
      </c>
      <c r="M57" s="48" t="str">
        <f t="shared" si="3"/>
        <v/>
      </c>
      <c r="N57" s="55" t="str">
        <f t="shared" si="4"/>
        <v/>
      </c>
      <c r="O57" s="50">
        <f t="shared" si="6"/>
        <v>0</v>
      </c>
      <c r="P57" s="50">
        <f t="shared" si="7"/>
        <v>0</v>
      </c>
      <c r="Q57" s="54">
        <f t="shared" si="5"/>
        <v>0</v>
      </c>
      <c r="R57" s="1"/>
    </row>
    <row r="58">
      <c r="B58" s="19"/>
      <c r="C58" s="20"/>
      <c r="D58" s="21"/>
      <c r="E58" s="22" t="str">
        <f t="shared" si="1"/>
        <v/>
      </c>
      <c r="F58" s="1"/>
      <c r="G58" s="1"/>
      <c r="H58" s="45"/>
      <c r="I58" s="46"/>
      <c r="J58" s="45"/>
      <c r="K58" s="1"/>
      <c r="L58" s="47" t="str">
        <f t="shared" si="2"/>
        <v/>
      </c>
      <c r="M58" s="48" t="str">
        <f t="shared" si="3"/>
        <v/>
      </c>
      <c r="N58" s="55" t="str">
        <f t="shared" si="4"/>
        <v/>
      </c>
      <c r="O58" s="50">
        <f t="shared" si="6"/>
        <v>0</v>
      </c>
      <c r="P58" s="50">
        <f t="shared" si="7"/>
        <v>0</v>
      </c>
      <c r="Q58" s="54">
        <f t="shared" si="5"/>
        <v>0</v>
      </c>
      <c r="R58" s="1"/>
    </row>
    <row r="59">
      <c r="B59" s="19"/>
      <c r="C59" s="20"/>
      <c r="D59" s="21"/>
      <c r="E59" s="22" t="str">
        <f t="shared" si="1"/>
        <v/>
      </c>
      <c r="F59" s="1"/>
      <c r="G59" s="1"/>
      <c r="H59" s="45"/>
      <c r="I59" s="46"/>
      <c r="J59" s="45"/>
      <c r="K59" s="1"/>
      <c r="L59" s="47" t="str">
        <f t="shared" si="2"/>
        <v/>
      </c>
      <c r="M59" s="48" t="str">
        <f t="shared" si="3"/>
        <v/>
      </c>
      <c r="N59" s="55" t="str">
        <f t="shared" si="4"/>
        <v/>
      </c>
      <c r="O59" s="50">
        <f t="shared" si="6"/>
        <v>0</v>
      </c>
      <c r="P59" s="50">
        <f t="shared" si="7"/>
        <v>0</v>
      </c>
      <c r="Q59" s="54">
        <f t="shared" si="5"/>
        <v>0</v>
      </c>
      <c r="R59" s="1"/>
    </row>
    <row r="60">
      <c r="B60" s="19"/>
      <c r="C60" s="20"/>
      <c r="D60" s="21"/>
      <c r="E60" s="22" t="str">
        <f t="shared" si="1"/>
        <v/>
      </c>
      <c r="F60" s="1"/>
      <c r="G60" s="1"/>
      <c r="H60" s="45"/>
      <c r="I60" s="46"/>
      <c r="J60" s="45"/>
      <c r="K60" s="1"/>
      <c r="L60" s="47" t="str">
        <f t="shared" si="2"/>
        <v/>
      </c>
      <c r="M60" s="48" t="str">
        <f t="shared" si="3"/>
        <v/>
      </c>
      <c r="N60" s="55" t="str">
        <f t="shared" si="4"/>
        <v/>
      </c>
      <c r="O60" s="50">
        <f t="shared" si="6"/>
        <v>0</v>
      </c>
      <c r="P60" s="50">
        <f t="shared" si="7"/>
        <v>0</v>
      </c>
      <c r="Q60" s="54">
        <f t="shared" si="5"/>
        <v>0</v>
      </c>
      <c r="R60" s="1"/>
    </row>
    <row r="61">
      <c r="B61" s="19"/>
      <c r="C61" s="20"/>
      <c r="D61" s="21"/>
      <c r="E61" s="22" t="str">
        <f t="shared" si="1"/>
        <v/>
      </c>
      <c r="F61" s="1"/>
      <c r="G61" s="1"/>
      <c r="H61" s="45"/>
      <c r="I61" s="46"/>
      <c r="J61" s="45"/>
      <c r="K61" s="1"/>
      <c r="L61" s="47" t="str">
        <f t="shared" si="2"/>
        <v/>
      </c>
      <c r="M61" s="48" t="str">
        <f t="shared" si="3"/>
        <v/>
      </c>
      <c r="N61" s="55" t="str">
        <f t="shared" si="4"/>
        <v/>
      </c>
      <c r="O61" s="50">
        <f t="shared" si="6"/>
        <v>0</v>
      </c>
      <c r="P61" s="50">
        <f t="shared" si="7"/>
        <v>0</v>
      </c>
      <c r="Q61" s="54">
        <f t="shared" si="5"/>
        <v>0</v>
      </c>
      <c r="R61" s="1"/>
    </row>
    <row r="62">
      <c r="B62" s="19"/>
      <c r="C62" s="20"/>
      <c r="D62" s="21"/>
      <c r="E62" s="22" t="str">
        <f t="shared" si="1"/>
        <v/>
      </c>
      <c r="F62" s="1"/>
      <c r="G62" s="1"/>
      <c r="H62" s="45"/>
      <c r="I62" s="46"/>
      <c r="J62" s="45"/>
      <c r="K62" s="1"/>
      <c r="L62" s="47" t="str">
        <f t="shared" si="2"/>
        <v/>
      </c>
      <c r="M62" s="48" t="str">
        <f t="shared" si="3"/>
        <v/>
      </c>
      <c r="N62" s="55" t="str">
        <f t="shared" si="4"/>
        <v/>
      </c>
      <c r="O62" s="50">
        <f t="shared" si="6"/>
        <v>0</v>
      </c>
      <c r="P62" s="50">
        <f t="shared" si="7"/>
        <v>0</v>
      </c>
      <c r="Q62" s="54">
        <f t="shared" si="5"/>
        <v>0</v>
      </c>
      <c r="R62" s="1"/>
    </row>
    <row r="63">
      <c r="B63" s="19"/>
      <c r="C63" s="20"/>
      <c r="D63" s="21"/>
      <c r="E63" s="22" t="str">
        <f t="shared" si="1"/>
        <v/>
      </c>
      <c r="F63" s="1"/>
      <c r="G63" s="1"/>
      <c r="H63" s="45"/>
      <c r="I63" s="46"/>
      <c r="J63" s="45"/>
      <c r="K63" s="1"/>
      <c r="L63" s="47" t="str">
        <f t="shared" si="2"/>
        <v/>
      </c>
      <c r="M63" s="48" t="str">
        <f t="shared" si="3"/>
        <v/>
      </c>
      <c r="N63" s="55" t="str">
        <f t="shared" si="4"/>
        <v/>
      </c>
      <c r="O63" s="50">
        <f t="shared" si="6"/>
        <v>0</v>
      </c>
      <c r="P63" s="50">
        <f t="shared" si="7"/>
        <v>0</v>
      </c>
      <c r="Q63" s="54">
        <f t="shared" si="5"/>
        <v>0</v>
      </c>
      <c r="R63" s="1"/>
    </row>
    <row r="64">
      <c r="B64" s="19"/>
      <c r="C64" s="20"/>
      <c r="D64" s="21"/>
      <c r="E64" s="22" t="str">
        <f t="shared" si="1"/>
        <v/>
      </c>
      <c r="F64" s="1"/>
      <c r="G64" s="1"/>
      <c r="H64" s="45"/>
      <c r="I64" s="46"/>
      <c r="J64" s="45"/>
      <c r="K64" s="1"/>
      <c r="L64" s="47" t="str">
        <f t="shared" si="2"/>
        <v/>
      </c>
      <c r="M64" s="48" t="str">
        <f t="shared" si="3"/>
        <v/>
      </c>
      <c r="N64" s="55" t="str">
        <f t="shared" si="4"/>
        <v/>
      </c>
      <c r="O64" s="50">
        <f t="shared" si="6"/>
        <v>0</v>
      </c>
      <c r="P64" s="50">
        <f t="shared" si="7"/>
        <v>0</v>
      </c>
      <c r="Q64" s="54">
        <f t="shared" si="5"/>
        <v>0</v>
      </c>
      <c r="R64" s="1"/>
    </row>
    <row r="65">
      <c r="A65" s="1"/>
      <c r="B65" s="19"/>
      <c r="C65" s="20"/>
      <c r="D65" s="21"/>
      <c r="E65" s="22" t="str">
        <f t="shared" si="1"/>
        <v/>
      </c>
      <c r="F65" s="1"/>
      <c r="G65" s="1"/>
      <c r="H65" s="45"/>
      <c r="I65" s="46"/>
      <c r="J65" s="45"/>
      <c r="K65" s="1"/>
      <c r="L65" s="47" t="str">
        <f t="shared" si="2"/>
        <v/>
      </c>
      <c r="M65" s="48" t="str">
        <f t="shared" si="3"/>
        <v/>
      </c>
      <c r="N65" s="55" t="str">
        <f t="shared" si="4"/>
        <v/>
      </c>
      <c r="O65" s="50">
        <f t="shared" si="6"/>
        <v>0</v>
      </c>
      <c r="P65" s="50">
        <f t="shared" si="7"/>
        <v>0</v>
      </c>
      <c r="Q65" s="54">
        <f t="shared" si="5"/>
        <v>0</v>
      </c>
      <c r="R65" s="1"/>
    </row>
    <row r="66">
      <c r="A66" s="1"/>
      <c r="B66" s="19"/>
      <c r="C66" s="20"/>
      <c r="D66" s="21"/>
      <c r="E66" s="22" t="str">
        <f t="shared" si="1"/>
        <v/>
      </c>
      <c r="F66" s="1"/>
      <c r="G66" s="1"/>
      <c r="H66" s="45"/>
      <c r="I66" s="46"/>
      <c r="J66" s="45"/>
      <c r="K66" s="1"/>
      <c r="L66" s="47" t="str">
        <f t="shared" si="2"/>
        <v/>
      </c>
      <c r="M66" s="48" t="str">
        <f t="shared" si="3"/>
        <v/>
      </c>
      <c r="N66" s="55" t="str">
        <f t="shared" si="4"/>
        <v/>
      </c>
      <c r="O66" s="50">
        <f t="shared" si="6"/>
        <v>0</v>
      </c>
      <c r="P66" s="50">
        <f t="shared" si="7"/>
        <v>0</v>
      </c>
      <c r="Q66" s="54">
        <f t="shared" si="5"/>
        <v>0</v>
      </c>
      <c r="R66" s="1"/>
    </row>
    <row r="67">
      <c r="A67" s="1"/>
      <c r="B67" s="19"/>
      <c r="C67" s="20"/>
      <c r="D67" s="21"/>
      <c r="E67" s="22" t="str">
        <f t="shared" si="1"/>
        <v/>
      </c>
      <c r="F67" s="1"/>
      <c r="G67" s="1"/>
      <c r="H67" s="45"/>
      <c r="I67" s="46"/>
      <c r="J67" s="45"/>
      <c r="K67" s="1"/>
      <c r="L67" s="47" t="str">
        <f t="shared" si="2"/>
        <v/>
      </c>
      <c r="M67" s="48" t="str">
        <f t="shared" si="3"/>
        <v/>
      </c>
      <c r="N67" s="55" t="str">
        <f t="shared" si="4"/>
        <v/>
      </c>
      <c r="O67" s="50">
        <f t="shared" si="6"/>
        <v>0</v>
      </c>
      <c r="P67" s="50">
        <f t="shared" si="7"/>
        <v>0</v>
      </c>
      <c r="Q67" s="54">
        <f t="shared" si="5"/>
        <v>0</v>
      </c>
      <c r="R67" s="1"/>
    </row>
    <row r="68">
      <c r="A68" s="1"/>
      <c r="B68" s="19"/>
      <c r="C68" s="20"/>
      <c r="D68" s="21"/>
      <c r="E68" s="22" t="str">
        <f t="shared" si="1"/>
        <v/>
      </c>
      <c r="F68" s="1"/>
      <c r="G68" s="1"/>
      <c r="H68" s="45"/>
      <c r="I68" s="46"/>
      <c r="J68" s="45"/>
      <c r="K68" s="1"/>
      <c r="L68" s="47" t="str">
        <f t="shared" si="2"/>
        <v/>
      </c>
      <c r="M68" s="48" t="str">
        <f t="shared" si="3"/>
        <v/>
      </c>
      <c r="N68" s="55" t="str">
        <f t="shared" si="4"/>
        <v/>
      </c>
      <c r="O68" s="50">
        <f t="shared" si="6"/>
        <v>0</v>
      </c>
      <c r="P68" s="50">
        <f t="shared" si="7"/>
        <v>0</v>
      </c>
      <c r="Q68" s="54">
        <f t="shared" si="5"/>
        <v>0</v>
      </c>
      <c r="R68" s="1"/>
    </row>
    <row r="69">
      <c r="A69" s="1"/>
      <c r="B69" s="19"/>
      <c r="C69" s="20"/>
      <c r="D69" s="21"/>
      <c r="E69" s="22" t="str">
        <f t="shared" si="1"/>
        <v/>
      </c>
      <c r="F69" s="1"/>
      <c r="G69" s="1"/>
      <c r="H69" s="45"/>
      <c r="I69" s="46"/>
      <c r="J69" s="45"/>
      <c r="K69" s="1"/>
      <c r="L69" s="47" t="str">
        <f t="shared" si="2"/>
        <v/>
      </c>
      <c r="M69" s="48" t="str">
        <f t="shared" si="3"/>
        <v/>
      </c>
      <c r="N69" s="55" t="str">
        <f t="shared" si="4"/>
        <v/>
      </c>
      <c r="O69" s="50">
        <f t="shared" si="6"/>
        <v>0</v>
      </c>
      <c r="P69" s="50">
        <f t="shared" si="7"/>
        <v>0</v>
      </c>
      <c r="Q69" s="54">
        <f t="shared" si="5"/>
        <v>0</v>
      </c>
      <c r="R69" s="1"/>
    </row>
    <row r="70">
      <c r="A70" s="1"/>
      <c r="B70" s="19"/>
      <c r="C70" s="20"/>
      <c r="D70" s="21"/>
      <c r="E70" s="22" t="str">
        <f t="shared" si="1"/>
        <v/>
      </c>
      <c r="F70" s="1"/>
      <c r="G70" s="1"/>
      <c r="H70" s="45"/>
      <c r="I70" s="46"/>
      <c r="J70" s="45"/>
      <c r="K70" s="1"/>
      <c r="L70" s="47" t="str">
        <f t="shared" si="2"/>
        <v/>
      </c>
      <c r="M70" s="48" t="str">
        <f t="shared" si="3"/>
        <v/>
      </c>
      <c r="N70" s="55" t="str">
        <f t="shared" si="4"/>
        <v/>
      </c>
      <c r="O70" s="50">
        <f t="shared" si="6"/>
        <v>0</v>
      </c>
      <c r="P70" s="50">
        <f t="shared" si="7"/>
        <v>0</v>
      </c>
      <c r="Q70" s="54">
        <f t="shared" si="5"/>
        <v>0</v>
      </c>
      <c r="R70" s="1"/>
    </row>
    <row r="71">
      <c r="A71" s="1"/>
      <c r="B71" s="19"/>
      <c r="C71" s="20"/>
      <c r="D71" s="21"/>
      <c r="E71" s="22" t="str">
        <f t="shared" si="1"/>
        <v/>
      </c>
      <c r="F71" s="1"/>
      <c r="G71" s="1"/>
      <c r="H71" s="45"/>
      <c r="I71" s="46"/>
      <c r="J71" s="45"/>
      <c r="K71" s="1"/>
      <c r="L71" s="47" t="str">
        <f t="shared" si="2"/>
        <v/>
      </c>
      <c r="M71" s="48" t="str">
        <f t="shared" si="3"/>
        <v/>
      </c>
      <c r="N71" s="55" t="str">
        <f t="shared" si="4"/>
        <v/>
      </c>
      <c r="O71" s="50">
        <f t="shared" si="6"/>
        <v>0</v>
      </c>
      <c r="P71" s="50">
        <f t="shared" si="7"/>
        <v>0</v>
      </c>
      <c r="Q71" s="54">
        <f t="shared" si="5"/>
        <v>0</v>
      </c>
      <c r="R71" s="1"/>
    </row>
    <row r="72">
      <c r="A72" s="1"/>
      <c r="B72" s="19"/>
      <c r="C72" s="20"/>
      <c r="D72" s="21"/>
      <c r="E72" s="22" t="str">
        <f t="shared" si="1"/>
        <v/>
      </c>
      <c r="F72" s="1"/>
      <c r="G72" s="1"/>
      <c r="H72" s="45"/>
      <c r="I72" s="46"/>
      <c r="J72" s="45"/>
      <c r="K72" s="1"/>
      <c r="L72" s="47" t="str">
        <f t="shared" si="2"/>
        <v/>
      </c>
      <c r="M72" s="48" t="str">
        <f t="shared" si="3"/>
        <v/>
      </c>
      <c r="N72" s="55" t="str">
        <f t="shared" si="4"/>
        <v/>
      </c>
      <c r="O72" s="50">
        <f t="shared" si="6"/>
        <v>0</v>
      </c>
      <c r="P72" s="50">
        <f t="shared" si="7"/>
        <v>0</v>
      </c>
      <c r="Q72" s="54">
        <f t="shared" si="5"/>
        <v>0</v>
      </c>
      <c r="R72" s="1"/>
    </row>
    <row r="73">
      <c r="A73" s="1"/>
      <c r="B73" s="19"/>
      <c r="C73" s="20"/>
      <c r="D73" s="21"/>
      <c r="E73" s="22" t="str">
        <f t="shared" si="1"/>
        <v/>
      </c>
      <c r="F73" s="1"/>
      <c r="G73" s="1"/>
      <c r="H73" s="45"/>
      <c r="I73" s="46"/>
      <c r="J73" s="45"/>
      <c r="K73" s="1"/>
      <c r="L73" s="47" t="str">
        <f t="shared" si="2"/>
        <v/>
      </c>
      <c r="M73" s="48" t="str">
        <f t="shared" si="3"/>
        <v/>
      </c>
      <c r="N73" s="55" t="str">
        <f t="shared" si="4"/>
        <v/>
      </c>
      <c r="O73" s="50">
        <f t="shared" si="6"/>
        <v>0</v>
      </c>
      <c r="P73" s="50">
        <f t="shared" si="7"/>
        <v>0</v>
      </c>
      <c r="Q73" s="54">
        <f t="shared" si="5"/>
        <v>0</v>
      </c>
      <c r="R73" s="1"/>
    </row>
    <row r="74">
      <c r="A74" s="1"/>
      <c r="B74" s="19"/>
      <c r="C74" s="20"/>
      <c r="D74" s="21"/>
      <c r="E74" s="22" t="str">
        <f t="shared" si="1"/>
        <v/>
      </c>
      <c r="F74" s="1"/>
      <c r="G74" s="1"/>
      <c r="H74" s="45"/>
      <c r="I74" s="46"/>
      <c r="J74" s="45"/>
      <c r="K74" s="1"/>
      <c r="L74" s="47" t="str">
        <f t="shared" si="2"/>
        <v/>
      </c>
      <c r="M74" s="48" t="str">
        <f t="shared" si="3"/>
        <v/>
      </c>
      <c r="N74" s="55" t="str">
        <f t="shared" si="4"/>
        <v/>
      </c>
      <c r="O74" s="50">
        <f t="shared" si="6"/>
        <v>0</v>
      </c>
      <c r="P74" s="50">
        <f t="shared" si="7"/>
        <v>0</v>
      </c>
      <c r="Q74" s="54">
        <f t="shared" si="5"/>
        <v>0</v>
      </c>
      <c r="R74" s="1"/>
    </row>
    <row r="75">
      <c r="A75" s="1"/>
      <c r="B75" s="19"/>
      <c r="C75" s="20"/>
      <c r="D75" s="21"/>
      <c r="E75" s="22" t="str">
        <f t="shared" si="1"/>
        <v/>
      </c>
      <c r="F75" s="1"/>
      <c r="G75" s="1"/>
      <c r="H75" s="45"/>
      <c r="I75" s="46"/>
      <c r="J75" s="45"/>
      <c r="K75" s="1"/>
      <c r="L75" s="47" t="str">
        <f t="shared" si="2"/>
        <v/>
      </c>
      <c r="M75" s="48" t="str">
        <f t="shared" si="3"/>
        <v/>
      </c>
      <c r="N75" s="55" t="str">
        <f t="shared" si="4"/>
        <v/>
      </c>
      <c r="O75" s="50">
        <f t="shared" si="6"/>
        <v>0</v>
      </c>
      <c r="P75" s="50">
        <f t="shared" si="7"/>
        <v>0</v>
      </c>
      <c r="Q75" s="54">
        <f t="shared" si="5"/>
        <v>0</v>
      </c>
      <c r="R75" s="1"/>
    </row>
    <row r="76">
      <c r="A76" s="1"/>
      <c r="B76" s="19"/>
      <c r="C76" s="20"/>
      <c r="D76" s="21"/>
      <c r="E76" s="22" t="str">
        <f t="shared" si="1"/>
        <v/>
      </c>
      <c r="F76" s="1"/>
      <c r="G76" s="1"/>
      <c r="H76" s="45"/>
      <c r="I76" s="46"/>
      <c r="J76" s="45"/>
      <c r="K76" s="1"/>
      <c r="L76" s="47" t="str">
        <f t="shared" si="2"/>
        <v/>
      </c>
      <c r="M76" s="48" t="str">
        <f t="shared" si="3"/>
        <v/>
      </c>
      <c r="N76" s="55" t="str">
        <f t="shared" si="4"/>
        <v/>
      </c>
      <c r="O76" s="50">
        <f t="shared" si="6"/>
        <v>0</v>
      </c>
      <c r="P76" s="50">
        <f t="shared" si="7"/>
        <v>0</v>
      </c>
      <c r="Q76" s="54">
        <f t="shared" si="5"/>
        <v>0</v>
      </c>
      <c r="R76" s="1"/>
    </row>
    <row r="77">
      <c r="A77" s="1"/>
      <c r="B77" s="19"/>
      <c r="C77" s="20"/>
      <c r="D77" s="21"/>
      <c r="E77" s="22" t="str">
        <f t="shared" si="1"/>
        <v/>
      </c>
      <c r="F77" s="1"/>
      <c r="G77" s="1"/>
      <c r="H77" s="45"/>
      <c r="I77" s="46"/>
      <c r="J77" s="45"/>
      <c r="K77" s="1"/>
      <c r="L77" s="47" t="str">
        <f t="shared" si="2"/>
        <v/>
      </c>
      <c r="M77" s="48" t="str">
        <f t="shared" si="3"/>
        <v/>
      </c>
      <c r="N77" s="55" t="str">
        <f t="shared" si="4"/>
        <v/>
      </c>
      <c r="O77" s="50">
        <f t="shared" si="6"/>
        <v>0</v>
      </c>
      <c r="P77" s="50">
        <f t="shared" si="7"/>
        <v>0</v>
      </c>
      <c r="Q77" s="54">
        <f t="shared" si="5"/>
        <v>0</v>
      </c>
      <c r="R77" s="1"/>
    </row>
    <row r="78">
      <c r="A78" s="1"/>
      <c r="B78" s="19"/>
      <c r="C78" s="20"/>
      <c r="D78" s="21"/>
      <c r="E78" s="22" t="str">
        <f t="shared" si="1"/>
        <v/>
      </c>
      <c r="F78" s="1"/>
      <c r="G78" s="1"/>
      <c r="H78" s="45"/>
      <c r="I78" s="46"/>
      <c r="J78" s="45"/>
      <c r="K78" s="1"/>
      <c r="L78" s="47" t="str">
        <f t="shared" si="2"/>
        <v/>
      </c>
      <c r="M78" s="48" t="str">
        <f t="shared" si="3"/>
        <v/>
      </c>
      <c r="N78" s="55" t="str">
        <f t="shared" si="4"/>
        <v/>
      </c>
      <c r="O78" s="50">
        <f t="shared" si="6"/>
        <v>0</v>
      </c>
      <c r="P78" s="50">
        <f t="shared" si="7"/>
        <v>0</v>
      </c>
      <c r="Q78" s="54">
        <f t="shared" si="5"/>
        <v>0</v>
      </c>
      <c r="R78" s="1"/>
    </row>
    <row r="79">
      <c r="A79" s="1"/>
      <c r="B79" s="19"/>
      <c r="C79" s="20"/>
      <c r="D79" s="21"/>
      <c r="E79" s="22" t="str">
        <f t="shared" si="1"/>
        <v/>
      </c>
      <c r="F79" s="1"/>
      <c r="G79" s="1"/>
      <c r="H79" s="57"/>
      <c r="I79" s="46"/>
      <c r="J79" s="45"/>
      <c r="K79" s="1"/>
      <c r="L79" s="47" t="str">
        <f t="shared" si="2"/>
        <v/>
      </c>
      <c r="M79" s="48" t="str">
        <f t="shared" si="3"/>
        <v/>
      </c>
      <c r="N79" s="55" t="str">
        <f t="shared" si="4"/>
        <v/>
      </c>
      <c r="O79" s="50">
        <f t="shared" si="6"/>
        <v>0</v>
      </c>
      <c r="P79" s="50">
        <f t="shared" si="7"/>
        <v>0</v>
      </c>
      <c r="Q79" s="54">
        <f t="shared" si="5"/>
        <v>0</v>
      </c>
      <c r="R79" s="1"/>
    </row>
    <row r="80">
      <c r="A80" s="1"/>
      <c r="B80" s="19"/>
      <c r="C80" s="20"/>
      <c r="D80" s="21"/>
      <c r="E80" s="22" t="str">
        <f t="shared" si="1"/>
        <v/>
      </c>
      <c r="F80" s="1"/>
      <c r="G80" s="1"/>
      <c r="H80" s="45"/>
      <c r="I80" s="46"/>
      <c r="J80" s="45"/>
      <c r="K80" s="1"/>
      <c r="L80" s="47" t="str">
        <f t="shared" si="2"/>
        <v/>
      </c>
      <c r="M80" s="48" t="str">
        <f t="shared" si="3"/>
        <v/>
      </c>
      <c r="N80" s="55" t="str">
        <f t="shared" si="4"/>
        <v/>
      </c>
      <c r="O80" s="50">
        <f t="shared" si="6"/>
        <v>0</v>
      </c>
      <c r="P80" s="50">
        <f t="shared" si="7"/>
        <v>0</v>
      </c>
      <c r="Q80" s="54">
        <f t="shared" si="5"/>
        <v>0</v>
      </c>
      <c r="R80" s="1"/>
    </row>
    <row r="81">
      <c r="A81" s="1"/>
      <c r="B81" s="19"/>
      <c r="C81" s="20"/>
      <c r="D81" s="21"/>
      <c r="E81" s="22" t="str">
        <f t="shared" si="1"/>
        <v/>
      </c>
      <c r="F81" s="1"/>
      <c r="G81" s="1"/>
      <c r="H81" s="45"/>
      <c r="I81" s="46"/>
      <c r="J81" s="45"/>
      <c r="K81" s="1"/>
      <c r="L81" s="47" t="str">
        <f t="shared" si="2"/>
        <v/>
      </c>
      <c r="M81" s="48" t="str">
        <f t="shared" si="3"/>
        <v/>
      </c>
      <c r="N81" s="55" t="str">
        <f t="shared" si="4"/>
        <v/>
      </c>
      <c r="O81" s="50">
        <f t="shared" si="6"/>
        <v>0</v>
      </c>
      <c r="P81" s="50">
        <f t="shared" si="7"/>
        <v>0</v>
      </c>
      <c r="Q81" s="54">
        <f t="shared" si="5"/>
        <v>0</v>
      </c>
      <c r="R81" s="1"/>
    </row>
    <row r="82">
      <c r="A82" s="1"/>
      <c r="B82" s="19"/>
      <c r="C82" s="20"/>
      <c r="D82" s="21"/>
      <c r="E82" s="22" t="str">
        <f t="shared" si="1"/>
        <v/>
      </c>
      <c r="F82" s="1"/>
      <c r="G82" s="1"/>
      <c r="H82" s="45"/>
      <c r="I82" s="46"/>
      <c r="J82" s="45"/>
      <c r="K82" s="1"/>
      <c r="L82" s="47" t="str">
        <f t="shared" si="2"/>
        <v/>
      </c>
      <c r="M82" s="48" t="str">
        <f t="shared" si="3"/>
        <v/>
      </c>
      <c r="N82" s="55" t="str">
        <f t="shared" si="4"/>
        <v/>
      </c>
      <c r="O82" s="50">
        <f t="shared" si="6"/>
        <v>0</v>
      </c>
      <c r="P82" s="50">
        <f t="shared" si="7"/>
        <v>0</v>
      </c>
      <c r="Q82" s="54">
        <f t="shared" si="5"/>
        <v>0</v>
      </c>
      <c r="R82" s="1"/>
    </row>
    <row r="83">
      <c r="A83" s="1"/>
      <c r="B83" s="19"/>
      <c r="C83" s="20"/>
      <c r="D83" s="21"/>
      <c r="E83" s="22" t="str">
        <f t="shared" si="1"/>
        <v/>
      </c>
      <c r="F83" s="1"/>
      <c r="G83" s="1"/>
      <c r="H83" s="45"/>
      <c r="I83" s="46"/>
      <c r="J83" s="45"/>
      <c r="K83" s="1"/>
      <c r="L83" s="47" t="str">
        <f t="shared" si="2"/>
        <v/>
      </c>
      <c r="M83" s="48" t="str">
        <f t="shared" si="3"/>
        <v/>
      </c>
      <c r="N83" s="55" t="str">
        <f t="shared" si="4"/>
        <v/>
      </c>
      <c r="O83" s="50">
        <f t="shared" si="6"/>
        <v>0</v>
      </c>
      <c r="P83" s="50">
        <f t="shared" si="7"/>
        <v>0</v>
      </c>
      <c r="Q83" s="54">
        <f t="shared" si="5"/>
        <v>0</v>
      </c>
      <c r="R83" s="1"/>
    </row>
    <row r="84">
      <c r="A84" s="1"/>
      <c r="B84" s="19"/>
      <c r="C84" s="20"/>
      <c r="D84" s="21"/>
      <c r="E84" s="22" t="str">
        <f t="shared" si="1"/>
        <v/>
      </c>
      <c r="F84" s="1"/>
      <c r="G84" s="1"/>
      <c r="H84" s="45"/>
      <c r="I84" s="46"/>
      <c r="J84" s="45"/>
      <c r="K84" s="1"/>
      <c r="L84" s="47" t="str">
        <f t="shared" si="2"/>
        <v/>
      </c>
      <c r="M84" s="48" t="str">
        <f t="shared" si="3"/>
        <v/>
      </c>
      <c r="N84" s="55" t="str">
        <f t="shared" si="4"/>
        <v/>
      </c>
      <c r="O84" s="50">
        <f t="shared" si="6"/>
        <v>0</v>
      </c>
      <c r="P84" s="50">
        <f t="shared" si="7"/>
        <v>0</v>
      </c>
      <c r="Q84" s="54">
        <f t="shared" si="5"/>
        <v>0</v>
      </c>
      <c r="R84" s="1"/>
    </row>
    <row r="85">
      <c r="A85" s="1"/>
      <c r="B85" s="19"/>
      <c r="C85" s="20"/>
      <c r="D85" s="21"/>
      <c r="E85" s="22" t="str">
        <f t="shared" si="1"/>
        <v/>
      </c>
      <c r="F85" s="1"/>
      <c r="G85" s="1"/>
      <c r="H85" s="45"/>
      <c r="I85" s="46"/>
      <c r="J85" s="45"/>
      <c r="K85" s="1"/>
      <c r="L85" s="47" t="str">
        <f t="shared" si="2"/>
        <v/>
      </c>
      <c r="M85" s="48" t="str">
        <f t="shared" si="3"/>
        <v/>
      </c>
      <c r="N85" s="55" t="str">
        <f t="shared" si="4"/>
        <v/>
      </c>
      <c r="O85" s="50">
        <f t="shared" si="6"/>
        <v>0</v>
      </c>
      <c r="P85" s="50">
        <f t="shared" si="7"/>
        <v>0</v>
      </c>
      <c r="Q85" s="54">
        <f t="shared" si="5"/>
        <v>0</v>
      </c>
      <c r="R85" s="1"/>
    </row>
    <row r="86">
      <c r="A86" s="1"/>
      <c r="B86" s="19"/>
      <c r="C86" s="20"/>
      <c r="D86" s="21"/>
      <c r="E86" s="22" t="str">
        <f t="shared" si="1"/>
        <v/>
      </c>
      <c r="F86" s="1"/>
      <c r="G86" s="1"/>
      <c r="H86" s="57"/>
      <c r="I86" s="46"/>
      <c r="J86" s="45"/>
      <c r="K86" s="1"/>
      <c r="L86" s="47" t="str">
        <f t="shared" si="2"/>
        <v/>
      </c>
      <c r="M86" s="48" t="str">
        <f t="shared" si="3"/>
        <v/>
      </c>
      <c r="N86" s="55" t="str">
        <f t="shared" si="4"/>
        <v/>
      </c>
      <c r="O86" s="50">
        <f t="shared" si="6"/>
        <v>0</v>
      </c>
      <c r="P86" s="50">
        <f t="shared" si="7"/>
        <v>0</v>
      </c>
      <c r="Q86" s="54">
        <f t="shared" si="5"/>
        <v>0</v>
      </c>
      <c r="R86" s="1"/>
    </row>
    <row r="87">
      <c r="A87" s="1"/>
      <c r="B87" s="19"/>
      <c r="C87" s="20"/>
      <c r="D87" s="21"/>
      <c r="E87" s="22" t="str">
        <f t="shared" si="1"/>
        <v/>
      </c>
      <c r="F87" s="1"/>
      <c r="G87" s="1"/>
      <c r="H87" s="57"/>
      <c r="I87" s="46"/>
      <c r="J87" s="45"/>
      <c r="K87" s="1"/>
      <c r="L87" s="47" t="str">
        <f t="shared" si="2"/>
        <v/>
      </c>
      <c r="M87" s="48" t="str">
        <f t="shared" si="3"/>
        <v/>
      </c>
      <c r="N87" s="55" t="str">
        <f t="shared" si="4"/>
        <v/>
      </c>
      <c r="O87" s="50">
        <f t="shared" si="6"/>
        <v>0</v>
      </c>
      <c r="P87" s="50">
        <f t="shared" si="7"/>
        <v>0</v>
      </c>
      <c r="Q87" s="54">
        <f t="shared" si="5"/>
        <v>0</v>
      </c>
      <c r="R87" s="1"/>
    </row>
    <row r="88">
      <c r="A88" s="1"/>
      <c r="B88" s="19"/>
      <c r="C88" s="20"/>
      <c r="D88" s="21"/>
      <c r="E88" s="22" t="str">
        <f t="shared" si="1"/>
        <v/>
      </c>
      <c r="F88" s="1"/>
      <c r="G88" s="1"/>
      <c r="H88" s="45"/>
      <c r="I88" s="46"/>
      <c r="J88" s="45"/>
      <c r="K88" s="1"/>
      <c r="L88" s="47" t="str">
        <f t="shared" si="2"/>
        <v/>
      </c>
      <c r="M88" s="48" t="str">
        <f t="shared" si="3"/>
        <v/>
      </c>
      <c r="N88" s="55" t="str">
        <f t="shared" si="4"/>
        <v/>
      </c>
      <c r="O88" s="50">
        <f t="shared" si="6"/>
        <v>0</v>
      </c>
      <c r="P88" s="50">
        <f t="shared" si="7"/>
        <v>0</v>
      </c>
      <c r="Q88" s="54">
        <f t="shared" si="5"/>
        <v>0</v>
      </c>
      <c r="R88" s="1"/>
    </row>
    <row r="89">
      <c r="A89" s="1"/>
      <c r="B89" s="19"/>
      <c r="C89" s="20"/>
      <c r="D89" s="21"/>
      <c r="E89" s="22" t="str">
        <f t="shared" si="1"/>
        <v/>
      </c>
      <c r="F89" s="1"/>
      <c r="G89" s="1"/>
      <c r="H89" s="45"/>
      <c r="I89" s="46"/>
      <c r="J89" s="45"/>
      <c r="K89" s="1"/>
      <c r="L89" s="47" t="str">
        <f t="shared" si="2"/>
        <v/>
      </c>
      <c r="M89" s="48" t="str">
        <f t="shared" si="3"/>
        <v/>
      </c>
      <c r="N89" s="55" t="str">
        <f t="shared" si="4"/>
        <v/>
      </c>
      <c r="O89" s="50">
        <f t="shared" si="6"/>
        <v>0</v>
      </c>
      <c r="P89" s="50">
        <f t="shared" si="7"/>
        <v>0</v>
      </c>
      <c r="Q89" s="54">
        <f t="shared" si="5"/>
        <v>0</v>
      </c>
      <c r="R89" s="1"/>
    </row>
    <row r="90">
      <c r="A90" s="1"/>
      <c r="B90" s="19"/>
      <c r="C90" s="20"/>
      <c r="D90" s="21"/>
      <c r="E90" s="22" t="str">
        <f t="shared" si="1"/>
        <v/>
      </c>
      <c r="F90" s="1"/>
      <c r="G90" s="1"/>
      <c r="H90" s="45"/>
      <c r="I90" s="46"/>
      <c r="J90" s="45"/>
      <c r="K90" s="1"/>
      <c r="L90" s="47" t="str">
        <f t="shared" si="2"/>
        <v/>
      </c>
      <c r="M90" s="48" t="str">
        <f t="shared" si="3"/>
        <v/>
      </c>
      <c r="N90" s="55" t="str">
        <f t="shared" si="4"/>
        <v/>
      </c>
      <c r="O90" s="50">
        <f t="shared" si="6"/>
        <v>0</v>
      </c>
      <c r="P90" s="50">
        <f t="shared" si="7"/>
        <v>0</v>
      </c>
      <c r="Q90" s="54">
        <f t="shared" si="5"/>
        <v>0</v>
      </c>
      <c r="R90" s="1"/>
    </row>
    <row r="91">
      <c r="A91" s="1"/>
      <c r="B91" s="19"/>
      <c r="C91" s="20"/>
      <c r="D91" s="21"/>
      <c r="E91" s="22" t="str">
        <f t="shared" si="1"/>
        <v/>
      </c>
      <c r="F91" s="1"/>
      <c r="G91" s="1"/>
      <c r="H91" s="45"/>
      <c r="I91" s="46"/>
      <c r="J91" s="45"/>
      <c r="K91" s="1"/>
      <c r="L91" s="47" t="str">
        <f t="shared" si="2"/>
        <v/>
      </c>
      <c r="M91" s="48" t="str">
        <f t="shared" si="3"/>
        <v/>
      </c>
      <c r="N91" s="55" t="str">
        <f t="shared" si="4"/>
        <v/>
      </c>
      <c r="O91" s="50">
        <f t="shared" si="6"/>
        <v>0</v>
      </c>
      <c r="P91" s="50">
        <f t="shared" si="7"/>
        <v>0</v>
      </c>
      <c r="Q91" s="54">
        <f t="shared" si="5"/>
        <v>0</v>
      </c>
      <c r="R91" s="1"/>
    </row>
    <row r="92">
      <c r="A92" s="1"/>
      <c r="B92" s="19"/>
      <c r="C92" s="20"/>
      <c r="D92" s="21"/>
      <c r="E92" s="22" t="str">
        <f t="shared" si="1"/>
        <v/>
      </c>
      <c r="F92" s="1"/>
      <c r="G92" s="1"/>
      <c r="H92" s="45"/>
      <c r="I92" s="46"/>
      <c r="J92" s="45"/>
      <c r="K92" s="1"/>
      <c r="L92" s="47" t="str">
        <f t="shared" si="2"/>
        <v/>
      </c>
      <c r="M92" s="48" t="str">
        <f t="shared" si="3"/>
        <v/>
      </c>
      <c r="N92" s="55" t="str">
        <f t="shared" si="4"/>
        <v/>
      </c>
      <c r="O92" s="50">
        <f t="shared" si="6"/>
        <v>0</v>
      </c>
      <c r="P92" s="50">
        <f t="shared" si="7"/>
        <v>0</v>
      </c>
      <c r="Q92" s="54">
        <f t="shared" si="5"/>
        <v>0</v>
      </c>
      <c r="R92" s="1"/>
    </row>
    <row r="93">
      <c r="A93" s="1"/>
      <c r="B93" s="19"/>
      <c r="C93" s="20"/>
      <c r="D93" s="21"/>
      <c r="E93" s="22" t="str">
        <f t="shared" si="1"/>
        <v/>
      </c>
      <c r="F93" s="1"/>
      <c r="G93" s="1"/>
      <c r="H93" s="45"/>
      <c r="I93" s="46"/>
      <c r="J93" s="45"/>
      <c r="K93" s="1"/>
      <c r="L93" s="47" t="str">
        <f t="shared" si="2"/>
        <v/>
      </c>
      <c r="M93" s="48" t="str">
        <f t="shared" si="3"/>
        <v/>
      </c>
      <c r="N93" s="55" t="str">
        <f t="shared" si="4"/>
        <v/>
      </c>
      <c r="O93" s="50">
        <f t="shared" si="6"/>
        <v>0</v>
      </c>
      <c r="P93" s="50">
        <f t="shared" si="7"/>
        <v>0</v>
      </c>
      <c r="Q93" s="54">
        <f t="shared" si="5"/>
        <v>0</v>
      </c>
      <c r="R93" s="1"/>
    </row>
    <row r="94">
      <c r="A94" s="1"/>
      <c r="B94" s="19"/>
      <c r="C94" s="20"/>
      <c r="D94" s="21"/>
      <c r="E94" s="22" t="str">
        <f t="shared" si="1"/>
        <v/>
      </c>
      <c r="F94" s="1"/>
      <c r="G94" s="1"/>
      <c r="H94" s="45"/>
      <c r="I94" s="46"/>
      <c r="J94" s="45"/>
      <c r="K94" s="1"/>
      <c r="L94" s="47" t="str">
        <f t="shared" si="2"/>
        <v/>
      </c>
      <c r="M94" s="48" t="str">
        <f t="shared" si="3"/>
        <v/>
      </c>
      <c r="N94" s="55" t="str">
        <f t="shared" si="4"/>
        <v/>
      </c>
      <c r="O94" s="50">
        <f t="shared" si="6"/>
        <v>0</v>
      </c>
      <c r="P94" s="50">
        <f t="shared" si="7"/>
        <v>0</v>
      </c>
      <c r="Q94" s="54">
        <f t="shared" si="5"/>
        <v>0</v>
      </c>
      <c r="R94" s="1"/>
    </row>
    <row r="95">
      <c r="A95" s="1"/>
      <c r="B95" s="19"/>
      <c r="C95" s="20"/>
      <c r="D95" s="21"/>
      <c r="E95" s="22" t="str">
        <f t="shared" si="1"/>
        <v/>
      </c>
      <c r="F95" s="1"/>
      <c r="G95" s="1"/>
      <c r="H95" s="45"/>
      <c r="I95" s="46"/>
      <c r="J95" s="45"/>
      <c r="K95" s="1"/>
      <c r="L95" s="47" t="str">
        <f t="shared" si="2"/>
        <v/>
      </c>
      <c r="M95" s="48" t="str">
        <f t="shared" si="3"/>
        <v/>
      </c>
      <c r="N95" s="55" t="str">
        <f t="shared" si="4"/>
        <v/>
      </c>
      <c r="O95" s="50">
        <f t="shared" si="6"/>
        <v>0</v>
      </c>
      <c r="P95" s="50">
        <f t="shared" si="7"/>
        <v>0</v>
      </c>
      <c r="Q95" s="54">
        <f t="shared" si="5"/>
        <v>0</v>
      </c>
      <c r="R95" s="1"/>
    </row>
    <row r="96">
      <c r="A96" s="1"/>
      <c r="B96" s="19"/>
      <c r="C96" s="20"/>
      <c r="D96" s="21"/>
      <c r="E96" s="22" t="str">
        <f t="shared" si="1"/>
        <v/>
      </c>
      <c r="F96" s="1"/>
      <c r="G96" s="1"/>
      <c r="H96" s="45"/>
      <c r="I96" s="46"/>
      <c r="J96" s="45"/>
      <c r="K96" s="1"/>
      <c r="L96" s="47" t="str">
        <f t="shared" si="2"/>
        <v/>
      </c>
      <c r="M96" s="48" t="str">
        <f t="shared" si="3"/>
        <v/>
      </c>
      <c r="N96" s="55" t="str">
        <f t="shared" si="4"/>
        <v/>
      </c>
      <c r="O96" s="50">
        <f t="shared" si="6"/>
        <v>0</v>
      </c>
      <c r="P96" s="50">
        <f t="shared" si="7"/>
        <v>0</v>
      </c>
      <c r="Q96" s="54">
        <f t="shared" si="5"/>
        <v>0</v>
      </c>
      <c r="R96" s="1"/>
    </row>
    <row r="97">
      <c r="A97" s="1"/>
      <c r="B97" s="19"/>
      <c r="C97" s="20"/>
      <c r="D97" s="21"/>
      <c r="E97" s="22" t="str">
        <f t="shared" si="1"/>
        <v/>
      </c>
      <c r="F97" s="1"/>
      <c r="G97" s="1"/>
      <c r="H97" s="57"/>
      <c r="I97" s="46"/>
      <c r="J97" s="45"/>
      <c r="K97" s="1"/>
      <c r="L97" s="47" t="str">
        <f t="shared" si="2"/>
        <v/>
      </c>
      <c r="M97" s="48" t="str">
        <f t="shared" si="3"/>
        <v/>
      </c>
      <c r="N97" s="55" t="str">
        <f t="shared" si="4"/>
        <v/>
      </c>
      <c r="O97" s="50">
        <f t="shared" si="6"/>
        <v>0</v>
      </c>
      <c r="P97" s="50">
        <f t="shared" si="7"/>
        <v>0</v>
      </c>
      <c r="Q97" s="54">
        <f t="shared" si="5"/>
        <v>0</v>
      </c>
      <c r="R97" s="1"/>
    </row>
    <row r="98">
      <c r="A98" s="1"/>
      <c r="B98" s="19"/>
      <c r="C98" s="20"/>
      <c r="D98" s="21"/>
      <c r="E98" s="22" t="str">
        <f t="shared" si="1"/>
        <v/>
      </c>
      <c r="F98" s="1"/>
      <c r="G98" s="1"/>
      <c r="H98" s="45"/>
      <c r="I98" s="46"/>
      <c r="J98" s="45"/>
      <c r="K98" s="1"/>
      <c r="L98" s="47" t="str">
        <f t="shared" si="2"/>
        <v/>
      </c>
      <c r="M98" s="48" t="str">
        <f t="shared" si="3"/>
        <v/>
      </c>
      <c r="N98" s="55" t="str">
        <f t="shared" si="4"/>
        <v/>
      </c>
      <c r="O98" s="50">
        <f t="shared" si="6"/>
        <v>0</v>
      </c>
      <c r="P98" s="50">
        <f t="shared" si="7"/>
        <v>0</v>
      </c>
      <c r="Q98" s="54">
        <f t="shared" si="5"/>
        <v>0</v>
      </c>
      <c r="R98" s="1"/>
    </row>
    <row r="99">
      <c r="A99" s="1"/>
      <c r="B99" s="19"/>
      <c r="C99" s="20"/>
      <c r="D99" s="21"/>
      <c r="E99" s="22" t="str">
        <f t="shared" si="1"/>
        <v/>
      </c>
      <c r="F99" s="1"/>
      <c r="G99" s="1"/>
      <c r="H99" s="45"/>
      <c r="I99" s="46"/>
      <c r="J99" s="45"/>
      <c r="K99" s="1"/>
      <c r="L99" s="47" t="str">
        <f t="shared" si="2"/>
        <v/>
      </c>
      <c r="M99" s="48" t="str">
        <f t="shared" si="3"/>
        <v/>
      </c>
      <c r="N99" s="55" t="str">
        <f t="shared" si="4"/>
        <v/>
      </c>
      <c r="O99" s="50">
        <f t="shared" si="6"/>
        <v>0</v>
      </c>
      <c r="P99" s="50">
        <f t="shared" si="7"/>
        <v>0</v>
      </c>
      <c r="Q99" s="54">
        <f t="shared" si="5"/>
        <v>0</v>
      </c>
      <c r="R99" s="1"/>
    </row>
    <row r="100">
      <c r="A100" s="1"/>
      <c r="B100" s="19"/>
      <c r="C100" s="20"/>
      <c r="D100" s="21"/>
      <c r="E100" s="22" t="str">
        <f t="shared" si="1"/>
        <v/>
      </c>
      <c r="F100" s="1"/>
      <c r="G100" s="1"/>
      <c r="H100" s="45"/>
      <c r="I100" s="46"/>
      <c r="J100" s="45"/>
      <c r="K100" s="1"/>
      <c r="L100" s="47" t="str">
        <f t="shared" si="2"/>
        <v/>
      </c>
      <c r="M100" s="48" t="str">
        <f t="shared" si="3"/>
        <v/>
      </c>
      <c r="N100" s="55" t="str">
        <f t="shared" si="4"/>
        <v/>
      </c>
      <c r="O100" s="50">
        <f t="shared" si="6"/>
        <v>0</v>
      </c>
      <c r="P100" s="50">
        <f t="shared" si="7"/>
        <v>0</v>
      </c>
      <c r="Q100" s="54">
        <f t="shared" si="5"/>
        <v>0</v>
      </c>
      <c r="R100" s="1"/>
    </row>
    <row r="101">
      <c r="A101" s="1"/>
      <c r="B101" s="19"/>
      <c r="C101" s="20"/>
      <c r="D101" s="21"/>
      <c r="E101" s="22" t="str">
        <f t="shared" si="1"/>
        <v/>
      </c>
      <c r="F101" s="1"/>
      <c r="G101" s="1"/>
      <c r="H101" s="45"/>
      <c r="I101" s="46"/>
      <c r="J101" s="45"/>
      <c r="K101" s="1"/>
      <c r="L101" s="47" t="str">
        <f t="shared" si="2"/>
        <v/>
      </c>
      <c r="M101" s="48" t="str">
        <f t="shared" si="3"/>
        <v/>
      </c>
      <c r="N101" s="55" t="str">
        <f t="shared" si="4"/>
        <v/>
      </c>
      <c r="O101" s="50">
        <f t="shared" si="6"/>
        <v>0</v>
      </c>
      <c r="P101" s="50">
        <f t="shared" si="7"/>
        <v>0</v>
      </c>
      <c r="Q101" s="54">
        <f t="shared" si="5"/>
        <v>0</v>
      </c>
      <c r="R101" s="1"/>
    </row>
    <row r="102">
      <c r="A102" s="1"/>
      <c r="B102" s="19"/>
      <c r="C102" s="20"/>
      <c r="D102" s="21"/>
      <c r="E102" s="22" t="str">
        <f t="shared" si="1"/>
        <v/>
      </c>
      <c r="F102" s="1"/>
      <c r="G102" s="1"/>
      <c r="H102" s="45"/>
      <c r="I102" s="46"/>
      <c r="J102" s="45"/>
      <c r="K102" s="1"/>
      <c r="L102" s="47" t="str">
        <f t="shared" si="2"/>
        <v/>
      </c>
      <c r="M102" s="48" t="str">
        <f t="shared" si="3"/>
        <v/>
      </c>
      <c r="N102" s="55" t="str">
        <f t="shared" si="4"/>
        <v/>
      </c>
      <c r="O102" s="50">
        <f t="shared" si="6"/>
        <v>0</v>
      </c>
      <c r="P102" s="50">
        <f t="shared" si="7"/>
        <v>0</v>
      </c>
      <c r="Q102" s="54">
        <f t="shared" si="5"/>
        <v>0</v>
      </c>
      <c r="R102" s="1"/>
    </row>
    <row r="103">
      <c r="A103" s="1"/>
      <c r="B103" s="19"/>
      <c r="C103" s="20"/>
      <c r="D103" s="21"/>
      <c r="E103" s="22" t="str">
        <f t="shared" si="1"/>
        <v/>
      </c>
      <c r="F103" s="1"/>
      <c r="G103" s="1"/>
      <c r="H103" s="57"/>
      <c r="I103" s="46"/>
      <c r="J103" s="45"/>
      <c r="K103" s="1"/>
      <c r="L103" s="47" t="str">
        <f t="shared" si="2"/>
        <v/>
      </c>
      <c r="M103" s="48" t="str">
        <f t="shared" si="3"/>
        <v/>
      </c>
      <c r="N103" s="55" t="str">
        <f t="shared" si="4"/>
        <v/>
      </c>
      <c r="O103" s="50">
        <f t="shared" si="6"/>
        <v>0</v>
      </c>
      <c r="P103" s="50">
        <f t="shared" si="7"/>
        <v>0</v>
      </c>
      <c r="Q103" s="54">
        <f t="shared" si="5"/>
        <v>0</v>
      </c>
      <c r="R103" s="1"/>
    </row>
    <row r="104">
      <c r="A104" s="1"/>
      <c r="B104" s="19"/>
      <c r="C104" s="20"/>
      <c r="D104" s="21"/>
      <c r="E104" s="22" t="str">
        <f t="shared" si="1"/>
        <v/>
      </c>
      <c r="F104" s="1"/>
      <c r="G104" s="1"/>
      <c r="H104" s="45"/>
      <c r="I104" s="46"/>
      <c r="J104" s="45"/>
      <c r="K104" s="1"/>
      <c r="L104" s="47" t="str">
        <f t="shared" si="2"/>
        <v/>
      </c>
      <c r="M104" s="48" t="str">
        <f t="shared" si="3"/>
        <v/>
      </c>
      <c r="N104" s="55" t="str">
        <f t="shared" si="4"/>
        <v/>
      </c>
      <c r="O104" s="50">
        <f t="shared" si="6"/>
        <v>0</v>
      </c>
      <c r="P104" s="50">
        <f t="shared" si="7"/>
        <v>0</v>
      </c>
      <c r="Q104" s="54">
        <f t="shared" si="5"/>
        <v>0</v>
      </c>
      <c r="R104" s="1"/>
    </row>
    <row r="105">
      <c r="A105" s="1"/>
      <c r="B105" s="19"/>
      <c r="C105" s="20"/>
      <c r="D105" s="21"/>
      <c r="E105" s="22" t="str">
        <f t="shared" si="1"/>
        <v/>
      </c>
      <c r="F105" s="1"/>
      <c r="G105" s="1"/>
      <c r="H105" s="57"/>
      <c r="I105" s="46"/>
      <c r="J105" s="45"/>
      <c r="K105" s="1"/>
      <c r="L105" s="47" t="str">
        <f t="shared" si="2"/>
        <v/>
      </c>
      <c r="M105" s="48" t="str">
        <f t="shared" si="3"/>
        <v/>
      </c>
      <c r="N105" s="55" t="str">
        <f t="shared" si="4"/>
        <v/>
      </c>
      <c r="O105" s="50">
        <f t="shared" si="6"/>
        <v>0</v>
      </c>
      <c r="P105" s="50">
        <f t="shared" si="7"/>
        <v>0</v>
      </c>
      <c r="Q105" s="54">
        <f t="shared" si="5"/>
        <v>0</v>
      </c>
      <c r="R105" s="1"/>
    </row>
    <row r="106">
      <c r="A106" s="1"/>
      <c r="B106" s="19"/>
      <c r="C106" s="20"/>
      <c r="D106" s="21"/>
      <c r="E106" s="22" t="str">
        <f t="shared" si="1"/>
        <v/>
      </c>
      <c r="F106" s="1"/>
      <c r="G106" s="1"/>
      <c r="H106" s="45"/>
      <c r="I106" s="46"/>
      <c r="J106" s="45"/>
      <c r="K106" s="1"/>
      <c r="L106" s="47" t="str">
        <f t="shared" si="2"/>
        <v/>
      </c>
      <c r="M106" s="48" t="str">
        <f t="shared" si="3"/>
        <v/>
      </c>
      <c r="N106" s="55" t="str">
        <f t="shared" si="4"/>
        <v/>
      </c>
      <c r="O106" s="50">
        <f t="shared" si="6"/>
        <v>0</v>
      </c>
      <c r="P106" s="50">
        <f t="shared" si="7"/>
        <v>0</v>
      </c>
      <c r="Q106" s="54">
        <f t="shared" si="5"/>
        <v>0</v>
      </c>
      <c r="R106" s="1"/>
    </row>
    <row r="107">
      <c r="A107" s="1"/>
      <c r="B107" s="19"/>
      <c r="C107" s="20"/>
      <c r="D107" s="21"/>
      <c r="E107" s="22" t="str">
        <f t="shared" si="1"/>
        <v/>
      </c>
      <c r="F107" s="1"/>
      <c r="G107" s="1"/>
      <c r="H107" s="45"/>
      <c r="I107" s="46"/>
      <c r="J107" s="45"/>
      <c r="K107" s="1"/>
      <c r="L107" s="47" t="str">
        <f t="shared" si="2"/>
        <v/>
      </c>
      <c r="M107" s="48" t="str">
        <f t="shared" si="3"/>
        <v/>
      </c>
      <c r="N107" s="55" t="str">
        <f t="shared" si="4"/>
        <v/>
      </c>
      <c r="O107" s="50">
        <f t="shared" si="6"/>
        <v>0</v>
      </c>
      <c r="P107" s="50">
        <f t="shared" si="7"/>
        <v>0</v>
      </c>
      <c r="Q107" s="54">
        <f t="shared" si="5"/>
        <v>0</v>
      </c>
      <c r="R107" s="1"/>
    </row>
    <row r="108">
      <c r="A108" s="1"/>
      <c r="B108" s="19"/>
      <c r="C108" s="20"/>
      <c r="D108" s="21"/>
      <c r="E108" s="22" t="str">
        <f t="shared" si="1"/>
        <v/>
      </c>
      <c r="F108" s="1"/>
      <c r="G108" s="1"/>
      <c r="H108" s="45"/>
      <c r="I108" s="46"/>
      <c r="J108" s="45"/>
      <c r="K108" s="1"/>
      <c r="L108" s="47" t="str">
        <f t="shared" si="2"/>
        <v/>
      </c>
      <c r="M108" s="48" t="str">
        <f t="shared" si="3"/>
        <v/>
      </c>
      <c r="N108" s="55" t="str">
        <f t="shared" si="4"/>
        <v/>
      </c>
      <c r="O108" s="50">
        <f t="shared" si="6"/>
        <v>0</v>
      </c>
      <c r="P108" s="50">
        <f t="shared" si="7"/>
        <v>0</v>
      </c>
      <c r="Q108" s="54">
        <f t="shared" si="5"/>
        <v>0</v>
      </c>
      <c r="R108" s="1"/>
    </row>
    <row r="109">
      <c r="A109" s="1"/>
      <c r="B109" s="19"/>
      <c r="C109" s="20"/>
      <c r="D109" s="21"/>
      <c r="E109" s="22" t="str">
        <f t="shared" si="1"/>
        <v/>
      </c>
      <c r="F109" s="1"/>
      <c r="G109" s="1"/>
      <c r="H109" s="45"/>
      <c r="I109" s="46"/>
      <c r="J109" s="45"/>
      <c r="K109" s="1"/>
      <c r="L109" s="47" t="str">
        <f t="shared" si="2"/>
        <v/>
      </c>
      <c r="M109" s="48" t="str">
        <f t="shared" si="3"/>
        <v/>
      </c>
      <c r="N109" s="55" t="str">
        <f t="shared" si="4"/>
        <v/>
      </c>
      <c r="O109" s="50">
        <f t="shared" si="6"/>
        <v>0</v>
      </c>
      <c r="P109" s="50">
        <f t="shared" si="7"/>
        <v>0</v>
      </c>
      <c r="Q109" s="54">
        <f t="shared" si="5"/>
        <v>0</v>
      </c>
      <c r="R109" s="1"/>
    </row>
    <row r="110">
      <c r="A110" s="1"/>
      <c r="B110" s="19"/>
      <c r="C110" s="20"/>
      <c r="D110" s="21"/>
      <c r="E110" s="22" t="str">
        <f t="shared" si="1"/>
        <v/>
      </c>
      <c r="F110" s="1"/>
      <c r="G110" s="1"/>
      <c r="H110" s="45"/>
      <c r="I110" s="46"/>
      <c r="J110" s="45"/>
      <c r="K110" s="1"/>
      <c r="L110" s="47" t="str">
        <f t="shared" si="2"/>
        <v/>
      </c>
      <c r="M110" s="48" t="str">
        <f t="shared" si="3"/>
        <v/>
      </c>
      <c r="N110" s="55" t="str">
        <f t="shared" si="4"/>
        <v/>
      </c>
      <c r="O110" s="50">
        <f t="shared" si="6"/>
        <v>0</v>
      </c>
      <c r="P110" s="50">
        <f t="shared" si="7"/>
        <v>0</v>
      </c>
      <c r="Q110" s="54">
        <f t="shared" si="5"/>
        <v>0</v>
      </c>
      <c r="R110" s="1"/>
    </row>
    <row r="111">
      <c r="A111" s="1"/>
      <c r="B111" s="19"/>
      <c r="C111" s="20"/>
      <c r="D111" s="21"/>
      <c r="E111" s="22" t="str">
        <f t="shared" si="1"/>
        <v/>
      </c>
      <c r="F111" s="1"/>
      <c r="G111" s="1"/>
      <c r="H111" s="57"/>
      <c r="I111" s="46"/>
      <c r="J111" s="45"/>
      <c r="K111" s="1"/>
      <c r="L111" s="47" t="str">
        <f t="shared" si="2"/>
        <v/>
      </c>
      <c r="M111" s="48" t="str">
        <f t="shared" si="3"/>
        <v/>
      </c>
      <c r="N111" s="55" t="str">
        <f t="shared" si="4"/>
        <v/>
      </c>
      <c r="O111" s="50">
        <f t="shared" si="6"/>
        <v>0</v>
      </c>
      <c r="P111" s="50">
        <f t="shared" si="7"/>
        <v>0</v>
      </c>
      <c r="Q111" s="54">
        <f t="shared" si="5"/>
        <v>0</v>
      </c>
      <c r="R111" s="1"/>
    </row>
    <row r="112">
      <c r="A112" s="1"/>
      <c r="B112" s="19"/>
      <c r="C112" s="20"/>
      <c r="D112" s="21"/>
      <c r="E112" s="22" t="str">
        <f t="shared" si="1"/>
        <v/>
      </c>
      <c r="F112" s="1"/>
      <c r="G112" s="1"/>
      <c r="H112" s="45"/>
      <c r="I112" s="46"/>
      <c r="J112" s="45"/>
      <c r="K112" s="1"/>
      <c r="L112" s="47" t="str">
        <f t="shared" si="2"/>
        <v/>
      </c>
      <c r="M112" s="48" t="str">
        <f t="shared" si="3"/>
        <v/>
      </c>
      <c r="N112" s="55" t="str">
        <f t="shared" si="4"/>
        <v/>
      </c>
      <c r="O112" s="50">
        <f t="shared" si="6"/>
        <v>0</v>
      </c>
      <c r="P112" s="50">
        <f t="shared" si="7"/>
        <v>0</v>
      </c>
      <c r="Q112" s="54">
        <f t="shared" si="5"/>
        <v>0</v>
      </c>
      <c r="R112" s="1"/>
    </row>
    <row r="113">
      <c r="A113" s="1"/>
      <c r="B113" s="19"/>
      <c r="C113" s="20"/>
      <c r="D113" s="21"/>
      <c r="E113" s="22" t="str">
        <f t="shared" si="1"/>
        <v/>
      </c>
      <c r="F113" s="1"/>
      <c r="G113" s="1"/>
      <c r="H113" s="45"/>
      <c r="I113" s="46"/>
      <c r="J113" s="45"/>
      <c r="K113" s="1"/>
      <c r="L113" s="47" t="str">
        <f t="shared" si="2"/>
        <v/>
      </c>
      <c r="M113" s="48" t="str">
        <f t="shared" si="3"/>
        <v/>
      </c>
      <c r="N113" s="55" t="str">
        <f t="shared" si="4"/>
        <v/>
      </c>
      <c r="O113" s="50">
        <f t="shared" si="6"/>
        <v>0</v>
      </c>
      <c r="P113" s="50">
        <f t="shared" si="7"/>
        <v>0</v>
      </c>
      <c r="Q113" s="54">
        <f t="shared" si="5"/>
        <v>0</v>
      </c>
      <c r="R113" s="1"/>
    </row>
    <row r="114">
      <c r="A114" s="1"/>
      <c r="B114" s="19"/>
      <c r="C114" s="20"/>
      <c r="D114" s="21"/>
      <c r="E114" s="22" t="str">
        <f t="shared" si="1"/>
        <v/>
      </c>
      <c r="F114" s="1"/>
      <c r="G114" s="1"/>
      <c r="H114" s="45"/>
      <c r="I114" s="46"/>
      <c r="J114" s="45"/>
      <c r="K114" s="1"/>
      <c r="L114" s="47" t="str">
        <f t="shared" si="2"/>
        <v/>
      </c>
      <c r="M114" s="48" t="str">
        <f t="shared" si="3"/>
        <v/>
      </c>
      <c r="N114" s="55" t="str">
        <f t="shared" si="4"/>
        <v/>
      </c>
      <c r="O114" s="50">
        <f t="shared" si="6"/>
        <v>0</v>
      </c>
      <c r="P114" s="50">
        <f t="shared" si="7"/>
        <v>0</v>
      </c>
      <c r="Q114" s="54">
        <f t="shared" si="5"/>
        <v>0</v>
      </c>
      <c r="R114" s="1"/>
    </row>
    <row r="115">
      <c r="A115" s="1"/>
      <c r="B115" s="19"/>
      <c r="C115" s="20"/>
      <c r="D115" s="21"/>
      <c r="E115" s="22" t="str">
        <f t="shared" si="1"/>
        <v/>
      </c>
      <c r="F115" s="1"/>
      <c r="G115" s="1"/>
      <c r="H115" s="45"/>
      <c r="I115" s="46"/>
      <c r="J115" s="45"/>
      <c r="K115" s="1"/>
      <c r="L115" s="47" t="str">
        <f t="shared" si="2"/>
        <v/>
      </c>
      <c r="M115" s="48" t="str">
        <f t="shared" si="3"/>
        <v/>
      </c>
      <c r="N115" s="55" t="str">
        <f t="shared" si="4"/>
        <v/>
      </c>
      <c r="O115" s="50">
        <f t="shared" si="6"/>
        <v>0</v>
      </c>
      <c r="P115" s="50">
        <f t="shared" si="7"/>
        <v>0</v>
      </c>
      <c r="Q115" s="54">
        <f t="shared" si="5"/>
        <v>0</v>
      </c>
      <c r="R115" s="1"/>
    </row>
    <row r="116">
      <c r="A116" s="1"/>
      <c r="B116" s="19"/>
      <c r="C116" s="20"/>
      <c r="D116" s="21"/>
      <c r="E116" s="22" t="str">
        <f t="shared" si="1"/>
        <v/>
      </c>
      <c r="F116" s="1"/>
      <c r="G116" s="1"/>
      <c r="H116" s="45"/>
      <c r="I116" s="46"/>
      <c r="J116" s="45"/>
      <c r="K116" s="1"/>
      <c r="L116" s="58" t="str">
        <f t="shared" si="2"/>
        <v/>
      </c>
      <c r="M116" s="59" t="str">
        <f t="shared" si="3"/>
        <v/>
      </c>
      <c r="N116" s="55" t="str">
        <f t="shared" si="4"/>
        <v/>
      </c>
      <c r="O116" s="50">
        <f t="shared" si="6"/>
        <v>0</v>
      </c>
      <c r="P116" s="50">
        <f t="shared" si="7"/>
        <v>0</v>
      </c>
      <c r="Q116" s="54">
        <f t="shared" si="5"/>
        <v>0</v>
      </c>
      <c r="R116" s="1"/>
    </row>
    <row r="117">
      <c r="A117" s="1"/>
      <c r="B117" s="19"/>
      <c r="C117" s="20"/>
      <c r="D117" s="21"/>
      <c r="E117" s="22" t="str">
        <f t="shared" si="1"/>
        <v/>
      </c>
      <c r="F117" s="1"/>
      <c r="G117" s="1"/>
      <c r="H117" s="45"/>
      <c r="I117" s="46"/>
      <c r="J117" s="45"/>
      <c r="K117" s="1"/>
      <c r="L117" s="58" t="str">
        <f t="shared" si="2"/>
        <v/>
      </c>
      <c r="M117" s="59" t="str">
        <f t="shared" si="3"/>
        <v/>
      </c>
      <c r="N117" s="55" t="str">
        <f t="shared" si="4"/>
        <v/>
      </c>
      <c r="O117" s="50">
        <f t="shared" si="6"/>
        <v>0</v>
      </c>
      <c r="P117" s="50">
        <f t="shared" si="7"/>
        <v>0</v>
      </c>
      <c r="Q117" s="54">
        <f t="shared" si="5"/>
        <v>0</v>
      </c>
      <c r="R117" s="1"/>
    </row>
    <row r="118">
      <c r="A118" s="1"/>
      <c r="B118" s="19"/>
      <c r="C118" s="20"/>
      <c r="D118" s="21"/>
      <c r="E118" s="22" t="str">
        <f t="shared" si="1"/>
        <v/>
      </c>
      <c r="F118" s="1"/>
      <c r="G118" s="1"/>
      <c r="H118" s="45"/>
      <c r="I118" s="60"/>
      <c r="J118" s="45"/>
      <c r="K118" s="1"/>
      <c r="L118" s="58" t="str">
        <f t="shared" si="2"/>
        <v/>
      </c>
      <c r="M118" s="59" t="str">
        <f t="shared" si="3"/>
        <v/>
      </c>
      <c r="N118" s="55" t="str">
        <f t="shared" si="4"/>
        <v/>
      </c>
      <c r="O118" s="50">
        <f t="shared" si="6"/>
        <v>0</v>
      </c>
      <c r="P118" s="50">
        <f t="shared" si="7"/>
        <v>0</v>
      </c>
      <c r="Q118" s="54">
        <f t="shared" si="5"/>
        <v>0</v>
      </c>
      <c r="R118" s="1"/>
    </row>
    <row r="119">
      <c r="A119" s="1"/>
      <c r="B119" s="19"/>
      <c r="C119" s="20"/>
      <c r="D119" s="21"/>
      <c r="E119" s="22" t="str">
        <f t="shared" si="1"/>
        <v/>
      </c>
      <c r="F119" s="1"/>
      <c r="G119" s="1"/>
      <c r="H119" s="45"/>
      <c r="I119" s="60"/>
      <c r="J119" s="45"/>
      <c r="K119" s="1"/>
      <c r="L119" s="58" t="str">
        <f t="shared" si="2"/>
        <v/>
      </c>
      <c r="M119" s="59" t="str">
        <f t="shared" si="3"/>
        <v/>
      </c>
      <c r="N119" s="55" t="str">
        <f t="shared" si="4"/>
        <v/>
      </c>
      <c r="O119" s="50">
        <f t="shared" si="6"/>
        <v>0</v>
      </c>
      <c r="P119" s="50">
        <f t="shared" si="7"/>
        <v>0</v>
      </c>
      <c r="Q119" s="54">
        <f t="shared" si="5"/>
        <v>0</v>
      </c>
      <c r="R119" s="1"/>
    </row>
    <row r="120">
      <c r="A120" s="1"/>
      <c r="B120" s="19"/>
      <c r="C120" s="20"/>
      <c r="D120" s="21"/>
      <c r="E120" s="22" t="str">
        <f t="shared" si="1"/>
        <v/>
      </c>
      <c r="F120" s="1"/>
      <c r="G120" s="1"/>
      <c r="H120" s="45"/>
      <c r="I120" s="60"/>
      <c r="J120" s="45"/>
      <c r="K120" s="1"/>
      <c r="L120" s="58" t="str">
        <f t="shared" si="2"/>
        <v/>
      </c>
      <c r="M120" s="59" t="str">
        <f t="shared" si="3"/>
        <v/>
      </c>
      <c r="N120" s="55" t="str">
        <f t="shared" si="4"/>
        <v/>
      </c>
      <c r="O120" s="50">
        <f t="shared" si="6"/>
        <v>0</v>
      </c>
      <c r="P120" s="50">
        <f t="shared" si="7"/>
        <v>0</v>
      </c>
      <c r="Q120" s="54">
        <f t="shared" si="5"/>
        <v>0</v>
      </c>
      <c r="R120" s="1"/>
    </row>
    <row r="121">
      <c r="A121" s="1"/>
      <c r="B121" s="19"/>
      <c r="C121" s="20"/>
      <c r="D121" s="21"/>
      <c r="E121" s="22" t="str">
        <f t="shared" si="1"/>
        <v/>
      </c>
      <c r="F121" s="1"/>
      <c r="G121" s="1"/>
      <c r="H121" s="45"/>
      <c r="I121" s="60"/>
      <c r="J121" s="45"/>
      <c r="K121" s="1"/>
      <c r="L121" s="58" t="str">
        <f t="shared" si="2"/>
        <v/>
      </c>
      <c r="M121" s="59" t="str">
        <f t="shared" si="3"/>
        <v/>
      </c>
      <c r="N121" s="55" t="str">
        <f t="shared" si="4"/>
        <v/>
      </c>
      <c r="O121" s="50">
        <f t="shared" si="6"/>
        <v>0</v>
      </c>
      <c r="P121" s="50">
        <f t="shared" si="7"/>
        <v>0</v>
      </c>
      <c r="Q121" s="54">
        <f t="shared" si="5"/>
        <v>0</v>
      </c>
      <c r="R121" s="1"/>
    </row>
    <row r="122">
      <c r="A122" s="1"/>
      <c r="B122" s="19"/>
      <c r="C122" s="20"/>
      <c r="D122" s="21"/>
      <c r="E122" s="22" t="str">
        <f t="shared" si="1"/>
        <v/>
      </c>
      <c r="F122" s="1"/>
      <c r="G122" s="1"/>
      <c r="H122" s="45"/>
      <c r="I122" s="60"/>
      <c r="J122" s="45"/>
      <c r="K122" s="1"/>
      <c r="L122" s="58" t="str">
        <f t="shared" si="2"/>
        <v/>
      </c>
      <c r="M122" s="59" t="str">
        <f t="shared" si="3"/>
        <v/>
      </c>
      <c r="N122" s="55" t="str">
        <f t="shared" si="4"/>
        <v/>
      </c>
      <c r="O122" s="50">
        <f t="shared" si="6"/>
        <v>0</v>
      </c>
      <c r="P122" s="50">
        <f t="shared" si="7"/>
        <v>0</v>
      </c>
      <c r="Q122" s="54">
        <f t="shared" si="5"/>
        <v>0</v>
      </c>
      <c r="R122" s="1"/>
    </row>
    <row r="123">
      <c r="A123" s="1"/>
      <c r="B123" s="19"/>
      <c r="C123" s="20"/>
      <c r="D123" s="21"/>
      <c r="E123" s="22" t="str">
        <f t="shared" si="1"/>
        <v/>
      </c>
      <c r="F123" s="1"/>
      <c r="G123" s="1"/>
      <c r="H123" s="45"/>
      <c r="I123" s="60"/>
      <c r="J123" s="45"/>
      <c r="K123" s="1"/>
      <c r="L123" s="58" t="str">
        <f t="shared" si="2"/>
        <v/>
      </c>
      <c r="M123" s="59" t="str">
        <f t="shared" si="3"/>
        <v/>
      </c>
      <c r="N123" s="55" t="str">
        <f t="shared" si="4"/>
        <v/>
      </c>
      <c r="O123" s="50">
        <f t="shared" si="6"/>
        <v>0</v>
      </c>
      <c r="P123" s="50">
        <f t="shared" si="7"/>
        <v>0</v>
      </c>
      <c r="Q123" s="54">
        <f t="shared" si="5"/>
        <v>0</v>
      </c>
      <c r="R123" s="1"/>
    </row>
    <row r="124">
      <c r="A124" s="1"/>
      <c r="B124" s="19"/>
      <c r="C124" s="20"/>
      <c r="D124" s="21"/>
      <c r="E124" s="22" t="str">
        <f t="shared" si="1"/>
        <v/>
      </c>
      <c r="F124" s="1"/>
      <c r="G124" s="1"/>
      <c r="H124" s="45"/>
      <c r="I124" s="60"/>
      <c r="J124" s="45"/>
      <c r="K124" s="1"/>
      <c r="L124" s="58" t="str">
        <f t="shared" si="2"/>
        <v/>
      </c>
      <c r="M124" s="59" t="str">
        <f t="shared" si="3"/>
        <v/>
      </c>
      <c r="N124" s="55" t="str">
        <f t="shared" si="4"/>
        <v/>
      </c>
      <c r="O124" s="50">
        <f t="shared" si="6"/>
        <v>0</v>
      </c>
      <c r="P124" s="50">
        <f t="shared" si="7"/>
        <v>0</v>
      </c>
      <c r="Q124" s="54">
        <f t="shared" si="5"/>
        <v>0</v>
      </c>
      <c r="R124" s="1"/>
    </row>
    <row r="125">
      <c r="A125" s="1"/>
      <c r="B125" s="19"/>
      <c r="C125" s="20"/>
      <c r="D125" s="21"/>
      <c r="E125" s="22" t="str">
        <f t="shared" si="1"/>
        <v/>
      </c>
      <c r="F125" s="1"/>
      <c r="G125" s="1"/>
      <c r="H125" s="45"/>
      <c r="I125" s="60"/>
      <c r="J125" s="45"/>
      <c r="K125" s="1"/>
      <c r="L125" s="58" t="str">
        <f t="shared" si="2"/>
        <v/>
      </c>
      <c r="M125" s="59" t="str">
        <f t="shared" si="3"/>
        <v/>
      </c>
      <c r="N125" s="55" t="str">
        <f t="shared" si="4"/>
        <v/>
      </c>
      <c r="O125" s="50">
        <f t="shared" si="6"/>
        <v>0</v>
      </c>
      <c r="P125" s="50">
        <f t="shared" si="7"/>
        <v>0</v>
      </c>
      <c r="Q125" s="54">
        <f t="shared" si="5"/>
        <v>0</v>
      </c>
      <c r="R125" s="1"/>
    </row>
    <row r="126">
      <c r="A126" s="1"/>
      <c r="B126" s="19"/>
      <c r="C126" s="20"/>
      <c r="D126" s="21"/>
      <c r="E126" s="22" t="str">
        <f t="shared" si="1"/>
        <v/>
      </c>
      <c r="F126" s="1"/>
      <c r="G126" s="1"/>
      <c r="H126" s="45"/>
      <c r="I126" s="60"/>
      <c r="J126" s="45"/>
      <c r="K126" s="1"/>
      <c r="L126" s="58" t="str">
        <f t="shared" si="2"/>
        <v/>
      </c>
      <c r="M126" s="59" t="str">
        <f t="shared" si="3"/>
        <v/>
      </c>
      <c r="N126" s="55" t="str">
        <f t="shared" si="4"/>
        <v/>
      </c>
      <c r="O126" s="50">
        <f t="shared" si="6"/>
        <v>0</v>
      </c>
      <c r="P126" s="50">
        <f t="shared" si="7"/>
        <v>0</v>
      </c>
      <c r="Q126" s="54">
        <f t="shared" si="5"/>
        <v>0</v>
      </c>
      <c r="R126" s="1"/>
    </row>
    <row r="127">
      <c r="A127" s="1"/>
      <c r="B127" s="19"/>
      <c r="C127" s="20"/>
      <c r="D127" s="21"/>
      <c r="E127" s="22" t="str">
        <f t="shared" si="1"/>
        <v/>
      </c>
      <c r="F127" s="1"/>
      <c r="G127" s="1"/>
      <c r="H127" s="45"/>
      <c r="I127" s="60"/>
      <c r="J127" s="45"/>
      <c r="K127" s="1"/>
      <c r="L127" s="58" t="str">
        <f t="shared" si="2"/>
        <v/>
      </c>
      <c r="M127" s="59" t="str">
        <f t="shared" si="3"/>
        <v/>
      </c>
      <c r="N127" s="55" t="str">
        <f t="shared" si="4"/>
        <v/>
      </c>
      <c r="O127" s="50">
        <f t="shared" si="6"/>
        <v>0</v>
      </c>
      <c r="P127" s="50">
        <f t="shared" si="7"/>
        <v>0</v>
      </c>
      <c r="Q127" s="54">
        <f t="shared" si="5"/>
        <v>0</v>
      </c>
      <c r="R127" s="1"/>
    </row>
    <row r="128">
      <c r="A128" s="1"/>
      <c r="B128" s="19"/>
      <c r="C128" s="20"/>
      <c r="D128" s="21"/>
      <c r="E128" s="22" t="str">
        <f t="shared" si="1"/>
        <v/>
      </c>
      <c r="F128" s="1"/>
      <c r="G128" s="1"/>
      <c r="H128" s="45"/>
      <c r="I128" s="60"/>
      <c r="J128" s="45"/>
      <c r="K128" s="1"/>
      <c r="L128" s="58" t="str">
        <f t="shared" si="2"/>
        <v/>
      </c>
      <c r="M128" s="59" t="str">
        <f t="shared" si="3"/>
        <v/>
      </c>
      <c r="N128" s="55" t="str">
        <f t="shared" si="4"/>
        <v/>
      </c>
      <c r="O128" s="50">
        <f t="shared" si="6"/>
        <v>0</v>
      </c>
      <c r="P128" s="50">
        <f t="shared" si="7"/>
        <v>0</v>
      </c>
      <c r="Q128" s="54">
        <f t="shared" si="5"/>
        <v>0</v>
      </c>
      <c r="R128" s="1"/>
    </row>
    <row r="129">
      <c r="A129" s="1"/>
      <c r="B129" s="19"/>
      <c r="C129" s="20"/>
      <c r="D129" s="21"/>
      <c r="E129" s="22" t="str">
        <f t="shared" si="1"/>
        <v/>
      </c>
      <c r="F129" s="1"/>
      <c r="G129" s="1"/>
      <c r="H129" s="45"/>
      <c r="I129" s="60"/>
      <c r="J129" s="45"/>
      <c r="K129" s="1"/>
      <c r="L129" s="58" t="str">
        <f t="shared" si="2"/>
        <v/>
      </c>
      <c r="M129" s="59" t="str">
        <f t="shared" si="3"/>
        <v/>
      </c>
      <c r="N129" s="55" t="str">
        <f t="shared" si="4"/>
        <v/>
      </c>
      <c r="O129" s="50">
        <f t="shared" si="6"/>
        <v>0</v>
      </c>
      <c r="P129" s="50">
        <f t="shared" si="7"/>
        <v>0</v>
      </c>
      <c r="Q129" s="54">
        <f t="shared" si="5"/>
        <v>0</v>
      </c>
      <c r="R129" s="1"/>
    </row>
    <row r="130">
      <c r="A130" s="1"/>
      <c r="B130" s="19"/>
      <c r="C130" s="20"/>
      <c r="D130" s="21"/>
      <c r="E130" s="22" t="str">
        <f t="shared" si="1"/>
        <v/>
      </c>
      <c r="F130" s="1"/>
      <c r="G130" s="1"/>
      <c r="H130" s="45"/>
      <c r="I130" s="60"/>
      <c r="J130" s="45"/>
      <c r="K130" s="1"/>
      <c r="L130" s="58" t="str">
        <f t="shared" si="2"/>
        <v/>
      </c>
      <c r="M130" s="59" t="str">
        <f t="shared" si="3"/>
        <v/>
      </c>
      <c r="N130" s="55" t="str">
        <f t="shared" si="4"/>
        <v/>
      </c>
      <c r="O130" s="50">
        <f t="shared" si="6"/>
        <v>0</v>
      </c>
      <c r="P130" s="50">
        <f t="shared" si="7"/>
        <v>0</v>
      </c>
      <c r="Q130" s="54">
        <f t="shared" si="5"/>
        <v>0</v>
      </c>
      <c r="R130" s="1"/>
    </row>
    <row r="131">
      <c r="A131" s="1"/>
      <c r="B131" s="19"/>
      <c r="C131" s="20"/>
      <c r="D131" s="21"/>
      <c r="E131" s="22" t="str">
        <f t="shared" si="1"/>
        <v/>
      </c>
      <c r="F131" s="1"/>
      <c r="G131" s="1"/>
      <c r="H131" s="45"/>
      <c r="I131" s="60"/>
      <c r="J131" s="45"/>
      <c r="K131" s="1"/>
      <c r="L131" s="58" t="str">
        <f t="shared" si="2"/>
        <v/>
      </c>
      <c r="M131" s="59" t="str">
        <f t="shared" si="3"/>
        <v/>
      </c>
      <c r="N131" s="55" t="str">
        <f t="shared" si="4"/>
        <v/>
      </c>
      <c r="O131" s="50">
        <f t="shared" si="6"/>
        <v>0</v>
      </c>
      <c r="P131" s="50">
        <f t="shared" si="7"/>
        <v>0</v>
      </c>
      <c r="Q131" s="54">
        <f t="shared" si="5"/>
        <v>0</v>
      </c>
      <c r="R131" s="1"/>
    </row>
    <row r="132">
      <c r="A132" s="1"/>
      <c r="B132" s="19"/>
      <c r="C132" s="20"/>
      <c r="D132" s="21"/>
      <c r="E132" s="22" t="str">
        <f t="shared" si="1"/>
        <v/>
      </c>
      <c r="F132" s="1"/>
      <c r="G132" s="1"/>
      <c r="H132" s="45"/>
      <c r="I132" s="60"/>
      <c r="J132" s="45"/>
      <c r="K132" s="1"/>
      <c r="L132" s="58" t="str">
        <f t="shared" si="2"/>
        <v/>
      </c>
      <c r="M132" s="59" t="str">
        <f t="shared" si="3"/>
        <v/>
      </c>
      <c r="N132" s="55" t="str">
        <f t="shared" si="4"/>
        <v/>
      </c>
      <c r="O132" s="50">
        <f t="shared" si="6"/>
        <v>0</v>
      </c>
      <c r="P132" s="50">
        <f t="shared" si="7"/>
        <v>0</v>
      </c>
      <c r="Q132" s="54">
        <f t="shared" si="5"/>
        <v>0</v>
      </c>
      <c r="R132" s="1"/>
    </row>
    <row r="133">
      <c r="A133" s="1"/>
      <c r="B133" s="19"/>
      <c r="C133" s="20"/>
      <c r="D133" s="21"/>
      <c r="E133" s="22" t="str">
        <f t="shared" si="1"/>
        <v/>
      </c>
      <c r="F133" s="1"/>
      <c r="G133" s="1"/>
      <c r="H133" s="45"/>
      <c r="I133" s="60"/>
      <c r="J133" s="45"/>
      <c r="K133" s="1"/>
      <c r="L133" s="58" t="str">
        <f t="shared" si="2"/>
        <v/>
      </c>
      <c r="M133" s="59" t="str">
        <f t="shared" si="3"/>
        <v/>
      </c>
      <c r="N133" s="55" t="str">
        <f t="shared" si="4"/>
        <v/>
      </c>
      <c r="O133" s="50">
        <f t="shared" si="6"/>
        <v>0</v>
      </c>
      <c r="P133" s="50">
        <f t="shared" si="7"/>
        <v>0</v>
      </c>
      <c r="Q133" s="54">
        <f t="shared" si="5"/>
        <v>0</v>
      </c>
      <c r="R133" s="1"/>
    </row>
    <row r="134">
      <c r="A134" s="1"/>
      <c r="B134" s="19"/>
      <c r="C134" s="20"/>
      <c r="D134" s="21"/>
      <c r="E134" s="22" t="str">
        <f t="shared" si="1"/>
        <v/>
      </c>
      <c r="F134" s="1"/>
      <c r="G134" s="1"/>
      <c r="H134" s="45"/>
      <c r="I134" s="60"/>
      <c r="J134" s="45"/>
      <c r="K134" s="1"/>
      <c r="L134" s="58" t="str">
        <f t="shared" si="2"/>
        <v/>
      </c>
      <c r="M134" s="59" t="str">
        <f t="shared" si="3"/>
        <v/>
      </c>
      <c r="N134" s="55" t="str">
        <f t="shared" si="4"/>
        <v/>
      </c>
      <c r="O134" s="50">
        <f t="shared" si="6"/>
        <v>0</v>
      </c>
      <c r="P134" s="50">
        <f t="shared" si="7"/>
        <v>0</v>
      </c>
      <c r="Q134" s="54">
        <f t="shared" si="5"/>
        <v>0</v>
      </c>
      <c r="R134" s="1"/>
    </row>
    <row r="135">
      <c r="A135" s="1"/>
      <c r="B135" s="19"/>
      <c r="C135" s="20"/>
      <c r="D135" s="21"/>
      <c r="E135" s="22" t="str">
        <f t="shared" si="1"/>
        <v/>
      </c>
      <c r="F135" s="1"/>
      <c r="G135" s="1"/>
      <c r="H135" s="45"/>
      <c r="I135" s="60"/>
      <c r="J135" s="45"/>
      <c r="K135" s="1"/>
      <c r="L135" s="58" t="str">
        <f t="shared" si="2"/>
        <v/>
      </c>
      <c r="M135" s="59" t="str">
        <f t="shared" si="3"/>
        <v/>
      </c>
      <c r="N135" s="55" t="str">
        <f t="shared" si="4"/>
        <v/>
      </c>
      <c r="O135" s="50">
        <f t="shared" si="6"/>
        <v>0</v>
      </c>
      <c r="P135" s="50">
        <f t="shared" si="7"/>
        <v>0</v>
      </c>
      <c r="Q135" s="54">
        <f t="shared" si="5"/>
        <v>0</v>
      </c>
      <c r="R135" s="1"/>
    </row>
    <row r="136">
      <c r="A136" s="1"/>
      <c r="B136" s="19"/>
      <c r="C136" s="20"/>
      <c r="D136" s="21"/>
      <c r="E136" s="22" t="str">
        <f t="shared" si="1"/>
        <v/>
      </c>
      <c r="F136" s="1"/>
      <c r="G136" s="1"/>
      <c r="H136" s="45"/>
      <c r="I136" s="60"/>
      <c r="J136" s="45"/>
      <c r="K136" s="1"/>
      <c r="L136" s="58" t="str">
        <f t="shared" si="2"/>
        <v/>
      </c>
      <c r="M136" s="59" t="str">
        <f t="shared" si="3"/>
        <v/>
      </c>
      <c r="N136" s="55" t="str">
        <f t="shared" si="4"/>
        <v/>
      </c>
      <c r="O136" s="50">
        <f t="shared" si="6"/>
        <v>0</v>
      </c>
      <c r="P136" s="50">
        <f t="shared" si="7"/>
        <v>0</v>
      </c>
      <c r="Q136" s="54">
        <f t="shared" si="5"/>
        <v>0</v>
      </c>
      <c r="R136" s="1"/>
    </row>
    <row r="137">
      <c r="A137" s="1"/>
      <c r="B137" s="19"/>
      <c r="C137" s="20"/>
      <c r="D137" s="21"/>
      <c r="E137" s="22" t="str">
        <f t="shared" si="1"/>
        <v/>
      </c>
      <c r="F137" s="1"/>
      <c r="G137" s="1"/>
      <c r="H137" s="45"/>
      <c r="I137" s="60"/>
      <c r="J137" s="45"/>
      <c r="K137" s="1"/>
      <c r="L137" s="58" t="str">
        <f t="shared" si="2"/>
        <v/>
      </c>
      <c r="M137" s="59" t="str">
        <f t="shared" si="3"/>
        <v/>
      </c>
      <c r="N137" s="55" t="str">
        <f t="shared" si="4"/>
        <v/>
      </c>
      <c r="O137" s="50">
        <f t="shared" si="6"/>
        <v>0</v>
      </c>
      <c r="P137" s="50">
        <f t="shared" si="7"/>
        <v>0</v>
      </c>
      <c r="Q137" s="54">
        <f t="shared" si="5"/>
        <v>0</v>
      </c>
      <c r="R137" s="1"/>
    </row>
    <row r="138">
      <c r="A138" s="1"/>
      <c r="B138" s="19"/>
      <c r="C138" s="20"/>
      <c r="D138" s="21"/>
      <c r="E138" s="22" t="str">
        <f t="shared" si="1"/>
        <v/>
      </c>
      <c r="F138" s="1"/>
      <c r="G138" s="1"/>
      <c r="H138" s="45"/>
      <c r="I138" s="60"/>
      <c r="J138" s="45"/>
      <c r="K138" s="1"/>
      <c r="L138" s="58" t="str">
        <f t="shared" si="2"/>
        <v/>
      </c>
      <c r="M138" s="59" t="str">
        <f t="shared" si="3"/>
        <v/>
      </c>
      <c r="N138" s="55" t="str">
        <f t="shared" si="4"/>
        <v/>
      </c>
      <c r="O138" s="50">
        <f t="shared" si="6"/>
        <v>0</v>
      </c>
      <c r="P138" s="50">
        <f t="shared" si="7"/>
        <v>0</v>
      </c>
      <c r="Q138" s="54">
        <f t="shared" si="5"/>
        <v>0</v>
      </c>
      <c r="R138" s="1"/>
    </row>
    <row r="139">
      <c r="A139" s="1"/>
      <c r="B139" s="19"/>
      <c r="C139" s="20"/>
      <c r="D139" s="21"/>
      <c r="E139" s="22" t="str">
        <f t="shared" si="1"/>
        <v/>
      </c>
      <c r="F139" s="1"/>
      <c r="G139" s="1"/>
      <c r="H139" s="45"/>
      <c r="I139" s="60"/>
      <c r="J139" s="45"/>
      <c r="K139" s="1"/>
      <c r="L139" s="58" t="str">
        <f t="shared" si="2"/>
        <v/>
      </c>
      <c r="M139" s="59" t="str">
        <f t="shared" si="3"/>
        <v/>
      </c>
      <c r="N139" s="55" t="str">
        <f t="shared" si="4"/>
        <v/>
      </c>
      <c r="O139" s="50">
        <f t="shared" si="6"/>
        <v>0</v>
      </c>
      <c r="P139" s="50">
        <f t="shared" si="7"/>
        <v>0</v>
      </c>
      <c r="Q139" s="54">
        <f t="shared" si="5"/>
        <v>0</v>
      </c>
      <c r="R139" s="1"/>
    </row>
    <row r="140">
      <c r="A140" s="1"/>
      <c r="B140" s="19"/>
      <c r="C140" s="20"/>
      <c r="D140" s="21"/>
      <c r="E140" s="22" t="str">
        <f t="shared" si="1"/>
        <v/>
      </c>
      <c r="F140" s="1"/>
      <c r="G140" s="1"/>
      <c r="H140" s="45"/>
      <c r="I140" s="60"/>
      <c r="J140" s="45"/>
      <c r="K140" s="1"/>
      <c r="L140" s="58" t="str">
        <f t="shared" si="2"/>
        <v/>
      </c>
      <c r="M140" s="59" t="str">
        <f t="shared" si="3"/>
        <v/>
      </c>
      <c r="N140" s="55" t="str">
        <f t="shared" si="4"/>
        <v/>
      </c>
      <c r="O140" s="50">
        <f t="shared" si="6"/>
        <v>0</v>
      </c>
      <c r="P140" s="50">
        <f t="shared" si="7"/>
        <v>0</v>
      </c>
      <c r="Q140" s="54">
        <f t="shared" si="5"/>
        <v>0</v>
      </c>
      <c r="R140" s="1"/>
    </row>
    <row r="141">
      <c r="A141" s="1"/>
      <c r="B141" s="19"/>
      <c r="C141" s="20"/>
      <c r="D141" s="21"/>
      <c r="E141" s="22" t="str">
        <f t="shared" si="1"/>
        <v/>
      </c>
      <c r="F141" s="1"/>
      <c r="G141" s="1"/>
      <c r="H141" s="1"/>
      <c r="I141" s="1"/>
      <c r="J141" s="1"/>
      <c r="K141" s="1"/>
      <c r="L141" s="58" t="str">
        <f t="shared" si="2"/>
        <v/>
      </c>
      <c r="M141" s="59" t="str">
        <f t="shared" si="3"/>
        <v/>
      </c>
      <c r="N141" s="55" t="str">
        <f t="shared" si="4"/>
        <v/>
      </c>
      <c r="O141" s="50">
        <f t="shared" si="6"/>
        <v>0</v>
      </c>
      <c r="P141" s="50">
        <f t="shared" si="7"/>
        <v>0</v>
      </c>
      <c r="Q141" s="54">
        <f t="shared" si="5"/>
        <v>0</v>
      </c>
      <c r="R141" s="1"/>
    </row>
    <row r="142">
      <c r="A142" s="1"/>
      <c r="B142" s="19"/>
      <c r="C142" s="20"/>
      <c r="D142" s="21"/>
      <c r="E142" s="22" t="str">
        <f t="shared" si="1"/>
        <v/>
      </c>
      <c r="F142" s="1"/>
      <c r="G142" s="1"/>
      <c r="H142" s="1"/>
      <c r="I142" s="1"/>
      <c r="J142" s="1"/>
      <c r="K142" s="1"/>
      <c r="L142" s="58" t="str">
        <f t="shared" si="2"/>
        <v/>
      </c>
      <c r="M142" s="59" t="str">
        <f t="shared" si="3"/>
        <v/>
      </c>
      <c r="N142" s="55" t="str">
        <f t="shared" si="4"/>
        <v/>
      </c>
      <c r="O142" s="50">
        <f t="shared" si="6"/>
        <v>0</v>
      </c>
      <c r="P142" s="50">
        <f t="shared" si="7"/>
        <v>0</v>
      </c>
      <c r="Q142" s="54">
        <f t="shared" si="5"/>
        <v>0</v>
      </c>
      <c r="R142" s="1"/>
    </row>
    <row r="143">
      <c r="A143" s="1"/>
      <c r="B143" s="19"/>
      <c r="C143" s="20"/>
      <c r="D143" s="21"/>
      <c r="E143" s="22" t="str">
        <f t="shared" si="1"/>
        <v/>
      </c>
      <c r="F143" s="1"/>
      <c r="G143" s="1"/>
      <c r="H143" s="1"/>
      <c r="I143" s="1"/>
      <c r="J143" s="1"/>
      <c r="K143" s="1"/>
      <c r="L143" s="58" t="str">
        <f t="shared" si="2"/>
        <v/>
      </c>
      <c r="M143" s="59" t="str">
        <f t="shared" si="3"/>
        <v/>
      </c>
      <c r="N143" s="55" t="str">
        <f t="shared" si="4"/>
        <v/>
      </c>
      <c r="O143" s="50">
        <f t="shared" si="6"/>
        <v>0</v>
      </c>
      <c r="P143" s="50">
        <f t="shared" si="7"/>
        <v>0</v>
      </c>
      <c r="Q143" s="54">
        <f t="shared" si="5"/>
        <v>0</v>
      </c>
      <c r="R143" s="1"/>
    </row>
    <row r="144">
      <c r="A144" s="1"/>
      <c r="B144" s="19"/>
      <c r="C144" s="20"/>
      <c r="D144" s="21"/>
      <c r="E144" s="22" t="str">
        <f t="shared" si="1"/>
        <v/>
      </c>
      <c r="F144" s="1"/>
      <c r="G144" s="1"/>
      <c r="H144" s="1"/>
      <c r="I144" s="1"/>
      <c r="J144" s="1"/>
      <c r="K144" s="1"/>
      <c r="L144" s="58" t="str">
        <f t="shared" si="2"/>
        <v/>
      </c>
      <c r="M144" s="59" t="str">
        <f t="shared" si="3"/>
        <v/>
      </c>
      <c r="N144" s="55" t="str">
        <f t="shared" si="4"/>
        <v/>
      </c>
      <c r="O144" s="50">
        <f t="shared" si="6"/>
        <v>0</v>
      </c>
      <c r="P144" s="50">
        <f t="shared" si="7"/>
        <v>0</v>
      </c>
      <c r="Q144" s="54">
        <f t="shared" si="5"/>
        <v>0</v>
      </c>
      <c r="R144" s="1"/>
    </row>
    <row r="145">
      <c r="A145" s="1"/>
      <c r="B145" s="19"/>
      <c r="C145" s="20"/>
      <c r="D145" s="21"/>
      <c r="E145" s="22" t="str">
        <f t="shared" si="1"/>
        <v/>
      </c>
      <c r="F145" s="1"/>
      <c r="G145" s="1"/>
      <c r="H145" s="1"/>
      <c r="I145" s="1"/>
      <c r="J145" s="1"/>
      <c r="K145" s="1"/>
      <c r="L145" s="58" t="str">
        <f t="shared" si="2"/>
        <v/>
      </c>
      <c r="M145" s="59" t="str">
        <f t="shared" si="3"/>
        <v/>
      </c>
      <c r="N145" s="55" t="str">
        <f t="shared" si="4"/>
        <v/>
      </c>
      <c r="O145" s="50">
        <f t="shared" si="6"/>
        <v>0</v>
      </c>
      <c r="P145" s="50">
        <f t="shared" si="7"/>
        <v>0</v>
      </c>
      <c r="Q145" s="54">
        <f t="shared" si="5"/>
        <v>0</v>
      </c>
      <c r="R145" s="1"/>
    </row>
    <row r="146">
      <c r="A146" s="1"/>
      <c r="B146" s="19"/>
      <c r="C146" s="20"/>
      <c r="D146" s="21"/>
      <c r="E146" s="22" t="str">
        <f t="shared" si="1"/>
        <v/>
      </c>
      <c r="F146" s="1"/>
      <c r="G146" s="1"/>
      <c r="H146" s="1"/>
      <c r="I146" s="1"/>
      <c r="J146" s="1"/>
      <c r="K146" s="1"/>
      <c r="L146" s="58" t="str">
        <f t="shared" si="2"/>
        <v/>
      </c>
      <c r="M146" s="59" t="str">
        <f t="shared" si="3"/>
        <v/>
      </c>
      <c r="N146" s="55" t="str">
        <f t="shared" si="4"/>
        <v/>
      </c>
      <c r="O146" s="50">
        <f t="shared" si="6"/>
        <v>0</v>
      </c>
      <c r="P146" s="50">
        <f t="shared" si="7"/>
        <v>0</v>
      </c>
      <c r="Q146" s="54">
        <f t="shared" si="5"/>
        <v>0</v>
      </c>
      <c r="R146" s="1"/>
    </row>
    <row r="147">
      <c r="A147" s="1"/>
      <c r="C147" s="20"/>
      <c r="D147" s="19"/>
      <c r="E147" s="22" t="str">
        <f t="shared" si="1"/>
        <v/>
      </c>
      <c r="F147" s="1"/>
      <c r="G147" s="1"/>
      <c r="H147" s="1"/>
      <c r="I147" s="1"/>
      <c r="J147" s="1"/>
      <c r="K147" s="1"/>
      <c r="L147" s="58" t="str">
        <f t="shared" si="2"/>
        <v/>
      </c>
      <c r="M147" s="59" t="str">
        <f t="shared" si="3"/>
        <v/>
      </c>
      <c r="N147" s="55" t="str">
        <f t="shared" si="4"/>
        <v/>
      </c>
      <c r="O147" s="50">
        <f t="shared" si="6"/>
        <v>0</v>
      </c>
      <c r="P147" s="50">
        <f t="shared" si="7"/>
        <v>0</v>
      </c>
      <c r="Q147" s="54">
        <f t="shared" si="5"/>
        <v>0</v>
      </c>
      <c r="R147" s="1"/>
    </row>
    <row r="148">
      <c r="A148" s="1"/>
      <c r="B148" s="19"/>
      <c r="C148" s="20"/>
      <c r="D148" s="21"/>
      <c r="E148" s="22" t="str">
        <f t="shared" si="1"/>
        <v/>
      </c>
      <c r="F148" s="1"/>
      <c r="G148" s="1"/>
      <c r="H148" s="1"/>
      <c r="I148" s="1"/>
      <c r="J148" s="1"/>
      <c r="K148" s="1"/>
      <c r="L148" s="58" t="str">
        <f t="shared" si="2"/>
        <v/>
      </c>
      <c r="M148" s="59" t="str">
        <f t="shared" si="3"/>
        <v/>
      </c>
      <c r="N148" s="55" t="str">
        <f t="shared" si="4"/>
        <v/>
      </c>
      <c r="O148" s="50">
        <f t="shared" si="6"/>
        <v>0</v>
      </c>
      <c r="P148" s="50">
        <f t="shared" si="7"/>
        <v>0</v>
      </c>
      <c r="Q148" s="54">
        <f t="shared" si="5"/>
        <v>0</v>
      </c>
      <c r="R148" s="1"/>
    </row>
    <row r="149">
      <c r="A149" s="1"/>
      <c r="B149" s="19"/>
      <c r="C149" s="20"/>
      <c r="D149" s="21"/>
      <c r="E149" s="22" t="str">
        <f t="shared" si="1"/>
        <v/>
      </c>
      <c r="F149" s="1"/>
      <c r="G149" s="1"/>
      <c r="H149" s="1"/>
      <c r="I149" s="1"/>
      <c r="J149" s="1"/>
      <c r="K149" s="1"/>
      <c r="L149" s="58" t="str">
        <f t="shared" si="2"/>
        <v/>
      </c>
      <c r="M149" s="59" t="str">
        <f t="shared" si="3"/>
        <v/>
      </c>
      <c r="N149" s="55" t="str">
        <f t="shared" si="4"/>
        <v/>
      </c>
      <c r="O149" s="50">
        <f t="shared" si="6"/>
        <v>0</v>
      </c>
      <c r="P149" s="50">
        <f t="shared" si="7"/>
        <v>0</v>
      </c>
      <c r="Q149" s="54">
        <f t="shared" si="5"/>
        <v>0</v>
      </c>
      <c r="R149" s="1"/>
    </row>
    <row r="150">
      <c r="A150" s="1"/>
      <c r="B150" s="19"/>
      <c r="C150" s="20"/>
      <c r="D150" s="21"/>
      <c r="E150" s="22" t="str">
        <f t="shared" si="1"/>
        <v/>
      </c>
      <c r="F150" s="1"/>
      <c r="G150" s="1"/>
      <c r="H150" s="1"/>
      <c r="I150" s="1"/>
      <c r="J150" s="1"/>
      <c r="K150" s="1"/>
      <c r="L150" s="58" t="str">
        <f t="shared" si="2"/>
        <v/>
      </c>
      <c r="M150" s="59" t="str">
        <f t="shared" si="3"/>
        <v/>
      </c>
      <c r="N150" s="55" t="str">
        <f t="shared" si="4"/>
        <v/>
      </c>
      <c r="O150" s="50">
        <f t="shared" si="6"/>
        <v>0</v>
      </c>
      <c r="P150" s="50">
        <f t="shared" si="7"/>
        <v>0</v>
      </c>
      <c r="Q150" s="54">
        <f t="shared" si="5"/>
        <v>0</v>
      </c>
      <c r="R150" s="1"/>
    </row>
    <row r="151">
      <c r="A151" s="1"/>
      <c r="B151" s="19"/>
      <c r="C151" s="61"/>
      <c r="D151" s="21"/>
      <c r="E151" s="22" t="str">
        <f t="shared" si="1"/>
        <v/>
      </c>
      <c r="F151" s="1"/>
      <c r="G151" s="1"/>
      <c r="H151" s="1"/>
      <c r="I151" s="1"/>
      <c r="J151" s="1"/>
      <c r="K151" s="1"/>
      <c r="L151" s="58" t="str">
        <f t="shared" si="2"/>
        <v/>
      </c>
      <c r="M151" s="59" t="str">
        <f t="shared" si="3"/>
        <v/>
      </c>
      <c r="N151" s="55" t="str">
        <f t="shared" si="4"/>
        <v/>
      </c>
      <c r="O151" s="50">
        <f t="shared" si="6"/>
        <v>0</v>
      </c>
      <c r="P151" s="50">
        <f t="shared" si="7"/>
        <v>0</v>
      </c>
      <c r="Q151" s="54">
        <f t="shared" si="5"/>
        <v>0</v>
      </c>
      <c r="R151" s="1"/>
    </row>
    <row r="152">
      <c r="A152" s="1"/>
      <c r="B152" s="19"/>
      <c r="C152" s="20"/>
      <c r="D152" s="21"/>
      <c r="E152" s="22" t="str">
        <f t="shared" si="1"/>
        <v/>
      </c>
      <c r="F152" s="1"/>
      <c r="G152" s="1"/>
      <c r="H152" s="1"/>
      <c r="I152" s="1"/>
      <c r="J152" s="1"/>
      <c r="K152" s="1"/>
      <c r="L152" s="58" t="str">
        <f t="shared" si="2"/>
        <v/>
      </c>
      <c r="M152" s="59" t="str">
        <f t="shared" si="3"/>
        <v/>
      </c>
      <c r="N152" s="55" t="str">
        <f t="shared" si="4"/>
        <v/>
      </c>
      <c r="O152" s="50">
        <f t="shared" si="6"/>
        <v>0</v>
      </c>
      <c r="P152" s="50">
        <f t="shared" si="7"/>
        <v>0</v>
      </c>
      <c r="Q152" s="54">
        <f t="shared" si="5"/>
        <v>0</v>
      </c>
      <c r="R152" s="1"/>
    </row>
    <row r="153">
      <c r="A153" s="1"/>
      <c r="B153" s="19"/>
      <c r="C153" s="61"/>
      <c r="D153" s="21"/>
      <c r="E153" s="22" t="str">
        <f t="shared" si="1"/>
        <v/>
      </c>
      <c r="F153" s="1"/>
      <c r="G153" s="1"/>
      <c r="H153" s="1"/>
      <c r="I153" s="1"/>
      <c r="J153" s="1"/>
      <c r="K153" s="1"/>
      <c r="L153" s="58" t="str">
        <f t="shared" si="2"/>
        <v/>
      </c>
      <c r="M153" s="59" t="str">
        <f t="shared" si="3"/>
        <v/>
      </c>
      <c r="N153" s="55" t="str">
        <f t="shared" si="4"/>
        <v/>
      </c>
      <c r="O153" s="50">
        <f t="shared" si="6"/>
        <v>0</v>
      </c>
      <c r="P153" s="50">
        <f t="shared" si="7"/>
        <v>0</v>
      </c>
      <c r="Q153" s="54">
        <f t="shared" si="5"/>
        <v>0</v>
      </c>
      <c r="R153" s="1"/>
    </row>
    <row r="154">
      <c r="A154" s="1"/>
      <c r="B154" s="19"/>
      <c r="C154" s="20"/>
      <c r="D154" s="21"/>
      <c r="E154" s="22" t="str">
        <f t="shared" si="1"/>
        <v/>
      </c>
      <c r="F154" s="1"/>
      <c r="G154" s="1"/>
      <c r="H154" s="1"/>
      <c r="I154" s="1"/>
      <c r="J154" s="1"/>
      <c r="K154" s="1"/>
      <c r="L154" s="58" t="str">
        <f t="shared" si="2"/>
        <v/>
      </c>
      <c r="M154" s="59" t="str">
        <f t="shared" si="3"/>
        <v/>
      </c>
      <c r="N154" s="55" t="str">
        <f t="shared" si="4"/>
        <v/>
      </c>
      <c r="O154" s="50">
        <f t="shared" si="6"/>
        <v>0</v>
      </c>
      <c r="P154" s="50">
        <f t="shared" si="7"/>
        <v>0</v>
      </c>
      <c r="Q154" s="54">
        <f t="shared" si="5"/>
        <v>0</v>
      </c>
      <c r="R154" s="1"/>
    </row>
    <row r="155">
      <c r="A155" s="60"/>
      <c r="B155" s="62"/>
      <c r="C155" s="20"/>
      <c r="D155" s="21"/>
      <c r="E155" s="22" t="str">
        <f t="shared" si="1"/>
        <v/>
      </c>
      <c r="F155" s="1"/>
      <c r="G155" s="1"/>
      <c r="H155" s="1"/>
      <c r="I155" s="1"/>
      <c r="J155" s="1"/>
      <c r="K155" s="1"/>
      <c r="L155" s="58" t="str">
        <f t="shared" si="2"/>
        <v/>
      </c>
      <c r="M155" s="59" t="str">
        <f t="shared" si="3"/>
        <v/>
      </c>
      <c r="N155" s="55" t="str">
        <f t="shared" si="4"/>
        <v/>
      </c>
      <c r="O155" s="50">
        <f t="shared" si="6"/>
        <v>0</v>
      </c>
      <c r="P155" s="50">
        <f t="shared" si="7"/>
        <v>0</v>
      </c>
      <c r="Q155" s="54">
        <f t="shared" si="5"/>
        <v>0</v>
      </c>
      <c r="R155" s="1"/>
    </row>
    <row r="156">
      <c r="A156" s="60"/>
      <c r="B156" s="62"/>
      <c r="C156" s="20"/>
      <c r="D156" s="21"/>
      <c r="E156" s="22" t="str">
        <f t="shared" si="1"/>
        <v/>
      </c>
      <c r="F156" s="1"/>
      <c r="G156" s="1"/>
      <c r="H156" s="1"/>
      <c r="I156" s="1"/>
      <c r="J156" s="1"/>
      <c r="K156" s="1"/>
      <c r="L156" s="58" t="str">
        <f t="shared" si="2"/>
        <v/>
      </c>
      <c r="M156" s="59" t="str">
        <f t="shared" si="3"/>
        <v/>
      </c>
      <c r="N156" s="55" t="str">
        <f t="shared" si="4"/>
        <v/>
      </c>
      <c r="O156" s="50">
        <f t="shared" si="6"/>
        <v>0</v>
      </c>
      <c r="P156" s="50">
        <f t="shared" si="7"/>
        <v>0</v>
      </c>
      <c r="Q156" s="54">
        <f t="shared" si="5"/>
        <v>0</v>
      </c>
      <c r="R156" s="1"/>
    </row>
    <row r="157">
      <c r="A157" s="60"/>
      <c r="B157" s="62"/>
      <c r="C157" s="20"/>
      <c r="D157" s="21"/>
      <c r="E157" s="22" t="str">
        <f t="shared" si="1"/>
        <v/>
      </c>
      <c r="F157" s="1"/>
      <c r="G157" s="1"/>
      <c r="H157" s="1"/>
      <c r="I157" s="1"/>
      <c r="J157" s="1"/>
      <c r="K157" s="1"/>
      <c r="L157" s="58" t="str">
        <f t="shared" si="2"/>
        <v/>
      </c>
      <c r="M157" s="59" t="str">
        <f t="shared" si="3"/>
        <v/>
      </c>
      <c r="N157" s="55" t="str">
        <f t="shared" si="4"/>
        <v/>
      </c>
      <c r="O157" s="50">
        <f t="shared" si="6"/>
        <v>0</v>
      </c>
      <c r="P157" s="50">
        <f t="shared" si="7"/>
        <v>0</v>
      </c>
      <c r="Q157" s="54">
        <f t="shared" si="5"/>
        <v>0</v>
      </c>
      <c r="R157" s="1"/>
    </row>
    <row r="158">
      <c r="A158" s="60"/>
      <c r="B158" s="63"/>
      <c r="C158" s="64"/>
      <c r="D158" s="65"/>
      <c r="E158" s="22" t="str">
        <f t="shared" si="1"/>
        <v/>
      </c>
      <c r="F158" s="1"/>
      <c r="G158" s="1"/>
      <c r="H158" s="1"/>
      <c r="I158" s="1"/>
      <c r="J158" s="1"/>
      <c r="K158" s="1"/>
      <c r="L158" s="58" t="str">
        <f t="shared" si="2"/>
        <v/>
      </c>
      <c r="M158" s="59" t="str">
        <f t="shared" si="3"/>
        <v/>
      </c>
      <c r="N158" s="55" t="str">
        <f t="shared" si="4"/>
        <v/>
      </c>
      <c r="O158" s="50">
        <f t="shared" si="6"/>
        <v>0</v>
      </c>
      <c r="P158" s="50">
        <f t="shared" si="7"/>
        <v>0</v>
      </c>
      <c r="Q158" s="54">
        <f t="shared" si="5"/>
        <v>0</v>
      </c>
      <c r="R158" s="1"/>
    </row>
    <row r="159">
      <c r="A159" s="1"/>
      <c r="B159" s="66"/>
      <c r="C159" s="64"/>
      <c r="D159" s="65"/>
      <c r="E159" s="22" t="str">
        <f t="shared" si="1"/>
        <v/>
      </c>
      <c r="F159" s="1"/>
      <c r="G159" s="1"/>
      <c r="H159" s="1"/>
      <c r="I159" s="1"/>
      <c r="J159" s="1"/>
      <c r="K159" s="1"/>
      <c r="L159" s="58" t="str">
        <f t="shared" si="2"/>
        <v/>
      </c>
      <c r="M159" s="59" t="str">
        <f t="shared" si="3"/>
        <v/>
      </c>
      <c r="N159" s="55" t="str">
        <f t="shared" si="4"/>
        <v/>
      </c>
      <c r="O159" s="50">
        <f t="shared" si="6"/>
        <v>0</v>
      </c>
      <c r="P159" s="50">
        <f t="shared" si="7"/>
        <v>0</v>
      </c>
      <c r="Q159" s="54">
        <f t="shared" si="5"/>
        <v>0</v>
      </c>
      <c r="R159" s="1"/>
    </row>
    <row r="160">
      <c r="A160" s="1"/>
      <c r="B160" s="66"/>
      <c r="C160" s="64"/>
      <c r="D160" s="65"/>
      <c r="E160" s="22" t="str">
        <f t="shared" si="1"/>
        <v/>
      </c>
      <c r="F160" s="1"/>
      <c r="G160" s="1"/>
      <c r="H160" s="1"/>
      <c r="I160" s="1"/>
      <c r="J160" s="1"/>
      <c r="K160" s="1"/>
      <c r="L160" s="58" t="str">
        <f t="shared" si="2"/>
        <v/>
      </c>
      <c r="M160" s="59" t="str">
        <f t="shared" si="3"/>
        <v/>
      </c>
      <c r="N160" s="55" t="str">
        <f t="shared" si="4"/>
        <v/>
      </c>
      <c r="O160" s="50">
        <f t="shared" si="6"/>
        <v>0</v>
      </c>
      <c r="P160" s="50">
        <f t="shared" si="7"/>
        <v>0</v>
      </c>
      <c r="Q160" s="54">
        <f t="shared" si="5"/>
        <v>0</v>
      </c>
      <c r="R160" s="1"/>
    </row>
    <row r="161">
      <c r="A161" s="1"/>
      <c r="B161" s="66"/>
      <c r="C161" s="64"/>
      <c r="D161" s="65"/>
      <c r="E161" s="22" t="str">
        <f t="shared" si="1"/>
        <v/>
      </c>
      <c r="F161" s="1"/>
      <c r="G161" s="1"/>
      <c r="H161" s="1"/>
      <c r="I161" s="1"/>
      <c r="J161" s="1"/>
      <c r="K161" s="1"/>
      <c r="L161" s="58" t="str">
        <f t="shared" si="2"/>
        <v/>
      </c>
      <c r="M161" s="59" t="str">
        <f t="shared" si="3"/>
        <v/>
      </c>
      <c r="N161" s="55" t="str">
        <f t="shared" si="4"/>
        <v/>
      </c>
      <c r="O161" s="50">
        <f t="shared" si="6"/>
        <v>0</v>
      </c>
      <c r="P161" s="50">
        <f t="shared" si="7"/>
        <v>0</v>
      </c>
      <c r="Q161" s="54">
        <f t="shared" si="5"/>
        <v>0</v>
      </c>
      <c r="R161" s="1"/>
    </row>
    <row r="162">
      <c r="A162" s="1"/>
      <c r="B162" s="66"/>
      <c r="C162" s="64"/>
      <c r="D162" s="65"/>
      <c r="E162" s="22" t="str">
        <f t="shared" si="1"/>
        <v/>
      </c>
      <c r="F162" s="1"/>
      <c r="G162" s="1"/>
      <c r="H162" s="1"/>
      <c r="I162" s="1"/>
      <c r="J162" s="1"/>
      <c r="K162" s="1"/>
      <c r="L162" s="58" t="str">
        <f t="shared" si="2"/>
        <v/>
      </c>
      <c r="M162" s="59" t="str">
        <f t="shared" si="3"/>
        <v/>
      </c>
      <c r="N162" s="55" t="str">
        <f t="shared" si="4"/>
        <v/>
      </c>
      <c r="O162" s="50">
        <f t="shared" si="6"/>
        <v>0</v>
      </c>
      <c r="P162" s="50">
        <f t="shared" si="7"/>
        <v>0</v>
      </c>
      <c r="Q162" s="54">
        <f t="shared" si="5"/>
        <v>0</v>
      </c>
      <c r="R162" s="1"/>
    </row>
    <row r="163">
      <c r="A163" s="1"/>
      <c r="B163" s="66"/>
      <c r="C163" s="64"/>
      <c r="D163" s="65"/>
      <c r="E163" s="22" t="str">
        <f t="shared" si="1"/>
        <v/>
      </c>
      <c r="F163" s="1"/>
      <c r="G163" s="1"/>
      <c r="H163" s="1"/>
      <c r="I163" s="1"/>
      <c r="J163" s="1"/>
      <c r="K163" s="1"/>
      <c r="L163" s="58" t="str">
        <f t="shared" si="2"/>
        <v/>
      </c>
      <c r="M163" s="59" t="str">
        <f t="shared" si="3"/>
        <v/>
      </c>
      <c r="N163" s="55" t="str">
        <f t="shared" si="4"/>
        <v/>
      </c>
      <c r="O163" s="50">
        <f t="shared" si="6"/>
        <v>0</v>
      </c>
      <c r="P163" s="50">
        <f t="shared" si="7"/>
        <v>0</v>
      </c>
      <c r="Q163" s="54">
        <f t="shared" si="5"/>
        <v>0</v>
      </c>
      <c r="R163" s="1"/>
    </row>
    <row r="164">
      <c r="A164" s="1"/>
      <c r="B164" s="66"/>
      <c r="C164" s="64"/>
      <c r="D164" s="65"/>
      <c r="E164" s="22" t="str">
        <f t="shared" si="1"/>
        <v/>
      </c>
      <c r="F164" s="1"/>
      <c r="G164" s="1"/>
      <c r="H164" s="1"/>
      <c r="I164" s="1"/>
      <c r="J164" s="1"/>
      <c r="K164" s="1"/>
      <c r="L164" s="58" t="str">
        <f t="shared" si="2"/>
        <v/>
      </c>
      <c r="M164" s="59" t="str">
        <f t="shared" si="3"/>
        <v/>
      </c>
      <c r="N164" s="55" t="str">
        <f t="shared" si="4"/>
        <v/>
      </c>
      <c r="O164" s="50">
        <f t="shared" si="6"/>
        <v>0</v>
      </c>
      <c r="P164" s="50">
        <f t="shared" si="7"/>
        <v>0</v>
      </c>
      <c r="Q164" s="54">
        <f t="shared" si="5"/>
        <v>0</v>
      </c>
      <c r="R164" s="1"/>
    </row>
    <row r="165">
      <c r="A165" s="1"/>
      <c r="B165" s="66"/>
      <c r="C165" s="64"/>
      <c r="D165" s="65"/>
      <c r="E165" s="22" t="str">
        <f t="shared" si="1"/>
        <v/>
      </c>
      <c r="F165" s="1"/>
      <c r="G165" s="1"/>
      <c r="H165" s="1"/>
      <c r="I165" s="1"/>
      <c r="J165" s="1"/>
      <c r="K165" s="1"/>
      <c r="L165" s="58" t="str">
        <f t="shared" si="2"/>
        <v/>
      </c>
      <c r="M165" s="59" t="str">
        <f t="shared" si="3"/>
        <v/>
      </c>
      <c r="N165" s="55" t="str">
        <f t="shared" si="4"/>
        <v/>
      </c>
      <c r="O165" s="50">
        <f t="shared" si="6"/>
        <v>0</v>
      </c>
      <c r="P165" s="50">
        <f t="shared" si="7"/>
        <v>0</v>
      </c>
      <c r="Q165" s="54">
        <f t="shared" si="5"/>
        <v>0</v>
      </c>
      <c r="R165" s="1"/>
    </row>
    <row r="166">
      <c r="A166" s="1"/>
      <c r="B166" s="66"/>
      <c r="C166" s="64"/>
      <c r="D166" s="65"/>
      <c r="E166" s="22" t="str">
        <f t="shared" si="1"/>
        <v/>
      </c>
      <c r="F166" s="1"/>
      <c r="G166" s="1"/>
      <c r="H166" s="1"/>
      <c r="I166" s="1"/>
      <c r="J166" s="1"/>
      <c r="K166" s="1"/>
      <c r="L166" s="58" t="str">
        <f t="shared" si="2"/>
        <v/>
      </c>
      <c r="M166" s="59" t="str">
        <f t="shared" si="3"/>
        <v/>
      </c>
      <c r="N166" s="55" t="str">
        <f t="shared" si="4"/>
        <v/>
      </c>
      <c r="O166" s="50">
        <f t="shared" si="6"/>
        <v>0</v>
      </c>
      <c r="P166" s="50">
        <f t="shared" si="7"/>
        <v>0</v>
      </c>
      <c r="Q166" s="54">
        <f t="shared" si="5"/>
        <v>0</v>
      </c>
      <c r="R166" s="1"/>
    </row>
    <row r="167">
      <c r="A167" s="1"/>
      <c r="B167" s="66"/>
      <c r="C167" s="64"/>
      <c r="D167" s="65"/>
      <c r="E167" s="22" t="str">
        <f t="shared" si="1"/>
        <v/>
      </c>
      <c r="F167" s="1"/>
      <c r="G167" s="1"/>
      <c r="H167" s="1"/>
      <c r="I167" s="1"/>
      <c r="J167" s="1"/>
      <c r="K167" s="1"/>
      <c r="L167" s="58" t="str">
        <f t="shared" si="2"/>
        <v/>
      </c>
      <c r="M167" s="59" t="str">
        <f t="shared" si="3"/>
        <v/>
      </c>
      <c r="N167" s="55" t="str">
        <f t="shared" si="4"/>
        <v/>
      </c>
      <c r="O167" s="50">
        <f t="shared" si="6"/>
        <v>0</v>
      </c>
      <c r="P167" s="50">
        <f t="shared" si="7"/>
        <v>0</v>
      </c>
      <c r="Q167" s="54">
        <f t="shared" si="5"/>
        <v>0</v>
      </c>
      <c r="R167" s="1"/>
    </row>
    <row r="168">
      <c r="A168" s="1"/>
      <c r="B168" s="66"/>
      <c r="C168" s="64"/>
      <c r="D168" s="65"/>
      <c r="E168" s="22" t="str">
        <f t="shared" si="1"/>
        <v/>
      </c>
      <c r="F168" s="1"/>
      <c r="G168" s="1"/>
      <c r="H168" s="1"/>
      <c r="I168" s="1"/>
      <c r="J168" s="1"/>
      <c r="K168" s="1"/>
      <c r="L168" s="58" t="str">
        <f t="shared" si="2"/>
        <v/>
      </c>
      <c r="M168" s="59" t="str">
        <f t="shared" si="3"/>
        <v/>
      </c>
      <c r="N168" s="55" t="str">
        <f t="shared" si="4"/>
        <v/>
      </c>
      <c r="O168" s="50">
        <f t="shared" si="6"/>
        <v>0</v>
      </c>
      <c r="P168" s="50">
        <f t="shared" si="7"/>
        <v>0</v>
      </c>
      <c r="Q168" s="54">
        <f t="shared" si="5"/>
        <v>0</v>
      </c>
      <c r="R168" s="1"/>
    </row>
    <row r="169">
      <c r="A169" s="1"/>
      <c r="B169" s="66"/>
      <c r="C169" s="64"/>
      <c r="D169" s="65"/>
      <c r="E169" s="22" t="str">
        <f t="shared" si="1"/>
        <v/>
      </c>
      <c r="F169" s="1"/>
      <c r="G169" s="1"/>
      <c r="H169" s="1"/>
      <c r="I169" s="1"/>
      <c r="J169" s="1"/>
      <c r="K169" s="1"/>
      <c r="L169" s="58" t="str">
        <f t="shared" si="2"/>
        <v/>
      </c>
      <c r="M169" s="59" t="str">
        <f t="shared" si="3"/>
        <v/>
      </c>
      <c r="N169" s="55" t="str">
        <f t="shared" si="4"/>
        <v/>
      </c>
      <c r="O169" s="50">
        <f t="shared" si="6"/>
        <v>0</v>
      </c>
      <c r="P169" s="50">
        <f t="shared" si="7"/>
        <v>0</v>
      </c>
      <c r="Q169" s="54">
        <f t="shared" si="5"/>
        <v>0</v>
      </c>
      <c r="R169" s="1"/>
    </row>
    <row r="170">
      <c r="A170" s="1"/>
      <c r="B170" s="66"/>
      <c r="C170" s="64"/>
      <c r="D170" s="65"/>
      <c r="E170" s="22" t="str">
        <f t="shared" si="1"/>
        <v/>
      </c>
      <c r="F170" s="1"/>
      <c r="G170" s="1"/>
      <c r="H170" s="1"/>
      <c r="I170" s="1"/>
      <c r="J170" s="1"/>
      <c r="K170" s="1"/>
      <c r="L170" s="58" t="str">
        <f t="shared" si="2"/>
        <v/>
      </c>
      <c r="M170" s="59" t="str">
        <f t="shared" si="3"/>
        <v/>
      </c>
      <c r="N170" s="55" t="str">
        <f t="shared" si="4"/>
        <v/>
      </c>
      <c r="O170" s="50">
        <f t="shared" si="6"/>
        <v>0</v>
      </c>
      <c r="P170" s="50">
        <f t="shared" si="7"/>
        <v>0</v>
      </c>
      <c r="Q170" s="54">
        <f t="shared" si="5"/>
        <v>0</v>
      </c>
      <c r="R170" s="1"/>
    </row>
    <row r="171">
      <c r="A171" s="1"/>
      <c r="B171" s="66"/>
      <c r="C171" s="64"/>
      <c r="D171" s="65"/>
      <c r="E171" s="22" t="str">
        <f t="shared" si="1"/>
        <v/>
      </c>
      <c r="F171" s="1"/>
      <c r="G171" s="1"/>
      <c r="H171" s="1"/>
      <c r="I171" s="1"/>
      <c r="J171" s="1"/>
      <c r="K171" s="1"/>
      <c r="L171" s="58" t="str">
        <f t="shared" si="2"/>
        <v/>
      </c>
      <c r="M171" s="59" t="str">
        <f t="shared" si="3"/>
        <v/>
      </c>
      <c r="N171" s="55" t="str">
        <f t="shared" si="4"/>
        <v/>
      </c>
      <c r="O171" s="50">
        <f t="shared" si="6"/>
        <v>0</v>
      </c>
      <c r="P171" s="50">
        <f t="shared" si="7"/>
        <v>0</v>
      </c>
      <c r="Q171" s="54">
        <f t="shared" si="5"/>
        <v>0</v>
      </c>
      <c r="R171" s="1"/>
    </row>
    <row r="172">
      <c r="A172" s="1"/>
      <c r="B172" s="66"/>
      <c r="C172" s="64"/>
      <c r="D172" s="65"/>
      <c r="E172" s="22" t="str">
        <f t="shared" si="1"/>
        <v/>
      </c>
      <c r="F172" s="1"/>
      <c r="G172" s="1"/>
      <c r="H172" s="1"/>
      <c r="I172" s="1"/>
      <c r="J172" s="1"/>
      <c r="K172" s="1"/>
      <c r="L172" s="58" t="str">
        <f t="shared" si="2"/>
        <v/>
      </c>
      <c r="M172" s="59" t="str">
        <f t="shared" si="3"/>
        <v/>
      </c>
      <c r="N172" s="55" t="str">
        <f t="shared" si="4"/>
        <v/>
      </c>
      <c r="O172" s="50">
        <f t="shared" si="6"/>
        <v>0</v>
      </c>
      <c r="P172" s="50">
        <f t="shared" si="7"/>
        <v>0</v>
      </c>
      <c r="Q172" s="54">
        <f t="shared" si="5"/>
        <v>0</v>
      </c>
      <c r="R172" s="1"/>
    </row>
    <row r="173">
      <c r="A173" s="1"/>
      <c r="B173" s="66"/>
      <c r="C173" s="64"/>
      <c r="D173" s="65"/>
      <c r="E173" s="22" t="str">
        <f t="shared" si="1"/>
        <v/>
      </c>
      <c r="F173" s="1"/>
      <c r="G173" s="1"/>
      <c r="H173" s="1"/>
      <c r="I173" s="1"/>
      <c r="J173" s="1"/>
      <c r="K173" s="1"/>
      <c r="L173" s="58" t="str">
        <f t="shared" si="2"/>
        <v/>
      </c>
      <c r="M173" s="59" t="str">
        <f t="shared" si="3"/>
        <v/>
      </c>
      <c r="N173" s="55" t="str">
        <f t="shared" si="4"/>
        <v/>
      </c>
      <c r="O173" s="50">
        <f t="shared" si="6"/>
        <v>0</v>
      </c>
      <c r="P173" s="50">
        <f t="shared" si="7"/>
        <v>0</v>
      </c>
      <c r="Q173" s="54">
        <f t="shared" si="5"/>
        <v>0</v>
      </c>
      <c r="R173" s="1"/>
    </row>
    <row r="174">
      <c r="A174" s="1"/>
      <c r="B174" s="66"/>
      <c r="C174" s="64"/>
      <c r="D174" s="65"/>
      <c r="E174" s="22" t="str">
        <f t="shared" si="1"/>
        <v/>
      </c>
      <c r="F174" s="1"/>
      <c r="G174" s="1"/>
      <c r="H174" s="1"/>
      <c r="I174" s="1"/>
      <c r="J174" s="1"/>
      <c r="K174" s="1"/>
      <c r="L174" s="58" t="str">
        <f t="shared" si="2"/>
        <v/>
      </c>
      <c r="M174" s="59" t="str">
        <f t="shared" si="3"/>
        <v/>
      </c>
      <c r="N174" s="55" t="str">
        <f t="shared" si="4"/>
        <v/>
      </c>
      <c r="O174" s="50">
        <f t="shared" si="6"/>
        <v>0</v>
      </c>
      <c r="P174" s="50">
        <f t="shared" si="7"/>
        <v>0</v>
      </c>
      <c r="Q174" s="54">
        <f t="shared" si="5"/>
        <v>0</v>
      </c>
      <c r="R174" s="1"/>
    </row>
    <row r="175">
      <c r="A175" s="1"/>
      <c r="B175" s="66"/>
      <c r="C175" s="64"/>
      <c r="D175" s="65"/>
      <c r="E175" s="22" t="str">
        <f t="shared" si="1"/>
        <v/>
      </c>
      <c r="F175" s="1"/>
      <c r="G175" s="1"/>
      <c r="H175" s="1"/>
      <c r="I175" s="1"/>
      <c r="J175" s="1"/>
      <c r="K175" s="1"/>
      <c r="L175" s="58" t="str">
        <f t="shared" si="2"/>
        <v/>
      </c>
      <c r="M175" s="59" t="str">
        <f t="shared" si="3"/>
        <v/>
      </c>
      <c r="N175" s="55" t="str">
        <f t="shared" si="4"/>
        <v/>
      </c>
      <c r="O175" s="50">
        <f t="shared" si="6"/>
        <v>0</v>
      </c>
      <c r="P175" s="50">
        <f t="shared" si="7"/>
        <v>0</v>
      </c>
      <c r="Q175" s="54">
        <f t="shared" si="5"/>
        <v>0</v>
      </c>
      <c r="R175" s="1"/>
    </row>
    <row r="176">
      <c r="A176" s="1"/>
      <c r="B176" s="66"/>
      <c r="C176" s="64"/>
      <c r="D176" s="65"/>
      <c r="E176" s="22" t="str">
        <f t="shared" si="1"/>
        <v/>
      </c>
      <c r="F176" s="1"/>
      <c r="G176" s="1"/>
      <c r="H176" s="1"/>
      <c r="I176" s="1"/>
      <c r="J176" s="1"/>
      <c r="K176" s="1"/>
      <c r="L176" s="58" t="str">
        <f t="shared" si="2"/>
        <v/>
      </c>
      <c r="M176" s="59" t="str">
        <f t="shared" si="3"/>
        <v/>
      </c>
      <c r="N176" s="55" t="str">
        <f t="shared" si="4"/>
        <v/>
      </c>
      <c r="O176" s="50">
        <f t="shared" si="6"/>
        <v>0</v>
      </c>
      <c r="P176" s="50">
        <f t="shared" si="7"/>
        <v>0</v>
      </c>
      <c r="Q176" s="54">
        <f t="shared" si="5"/>
        <v>0</v>
      </c>
      <c r="R176" s="1"/>
    </row>
    <row r="177">
      <c r="A177" s="1"/>
      <c r="B177" s="66"/>
      <c r="C177" s="64"/>
      <c r="D177" s="65"/>
      <c r="E177" s="22" t="str">
        <f t="shared" si="1"/>
        <v/>
      </c>
      <c r="F177" s="1"/>
      <c r="G177" s="1"/>
      <c r="H177" s="1"/>
      <c r="I177" s="1"/>
      <c r="J177" s="1"/>
      <c r="K177" s="1"/>
      <c r="L177" s="58" t="str">
        <f t="shared" si="2"/>
        <v/>
      </c>
      <c r="M177" s="59" t="str">
        <f t="shared" si="3"/>
        <v/>
      </c>
      <c r="N177" s="55" t="str">
        <f t="shared" si="4"/>
        <v/>
      </c>
      <c r="O177" s="50">
        <f t="shared" si="6"/>
        <v>0</v>
      </c>
      <c r="P177" s="50">
        <f t="shared" si="7"/>
        <v>0</v>
      </c>
      <c r="Q177" s="54">
        <f t="shared" si="5"/>
        <v>0</v>
      </c>
      <c r="R177" s="1"/>
    </row>
    <row r="178">
      <c r="A178" s="1"/>
      <c r="B178" s="66"/>
      <c r="C178" s="64"/>
      <c r="D178" s="65"/>
      <c r="E178" s="22" t="str">
        <f t="shared" si="1"/>
        <v/>
      </c>
      <c r="F178" s="1"/>
      <c r="G178" s="1"/>
      <c r="H178" s="1"/>
      <c r="I178" s="1"/>
      <c r="J178" s="1"/>
      <c r="K178" s="1"/>
      <c r="L178" s="58" t="str">
        <f t="shared" si="2"/>
        <v/>
      </c>
      <c r="M178" s="59" t="str">
        <f t="shared" si="3"/>
        <v/>
      </c>
      <c r="N178" s="55" t="str">
        <f t="shared" si="4"/>
        <v/>
      </c>
      <c r="O178" s="50">
        <f t="shared" si="6"/>
        <v>0</v>
      </c>
      <c r="P178" s="50">
        <f t="shared" si="7"/>
        <v>0</v>
      </c>
      <c r="Q178" s="54">
        <f t="shared" si="5"/>
        <v>0</v>
      </c>
      <c r="R178" s="1"/>
    </row>
    <row r="179">
      <c r="A179" s="1"/>
      <c r="B179" s="66"/>
      <c r="C179" s="64"/>
      <c r="D179" s="65"/>
      <c r="E179" s="22" t="str">
        <f t="shared" si="1"/>
        <v/>
      </c>
      <c r="F179" s="1"/>
      <c r="G179" s="1"/>
      <c r="H179" s="1"/>
      <c r="I179" s="1"/>
      <c r="J179" s="1"/>
      <c r="K179" s="1"/>
      <c r="L179" s="58" t="str">
        <f t="shared" si="2"/>
        <v/>
      </c>
      <c r="M179" s="59" t="str">
        <f t="shared" si="3"/>
        <v/>
      </c>
      <c r="N179" s="55" t="str">
        <f t="shared" si="4"/>
        <v/>
      </c>
      <c r="O179" s="50">
        <f t="shared" si="6"/>
        <v>0</v>
      </c>
      <c r="P179" s="50">
        <f t="shared" si="7"/>
        <v>0</v>
      </c>
      <c r="Q179" s="54">
        <f t="shared" si="5"/>
        <v>0</v>
      </c>
      <c r="R179" s="1"/>
    </row>
    <row r="180">
      <c r="A180" s="1"/>
      <c r="B180" s="66"/>
      <c r="C180" s="64"/>
      <c r="D180" s="65"/>
      <c r="E180" s="22" t="str">
        <f t="shared" si="1"/>
        <v/>
      </c>
      <c r="F180" s="1"/>
      <c r="G180" s="1"/>
      <c r="H180" s="1"/>
      <c r="I180" s="1"/>
      <c r="J180" s="1"/>
      <c r="K180" s="1"/>
      <c r="L180" s="58" t="str">
        <f t="shared" si="2"/>
        <v/>
      </c>
      <c r="M180" s="59" t="str">
        <f t="shared" si="3"/>
        <v/>
      </c>
      <c r="N180" s="55" t="str">
        <f t="shared" si="4"/>
        <v/>
      </c>
      <c r="O180" s="50">
        <f t="shared" si="6"/>
        <v>0</v>
      </c>
      <c r="P180" s="50">
        <f t="shared" si="7"/>
        <v>0</v>
      </c>
      <c r="Q180" s="54">
        <f t="shared" si="5"/>
        <v>0</v>
      </c>
      <c r="R180" s="1"/>
    </row>
    <row r="181">
      <c r="A181" s="1"/>
      <c r="B181" s="66"/>
      <c r="C181" s="64"/>
      <c r="D181" s="65"/>
      <c r="E181" s="22" t="str">
        <f t="shared" si="1"/>
        <v/>
      </c>
      <c r="F181" s="1"/>
      <c r="G181" s="1"/>
      <c r="H181" s="1"/>
      <c r="I181" s="1"/>
      <c r="J181" s="1"/>
      <c r="K181" s="1"/>
      <c r="L181" s="58" t="str">
        <f t="shared" si="2"/>
        <v/>
      </c>
      <c r="M181" s="59" t="str">
        <f t="shared" si="3"/>
        <v/>
      </c>
      <c r="N181" s="55" t="str">
        <f t="shared" si="4"/>
        <v/>
      </c>
      <c r="O181" s="50">
        <f t="shared" si="6"/>
        <v>0</v>
      </c>
      <c r="P181" s="50">
        <f t="shared" si="7"/>
        <v>0</v>
      </c>
      <c r="Q181" s="54">
        <f t="shared" si="5"/>
        <v>0</v>
      </c>
      <c r="R181" s="1"/>
    </row>
    <row r="182">
      <c r="A182" s="1"/>
      <c r="B182" s="66"/>
      <c r="C182" s="64"/>
      <c r="D182" s="65"/>
      <c r="E182" s="22" t="str">
        <f t="shared" si="1"/>
        <v/>
      </c>
      <c r="F182" s="1"/>
      <c r="G182" s="1"/>
      <c r="H182" s="1"/>
      <c r="I182" s="1"/>
      <c r="J182" s="1"/>
      <c r="K182" s="1"/>
      <c r="L182" s="58" t="str">
        <f t="shared" si="2"/>
        <v/>
      </c>
      <c r="M182" s="59" t="str">
        <f t="shared" si="3"/>
        <v/>
      </c>
      <c r="N182" s="55" t="str">
        <f t="shared" si="4"/>
        <v/>
      </c>
      <c r="O182" s="50">
        <f t="shared" si="6"/>
        <v>0</v>
      </c>
      <c r="P182" s="50">
        <f t="shared" si="7"/>
        <v>0</v>
      </c>
      <c r="Q182" s="54">
        <f t="shared" si="5"/>
        <v>0</v>
      </c>
      <c r="R182" s="1"/>
    </row>
    <row r="183">
      <c r="A183" s="1"/>
      <c r="B183" s="66"/>
      <c r="C183" s="64"/>
      <c r="D183" s="65"/>
      <c r="E183" s="22" t="str">
        <f t="shared" si="1"/>
        <v/>
      </c>
      <c r="F183" s="1"/>
      <c r="G183" s="1"/>
      <c r="H183" s="1"/>
      <c r="I183" s="1"/>
      <c r="J183" s="1"/>
      <c r="K183" s="1"/>
      <c r="L183" s="58" t="str">
        <f t="shared" si="2"/>
        <v/>
      </c>
      <c r="M183" s="59" t="str">
        <f t="shared" si="3"/>
        <v/>
      </c>
      <c r="N183" s="55" t="str">
        <f t="shared" si="4"/>
        <v/>
      </c>
      <c r="O183" s="50">
        <f t="shared" si="6"/>
        <v>0</v>
      </c>
      <c r="P183" s="50">
        <f t="shared" si="7"/>
        <v>0</v>
      </c>
      <c r="Q183" s="54">
        <f t="shared" si="5"/>
        <v>0</v>
      </c>
      <c r="R183" s="1"/>
    </row>
    <row r="184">
      <c r="A184" s="1"/>
      <c r="B184" s="66"/>
      <c r="C184" s="64"/>
      <c r="D184" s="65"/>
      <c r="E184" s="22" t="str">
        <f t="shared" si="1"/>
        <v/>
      </c>
      <c r="F184" s="1"/>
      <c r="G184" s="1"/>
      <c r="H184" s="1"/>
      <c r="I184" s="1"/>
      <c r="J184" s="1"/>
      <c r="K184" s="1"/>
      <c r="L184" s="58" t="str">
        <f t="shared" si="2"/>
        <v/>
      </c>
      <c r="M184" s="59" t="str">
        <f t="shared" si="3"/>
        <v/>
      </c>
      <c r="N184" s="55" t="str">
        <f t="shared" si="4"/>
        <v/>
      </c>
      <c r="O184" s="50">
        <f t="shared" si="6"/>
        <v>0</v>
      </c>
      <c r="P184" s="50">
        <f t="shared" si="7"/>
        <v>0</v>
      </c>
      <c r="Q184" s="54">
        <f t="shared" si="5"/>
        <v>0</v>
      </c>
      <c r="R184" s="1"/>
    </row>
    <row r="185">
      <c r="A185" s="1"/>
      <c r="B185" s="66"/>
      <c r="C185" s="64"/>
      <c r="D185" s="65"/>
      <c r="E185" s="22" t="str">
        <f t="shared" si="1"/>
        <v/>
      </c>
      <c r="F185" s="1"/>
      <c r="G185" s="1"/>
      <c r="H185" s="1"/>
      <c r="I185" s="1"/>
      <c r="J185" s="1"/>
      <c r="K185" s="1"/>
      <c r="L185" s="58" t="str">
        <f t="shared" si="2"/>
        <v/>
      </c>
      <c r="M185" s="59" t="str">
        <f t="shared" si="3"/>
        <v/>
      </c>
      <c r="N185" s="55" t="str">
        <f t="shared" si="4"/>
        <v/>
      </c>
      <c r="O185" s="50">
        <f t="shared" si="6"/>
        <v>0</v>
      </c>
      <c r="P185" s="50">
        <f t="shared" si="7"/>
        <v>0</v>
      </c>
      <c r="Q185" s="54">
        <f t="shared" si="5"/>
        <v>0</v>
      </c>
      <c r="R185" s="1"/>
    </row>
    <row r="186">
      <c r="A186" s="1"/>
      <c r="B186" s="66"/>
      <c r="C186" s="64"/>
      <c r="D186" s="65"/>
      <c r="E186" s="22" t="str">
        <f t="shared" si="1"/>
        <v/>
      </c>
      <c r="F186" s="1"/>
      <c r="G186" s="1"/>
      <c r="H186" s="1"/>
      <c r="I186" s="1"/>
      <c r="J186" s="1"/>
      <c r="K186" s="1"/>
      <c r="L186" s="58" t="str">
        <f t="shared" si="2"/>
        <v/>
      </c>
      <c r="M186" s="59" t="str">
        <f t="shared" si="3"/>
        <v/>
      </c>
      <c r="N186" s="55" t="str">
        <f t="shared" si="4"/>
        <v/>
      </c>
      <c r="O186" s="50">
        <f t="shared" si="6"/>
        <v>0</v>
      </c>
      <c r="P186" s="50">
        <f t="shared" si="7"/>
        <v>0</v>
      </c>
      <c r="Q186" s="54">
        <f t="shared" si="5"/>
        <v>0</v>
      </c>
      <c r="R186" s="1"/>
    </row>
    <row r="187">
      <c r="A187" s="1"/>
      <c r="B187" s="66"/>
      <c r="C187" s="64"/>
      <c r="D187" s="65"/>
      <c r="E187" s="22" t="str">
        <f t="shared" si="1"/>
        <v/>
      </c>
      <c r="F187" s="1"/>
      <c r="G187" s="1"/>
      <c r="H187" s="1"/>
      <c r="I187" s="1"/>
      <c r="J187" s="1"/>
      <c r="K187" s="1"/>
      <c r="L187" s="58" t="str">
        <f t="shared" si="2"/>
        <v/>
      </c>
      <c r="M187" s="59" t="str">
        <f t="shared" si="3"/>
        <v/>
      </c>
      <c r="N187" s="55" t="str">
        <f t="shared" si="4"/>
        <v/>
      </c>
      <c r="O187" s="50">
        <f t="shared" si="6"/>
        <v>0</v>
      </c>
      <c r="P187" s="50">
        <f t="shared" si="7"/>
        <v>0</v>
      </c>
      <c r="Q187" s="54">
        <f t="shared" si="5"/>
        <v>0</v>
      </c>
      <c r="R187" s="1"/>
    </row>
    <row r="188">
      <c r="A188" s="1"/>
      <c r="B188" s="66"/>
      <c r="C188" s="64"/>
      <c r="D188" s="65"/>
      <c r="E188" s="22" t="str">
        <f t="shared" si="1"/>
        <v/>
      </c>
      <c r="F188" s="1"/>
      <c r="G188" s="1"/>
      <c r="H188" s="1"/>
      <c r="I188" s="1"/>
      <c r="J188" s="1"/>
      <c r="K188" s="1"/>
      <c r="L188" s="58" t="str">
        <f t="shared" si="2"/>
        <v/>
      </c>
      <c r="M188" s="59" t="str">
        <f t="shared" si="3"/>
        <v/>
      </c>
      <c r="N188" s="55" t="str">
        <f t="shared" si="4"/>
        <v/>
      </c>
      <c r="O188" s="50">
        <f t="shared" si="6"/>
        <v>0</v>
      </c>
      <c r="P188" s="50">
        <f t="shared" si="7"/>
        <v>0</v>
      </c>
      <c r="Q188" s="54">
        <f t="shared" si="5"/>
        <v>0</v>
      </c>
      <c r="R188" s="1"/>
    </row>
    <row r="189">
      <c r="A189" s="1"/>
      <c r="B189" s="66"/>
      <c r="C189" s="67"/>
      <c r="D189" s="65"/>
      <c r="E189" s="22" t="str">
        <f t="shared" si="1"/>
        <v/>
      </c>
      <c r="F189" s="1"/>
      <c r="G189" s="1"/>
      <c r="H189" s="1"/>
      <c r="I189" s="1"/>
      <c r="J189" s="1"/>
      <c r="K189" s="1"/>
      <c r="L189" s="58" t="str">
        <f t="shared" si="2"/>
        <v/>
      </c>
      <c r="M189" s="59" t="str">
        <f t="shared" si="3"/>
        <v/>
      </c>
      <c r="N189" s="55" t="str">
        <f t="shared" si="4"/>
        <v/>
      </c>
      <c r="O189" s="50">
        <f t="shared" si="6"/>
        <v>0</v>
      </c>
      <c r="P189" s="50">
        <f t="shared" si="7"/>
        <v>0</v>
      </c>
      <c r="Q189" s="54">
        <f t="shared" si="5"/>
        <v>0</v>
      </c>
      <c r="R189" s="1"/>
    </row>
    <row r="190">
      <c r="A190" s="1"/>
      <c r="B190" s="66"/>
      <c r="C190" s="64"/>
      <c r="D190" s="65"/>
      <c r="E190" s="22" t="str">
        <f t="shared" si="1"/>
        <v/>
      </c>
      <c r="F190" s="1"/>
      <c r="G190" s="1"/>
      <c r="H190" s="1"/>
      <c r="I190" s="1"/>
      <c r="J190" s="1"/>
      <c r="K190" s="1"/>
      <c r="L190" s="58" t="str">
        <f t="shared" si="2"/>
        <v/>
      </c>
      <c r="M190" s="59" t="str">
        <f t="shared" si="3"/>
        <v/>
      </c>
      <c r="N190" s="55" t="str">
        <f t="shared" si="4"/>
        <v/>
      </c>
      <c r="O190" s="50">
        <f t="shared" si="6"/>
        <v>0</v>
      </c>
      <c r="P190" s="50">
        <f t="shared" si="7"/>
        <v>0</v>
      </c>
      <c r="Q190" s="54">
        <f t="shared" si="5"/>
        <v>0</v>
      </c>
      <c r="R190" s="1"/>
    </row>
    <row r="191">
      <c r="A191" s="1"/>
      <c r="B191" s="66"/>
      <c r="C191" s="64"/>
      <c r="D191" s="65"/>
      <c r="E191" s="22" t="str">
        <f t="shared" si="1"/>
        <v/>
      </c>
      <c r="F191" s="1"/>
      <c r="G191" s="1"/>
      <c r="H191" s="1"/>
      <c r="I191" s="1"/>
      <c r="J191" s="1"/>
      <c r="K191" s="1"/>
      <c r="L191" s="58" t="str">
        <f t="shared" si="2"/>
        <v/>
      </c>
      <c r="M191" s="59" t="str">
        <f t="shared" si="3"/>
        <v/>
      </c>
      <c r="N191" s="55" t="str">
        <f t="shared" si="4"/>
        <v/>
      </c>
      <c r="O191" s="50">
        <f t="shared" si="6"/>
        <v>0</v>
      </c>
      <c r="P191" s="50">
        <f t="shared" si="7"/>
        <v>0</v>
      </c>
      <c r="Q191" s="54">
        <f t="shared" si="5"/>
        <v>0</v>
      </c>
      <c r="R191" s="1"/>
    </row>
    <row r="192">
      <c r="A192" s="1"/>
      <c r="B192" s="66"/>
      <c r="C192" s="64"/>
      <c r="D192" s="65"/>
      <c r="E192" s="22" t="str">
        <f t="shared" si="1"/>
        <v/>
      </c>
      <c r="F192" s="1"/>
      <c r="G192" s="1"/>
      <c r="H192" s="1"/>
      <c r="I192" s="1"/>
      <c r="J192" s="1"/>
      <c r="K192" s="1"/>
      <c r="L192" s="58" t="str">
        <f t="shared" si="2"/>
        <v/>
      </c>
      <c r="M192" s="59" t="str">
        <f t="shared" si="3"/>
        <v/>
      </c>
      <c r="N192" s="55" t="str">
        <f t="shared" si="4"/>
        <v/>
      </c>
      <c r="O192" s="50">
        <f t="shared" si="6"/>
        <v>0</v>
      </c>
      <c r="P192" s="50">
        <f t="shared" si="7"/>
        <v>0</v>
      </c>
      <c r="Q192" s="54">
        <f t="shared" si="5"/>
        <v>0</v>
      </c>
      <c r="R192" s="1"/>
    </row>
    <row r="193">
      <c r="A193" s="1"/>
      <c r="B193" s="66"/>
      <c r="C193" s="64"/>
      <c r="D193" s="65"/>
      <c r="E193" s="22" t="str">
        <f t="shared" si="1"/>
        <v/>
      </c>
      <c r="F193" s="1"/>
      <c r="G193" s="1"/>
      <c r="H193" s="1"/>
      <c r="I193" s="1"/>
      <c r="J193" s="1"/>
      <c r="K193" s="1"/>
      <c r="L193" s="58" t="str">
        <f t="shared" si="2"/>
        <v/>
      </c>
      <c r="M193" s="59" t="str">
        <f t="shared" si="3"/>
        <v/>
      </c>
      <c r="N193" s="55" t="str">
        <f t="shared" si="4"/>
        <v/>
      </c>
      <c r="O193" s="50">
        <f t="shared" si="6"/>
        <v>0</v>
      </c>
      <c r="P193" s="50">
        <f t="shared" si="7"/>
        <v>0</v>
      </c>
      <c r="Q193" s="54">
        <f t="shared" si="5"/>
        <v>0</v>
      </c>
      <c r="R193" s="1"/>
    </row>
    <row r="194">
      <c r="A194" s="1"/>
      <c r="B194" s="66"/>
      <c r="C194" s="67"/>
      <c r="D194" s="65"/>
      <c r="E194" s="22" t="str">
        <f t="shared" si="1"/>
        <v/>
      </c>
      <c r="F194" s="1"/>
      <c r="G194" s="1"/>
      <c r="H194" s="1"/>
      <c r="I194" s="1"/>
      <c r="J194" s="1"/>
      <c r="K194" s="1"/>
      <c r="L194" s="58" t="str">
        <f t="shared" si="2"/>
        <v/>
      </c>
      <c r="M194" s="59" t="str">
        <f t="shared" si="3"/>
        <v/>
      </c>
      <c r="N194" s="55" t="str">
        <f t="shared" si="4"/>
        <v/>
      </c>
      <c r="O194" s="50">
        <f t="shared" si="6"/>
        <v>0</v>
      </c>
      <c r="P194" s="50">
        <f t="shared" si="7"/>
        <v>0</v>
      </c>
      <c r="Q194" s="54">
        <f t="shared" si="5"/>
        <v>0</v>
      </c>
      <c r="R194" s="1"/>
    </row>
    <row r="195">
      <c r="A195" s="1"/>
      <c r="B195" s="66"/>
      <c r="C195" s="64"/>
      <c r="D195" s="65"/>
      <c r="E195" s="22" t="str">
        <f t="shared" si="1"/>
        <v/>
      </c>
      <c r="F195" s="1"/>
      <c r="G195" s="1"/>
      <c r="H195" s="1"/>
      <c r="I195" s="1"/>
      <c r="J195" s="1"/>
      <c r="K195" s="1"/>
      <c r="L195" s="58" t="str">
        <f t="shared" si="2"/>
        <v/>
      </c>
      <c r="M195" s="59" t="str">
        <f t="shared" si="3"/>
        <v/>
      </c>
      <c r="N195" s="55" t="str">
        <f t="shared" si="4"/>
        <v/>
      </c>
      <c r="O195" s="50">
        <f t="shared" si="6"/>
        <v>0</v>
      </c>
      <c r="P195" s="50">
        <f t="shared" si="7"/>
        <v>0</v>
      </c>
      <c r="Q195" s="54">
        <f t="shared" si="5"/>
        <v>0</v>
      </c>
      <c r="R195" s="1"/>
    </row>
    <row r="196">
      <c r="A196" s="1"/>
      <c r="B196" s="66"/>
      <c r="C196" s="64"/>
      <c r="D196" s="65"/>
      <c r="E196" s="22" t="str">
        <f t="shared" si="1"/>
        <v/>
      </c>
      <c r="F196" s="1"/>
      <c r="G196" s="1"/>
      <c r="H196" s="1"/>
      <c r="I196" s="1"/>
      <c r="J196" s="1"/>
      <c r="K196" s="1"/>
      <c r="L196" s="58" t="str">
        <f t="shared" si="2"/>
        <v/>
      </c>
      <c r="M196" s="59" t="str">
        <f t="shared" si="3"/>
        <v/>
      </c>
      <c r="N196" s="55" t="str">
        <f t="shared" si="4"/>
        <v/>
      </c>
      <c r="O196" s="50">
        <f t="shared" si="6"/>
        <v>0</v>
      </c>
      <c r="P196" s="50">
        <f t="shared" si="7"/>
        <v>0</v>
      </c>
      <c r="Q196" s="54">
        <f t="shared" si="5"/>
        <v>0</v>
      </c>
      <c r="R196" s="1"/>
    </row>
    <row r="197">
      <c r="A197" s="1"/>
      <c r="B197" s="66"/>
      <c r="C197" s="64"/>
      <c r="D197" s="65"/>
      <c r="E197" s="22" t="str">
        <f t="shared" si="1"/>
        <v/>
      </c>
      <c r="F197" s="1"/>
      <c r="G197" s="1"/>
      <c r="H197" s="1"/>
      <c r="I197" s="1"/>
      <c r="J197" s="1"/>
      <c r="K197" s="1"/>
      <c r="L197" s="58" t="str">
        <f t="shared" si="2"/>
        <v/>
      </c>
      <c r="M197" s="59" t="str">
        <f t="shared" si="3"/>
        <v/>
      </c>
      <c r="N197" s="55" t="str">
        <f t="shared" si="4"/>
        <v/>
      </c>
      <c r="O197" s="50">
        <f t="shared" si="6"/>
        <v>0</v>
      </c>
      <c r="P197" s="50">
        <f t="shared" si="7"/>
        <v>0</v>
      </c>
      <c r="Q197" s="54">
        <f t="shared" si="5"/>
        <v>0</v>
      </c>
      <c r="R197" s="1"/>
    </row>
    <row r="198">
      <c r="A198" s="1"/>
      <c r="B198" s="66"/>
      <c r="C198" s="64"/>
      <c r="D198" s="65"/>
      <c r="E198" s="22" t="str">
        <f t="shared" si="1"/>
        <v/>
      </c>
      <c r="F198" s="1"/>
      <c r="G198" s="1"/>
      <c r="H198" s="1"/>
      <c r="I198" s="1"/>
      <c r="J198" s="1"/>
      <c r="K198" s="1"/>
      <c r="L198" s="58" t="str">
        <f t="shared" si="2"/>
        <v/>
      </c>
      <c r="M198" s="59" t="str">
        <f t="shared" si="3"/>
        <v/>
      </c>
      <c r="N198" s="55" t="str">
        <f t="shared" si="4"/>
        <v/>
      </c>
      <c r="O198" s="50">
        <f t="shared" si="6"/>
        <v>0</v>
      </c>
      <c r="P198" s="50">
        <f t="shared" si="7"/>
        <v>0</v>
      </c>
      <c r="Q198" s="54">
        <f t="shared" si="5"/>
        <v>0</v>
      </c>
      <c r="R198" s="1"/>
    </row>
    <row r="199">
      <c r="A199" s="1"/>
      <c r="B199" s="66"/>
      <c r="C199" s="64"/>
      <c r="D199" s="65"/>
      <c r="E199" s="22" t="str">
        <f t="shared" si="1"/>
        <v/>
      </c>
      <c r="F199" s="1"/>
      <c r="G199" s="1"/>
      <c r="H199" s="1"/>
      <c r="I199" s="1"/>
      <c r="J199" s="1"/>
      <c r="K199" s="1"/>
      <c r="L199" s="58" t="str">
        <f t="shared" si="2"/>
        <v/>
      </c>
      <c r="M199" s="59" t="str">
        <f t="shared" si="3"/>
        <v/>
      </c>
      <c r="N199" s="55" t="str">
        <f t="shared" si="4"/>
        <v/>
      </c>
      <c r="O199" s="50">
        <f t="shared" si="6"/>
        <v>0</v>
      </c>
      <c r="P199" s="50">
        <f t="shared" si="7"/>
        <v>0</v>
      </c>
      <c r="Q199" s="54">
        <f t="shared" si="5"/>
        <v>0</v>
      </c>
      <c r="R199" s="1"/>
    </row>
    <row r="200">
      <c r="A200" s="1"/>
      <c r="B200" s="66"/>
      <c r="C200" s="64"/>
      <c r="D200" s="65"/>
      <c r="E200" s="22" t="str">
        <f t="shared" si="1"/>
        <v/>
      </c>
      <c r="F200" s="1"/>
      <c r="G200" s="1"/>
      <c r="H200" s="1"/>
      <c r="I200" s="1"/>
      <c r="J200" s="1"/>
      <c r="K200" s="1"/>
      <c r="L200" s="58" t="str">
        <f t="shared" si="2"/>
        <v/>
      </c>
      <c r="M200" s="59" t="str">
        <f t="shared" si="3"/>
        <v/>
      </c>
      <c r="N200" s="55" t="str">
        <f t="shared" si="4"/>
        <v/>
      </c>
      <c r="O200" s="50">
        <f t="shared" si="6"/>
        <v>0</v>
      </c>
      <c r="P200" s="50">
        <f t="shared" si="7"/>
        <v>0</v>
      </c>
      <c r="Q200" s="54">
        <f t="shared" si="5"/>
        <v>0</v>
      </c>
      <c r="R200" s="1"/>
    </row>
    <row r="201">
      <c r="A201" s="1"/>
      <c r="B201" s="66"/>
      <c r="C201" s="64"/>
      <c r="D201" s="65"/>
      <c r="E201" s="22" t="str">
        <f t="shared" si="1"/>
        <v/>
      </c>
      <c r="F201" s="1"/>
      <c r="G201" s="1"/>
      <c r="H201" s="1"/>
      <c r="I201" s="1"/>
      <c r="J201" s="1"/>
      <c r="K201" s="1"/>
      <c r="L201" s="58" t="str">
        <f t="shared" si="2"/>
        <v/>
      </c>
      <c r="M201" s="59" t="str">
        <f t="shared" si="3"/>
        <v/>
      </c>
      <c r="N201" s="55" t="str">
        <f t="shared" si="4"/>
        <v/>
      </c>
      <c r="O201" s="50">
        <f t="shared" si="6"/>
        <v>0</v>
      </c>
      <c r="P201" s="50">
        <f t="shared" si="7"/>
        <v>0</v>
      </c>
      <c r="Q201" s="54">
        <f t="shared" si="5"/>
        <v>0</v>
      </c>
      <c r="R201" s="1"/>
    </row>
    <row r="202">
      <c r="A202" s="1"/>
      <c r="B202" s="66"/>
      <c r="C202" s="64"/>
      <c r="D202" s="65"/>
      <c r="E202" s="22" t="str">
        <f t="shared" si="1"/>
        <v/>
      </c>
      <c r="F202" s="1"/>
      <c r="G202" s="1"/>
      <c r="H202" s="1"/>
      <c r="I202" s="1"/>
      <c r="J202" s="1"/>
      <c r="K202" s="1"/>
      <c r="L202" s="58" t="str">
        <f t="shared" si="2"/>
        <v/>
      </c>
      <c r="M202" s="59" t="str">
        <f t="shared" si="3"/>
        <v/>
      </c>
      <c r="N202" s="55" t="str">
        <f t="shared" si="4"/>
        <v/>
      </c>
      <c r="O202" s="50">
        <f t="shared" si="6"/>
        <v>0</v>
      </c>
      <c r="P202" s="50">
        <f t="shared" si="7"/>
        <v>0</v>
      </c>
      <c r="Q202" s="54">
        <f t="shared" si="5"/>
        <v>0</v>
      </c>
      <c r="R202" s="1"/>
    </row>
    <row r="203">
      <c r="A203" s="1"/>
      <c r="B203" s="66"/>
      <c r="C203" s="64"/>
      <c r="D203" s="65"/>
      <c r="E203" s="22" t="str">
        <f t="shared" si="1"/>
        <v/>
      </c>
      <c r="F203" s="1"/>
      <c r="G203" s="1"/>
      <c r="H203" s="1"/>
      <c r="I203" s="1"/>
      <c r="J203" s="1"/>
      <c r="K203" s="1"/>
      <c r="L203" s="58" t="str">
        <f t="shared" si="2"/>
        <v/>
      </c>
      <c r="M203" s="59" t="str">
        <f t="shared" si="3"/>
        <v/>
      </c>
      <c r="N203" s="55" t="str">
        <f t="shared" si="4"/>
        <v/>
      </c>
      <c r="O203" s="50">
        <f t="shared" si="6"/>
        <v>0</v>
      </c>
      <c r="P203" s="50">
        <f t="shared" si="7"/>
        <v>0</v>
      </c>
      <c r="Q203" s="54">
        <f t="shared" si="5"/>
        <v>0</v>
      </c>
      <c r="R203" s="1"/>
    </row>
    <row r="204">
      <c r="A204" s="1"/>
      <c r="B204" s="66"/>
      <c r="C204" s="64"/>
      <c r="D204" s="65"/>
      <c r="E204" s="22" t="str">
        <f t="shared" si="1"/>
        <v/>
      </c>
      <c r="F204" s="1"/>
      <c r="G204" s="1"/>
      <c r="H204" s="1"/>
      <c r="I204" s="1"/>
      <c r="J204" s="1"/>
      <c r="K204" s="1"/>
      <c r="L204" s="58" t="str">
        <f t="shared" si="2"/>
        <v/>
      </c>
      <c r="M204" s="59" t="str">
        <f t="shared" si="3"/>
        <v/>
      </c>
      <c r="N204" s="55" t="str">
        <f t="shared" si="4"/>
        <v/>
      </c>
      <c r="O204" s="50">
        <f t="shared" si="6"/>
        <v>0</v>
      </c>
      <c r="P204" s="50">
        <f t="shared" si="7"/>
        <v>0</v>
      </c>
      <c r="Q204" s="54">
        <f t="shared" si="5"/>
        <v>0</v>
      </c>
      <c r="R204" s="1"/>
    </row>
    <row r="205">
      <c r="A205" s="1"/>
      <c r="B205" s="66"/>
      <c r="C205" s="64"/>
      <c r="D205" s="65"/>
      <c r="E205" s="22" t="str">
        <f t="shared" si="1"/>
        <v/>
      </c>
      <c r="F205" s="1"/>
      <c r="G205" s="1"/>
      <c r="H205" s="1"/>
      <c r="I205" s="1"/>
      <c r="J205" s="1"/>
      <c r="K205" s="1"/>
      <c r="L205" s="58" t="str">
        <f t="shared" si="2"/>
        <v/>
      </c>
      <c r="M205" s="59" t="str">
        <f t="shared" si="3"/>
        <v/>
      </c>
      <c r="N205" s="55" t="str">
        <f t="shared" si="4"/>
        <v/>
      </c>
      <c r="O205" s="50">
        <f t="shared" si="6"/>
        <v>0</v>
      </c>
      <c r="P205" s="50">
        <f t="shared" si="7"/>
        <v>0</v>
      </c>
      <c r="Q205" s="54">
        <f t="shared" si="5"/>
        <v>0</v>
      </c>
      <c r="R205" s="1"/>
    </row>
    <row r="206">
      <c r="A206" s="1"/>
      <c r="B206" s="66"/>
      <c r="C206" s="64"/>
      <c r="D206" s="65"/>
      <c r="E206" s="22" t="str">
        <f t="shared" si="1"/>
        <v/>
      </c>
      <c r="F206" s="1"/>
      <c r="G206" s="1"/>
      <c r="H206" s="1"/>
      <c r="I206" s="1"/>
      <c r="J206" s="1"/>
      <c r="K206" s="1"/>
      <c r="L206" s="58" t="str">
        <f t="shared" si="2"/>
        <v/>
      </c>
      <c r="M206" s="59" t="str">
        <f t="shared" si="3"/>
        <v/>
      </c>
      <c r="N206" s="55" t="str">
        <f t="shared" si="4"/>
        <v/>
      </c>
      <c r="O206" s="50">
        <f t="shared" si="6"/>
        <v>0</v>
      </c>
      <c r="P206" s="50">
        <f t="shared" si="7"/>
        <v>0</v>
      </c>
      <c r="Q206" s="54">
        <f t="shared" si="5"/>
        <v>0</v>
      </c>
      <c r="R206" s="1"/>
    </row>
    <row r="207">
      <c r="A207" s="1"/>
      <c r="B207" s="66"/>
      <c r="C207" s="64"/>
      <c r="D207" s="65"/>
      <c r="E207" s="22" t="str">
        <f t="shared" si="1"/>
        <v/>
      </c>
      <c r="F207" s="1"/>
      <c r="G207" s="1"/>
      <c r="H207" s="1"/>
      <c r="I207" s="1"/>
      <c r="J207" s="1"/>
      <c r="K207" s="1"/>
      <c r="L207" s="58" t="str">
        <f t="shared" si="2"/>
        <v/>
      </c>
      <c r="M207" s="59" t="str">
        <f t="shared" si="3"/>
        <v/>
      </c>
      <c r="N207" s="55" t="str">
        <f t="shared" si="4"/>
        <v/>
      </c>
      <c r="O207" s="50">
        <f t="shared" si="6"/>
        <v>0</v>
      </c>
      <c r="P207" s="50">
        <f t="shared" si="7"/>
        <v>0</v>
      </c>
      <c r="Q207" s="54">
        <f t="shared" si="5"/>
        <v>0</v>
      </c>
      <c r="R207" s="1"/>
    </row>
    <row r="208">
      <c r="A208" s="1"/>
      <c r="B208" s="68"/>
      <c r="C208" s="69"/>
      <c r="D208" s="70"/>
      <c r="E208" s="22" t="str">
        <f t="shared" si="1"/>
        <v/>
      </c>
      <c r="F208" s="1"/>
      <c r="G208" s="1"/>
      <c r="H208" s="1"/>
      <c r="I208" s="1"/>
      <c r="J208" s="1"/>
      <c r="K208" s="1"/>
      <c r="L208" s="58" t="str">
        <f t="shared" si="2"/>
        <v/>
      </c>
      <c r="M208" s="59" t="str">
        <f t="shared" si="3"/>
        <v/>
      </c>
      <c r="N208" s="55" t="str">
        <f t="shared" si="4"/>
        <v/>
      </c>
      <c r="O208" s="50">
        <f t="shared" si="6"/>
        <v>0</v>
      </c>
      <c r="P208" s="50">
        <f t="shared" si="7"/>
        <v>0</v>
      </c>
      <c r="Q208" s="54">
        <f t="shared" si="5"/>
        <v>0</v>
      </c>
      <c r="R208" s="1"/>
    </row>
    <row r="209">
      <c r="A209" s="1"/>
      <c r="B209" s="68"/>
      <c r="C209" s="69"/>
      <c r="D209" s="70"/>
      <c r="E209" s="22" t="str">
        <f t="shared" si="1"/>
        <v/>
      </c>
      <c r="F209" s="1"/>
      <c r="G209" s="1"/>
      <c r="H209" s="1"/>
      <c r="I209" s="1"/>
      <c r="J209" s="1"/>
      <c r="K209" s="1"/>
      <c r="L209" s="58" t="str">
        <f t="shared" si="2"/>
        <v/>
      </c>
      <c r="M209" s="59" t="str">
        <f t="shared" si="3"/>
        <v/>
      </c>
      <c r="N209" s="55" t="str">
        <f t="shared" si="4"/>
        <v/>
      </c>
      <c r="O209" s="50">
        <f t="shared" si="6"/>
        <v>0</v>
      </c>
      <c r="P209" s="50">
        <f t="shared" si="7"/>
        <v>0</v>
      </c>
      <c r="Q209" s="54">
        <f t="shared" si="5"/>
        <v>0</v>
      </c>
      <c r="R209" s="1"/>
    </row>
    <row r="210">
      <c r="A210" s="1"/>
      <c r="B210" s="68"/>
      <c r="C210" s="69"/>
      <c r="D210" s="70"/>
      <c r="E210" s="22" t="str">
        <f t="shared" si="1"/>
        <v/>
      </c>
      <c r="F210" s="1"/>
      <c r="G210" s="1"/>
      <c r="H210" s="1"/>
      <c r="I210" s="1"/>
      <c r="J210" s="1"/>
      <c r="K210" s="1"/>
      <c r="L210" s="58" t="str">
        <f t="shared" si="2"/>
        <v/>
      </c>
      <c r="M210" s="59" t="str">
        <f t="shared" si="3"/>
        <v/>
      </c>
      <c r="N210" s="55" t="str">
        <f t="shared" si="4"/>
        <v/>
      </c>
      <c r="O210" s="50">
        <f t="shared" si="6"/>
        <v>0</v>
      </c>
      <c r="P210" s="50">
        <f t="shared" si="7"/>
        <v>0</v>
      </c>
      <c r="Q210" s="54">
        <f t="shared" si="5"/>
        <v>0</v>
      </c>
      <c r="R210" s="1"/>
    </row>
    <row r="211">
      <c r="A211" s="1"/>
      <c r="B211" s="68"/>
      <c r="C211" s="69"/>
      <c r="D211" s="70"/>
      <c r="E211" s="22" t="str">
        <f t="shared" si="1"/>
        <v/>
      </c>
      <c r="F211" s="1"/>
      <c r="G211" s="1"/>
      <c r="H211" s="1"/>
      <c r="I211" s="1"/>
      <c r="J211" s="1"/>
      <c r="K211" s="1"/>
      <c r="L211" s="58" t="str">
        <f t="shared" si="2"/>
        <v/>
      </c>
      <c r="M211" s="59" t="str">
        <f t="shared" si="3"/>
        <v/>
      </c>
      <c r="N211" s="55" t="str">
        <f t="shared" si="4"/>
        <v/>
      </c>
      <c r="O211" s="50">
        <f t="shared" si="6"/>
        <v>0</v>
      </c>
      <c r="P211" s="50">
        <f t="shared" si="7"/>
        <v>0</v>
      </c>
      <c r="Q211" s="54">
        <f t="shared" si="5"/>
        <v>0</v>
      </c>
      <c r="R211" s="1"/>
    </row>
    <row r="212">
      <c r="A212" s="1"/>
      <c r="B212" s="68"/>
      <c r="C212" s="69"/>
      <c r="D212" s="70"/>
      <c r="E212" s="22" t="str">
        <f t="shared" si="1"/>
        <v/>
      </c>
      <c r="F212" s="1"/>
      <c r="G212" s="1"/>
      <c r="H212" s="1"/>
      <c r="I212" s="1"/>
      <c r="J212" s="1"/>
      <c r="K212" s="1"/>
      <c r="L212" s="58" t="str">
        <f t="shared" si="2"/>
        <v/>
      </c>
      <c r="M212" s="59" t="str">
        <f t="shared" si="3"/>
        <v/>
      </c>
      <c r="N212" s="55" t="str">
        <f t="shared" si="4"/>
        <v/>
      </c>
      <c r="O212" s="50">
        <f t="shared" si="6"/>
        <v>0</v>
      </c>
      <c r="P212" s="50">
        <f t="shared" si="7"/>
        <v>0</v>
      </c>
      <c r="Q212" s="54">
        <f t="shared" si="5"/>
        <v>0</v>
      </c>
      <c r="R212" s="1"/>
    </row>
    <row r="213">
      <c r="A213" s="1"/>
      <c r="B213" s="68"/>
      <c r="C213" s="69"/>
      <c r="D213" s="70"/>
      <c r="E213" s="22" t="str">
        <f t="shared" si="1"/>
        <v/>
      </c>
      <c r="F213" s="1"/>
      <c r="G213" s="1"/>
      <c r="H213" s="1"/>
      <c r="I213" s="1"/>
      <c r="J213" s="1"/>
      <c r="K213" s="1"/>
      <c r="L213" s="58" t="str">
        <f t="shared" si="2"/>
        <v/>
      </c>
      <c r="M213" s="59" t="str">
        <f t="shared" si="3"/>
        <v/>
      </c>
      <c r="N213" s="55" t="str">
        <f t="shared" si="4"/>
        <v/>
      </c>
      <c r="O213" s="50">
        <f t="shared" si="6"/>
        <v>0</v>
      </c>
      <c r="P213" s="50">
        <f t="shared" si="7"/>
        <v>0</v>
      </c>
      <c r="Q213" s="54">
        <f t="shared" si="5"/>
        <v>0</v>
      </c>
      <c r="R213" s="1"/>
    </row>
    <row r="214">
      <c r="A214" s="1"/>
      <c r="B214" s="68"/>
      <c r="C214" s="69"/>
      <c r="D214" s="70"/>
      <c r="E214" s="22" t="str">
        <f t="shared" si="1"/>
        <v/>
      </c>
      <c r="F214" s="1"/>
      <c r="G214" s="1"/>
      <c r="H214" s="1"/>
      <c r="I214" s="1"/>
      <c r="J214" s="1"/>
      <c r="K214" s="1"/>
      <c r="L214" s="58" t="str">
        <f t="shared" si="2"/>
        <v/>
      </c>
      <c r="M214" s="59" t="str">
        <f t="shared" si="3"/>
        <v/>
      </c>
      <c r="N214" s="55" t="str">
        <f t="shared" si="4"/>
        <v/>
      </c>
      <c r="O214" s="50">
        <f t="shared" si="6"/>
        <v>0</v>
      </c>
      <c r="P214" s="50">
        <f t="shared" si="7"/>
        <v>0</v>
      </c>
      <c r="Q214" s="54">
        <f t="shared" si="5"/>
        <v>0</v>
      </c>
      <c r="R214" s="1"/>
    </row>
    <row r="215">
      <c r="A215" s="1"/>
      <c r="B215" s="68"/>
      <c r="C215" s="69"/>
      <c r="D215" s="70"/>
      <c r="E215" s="22" t="str">
        <f t="shared" si="1"/>
        <v/>
      </c>
      <c r="F215" s="1"/>
      <c r="G215" s="1"/>
      <c r="H215" s="1"/>
      <c r="I215" s="1"/>
      <c r="J215" s="1"/>
      <c r="K215" s="1"/>
      <c r="L215" s="58" t="str">
        <f t="shared" si="2"/>
        <v/>
      </c>
      <c r="M215" s="59" t="str">
        <f t="shared" si="3"/>
        <v/>
      </c>
      <c r="N215" s="55" t="str">
        <f t="shared" si="4"/>
        <v/>
      </c>
      <c r="O215" s="50">
        <f t="shared" si="6"/>
        <v>0</v>
      </c>
      <c r="P215" s="50">
        <f t="shared" si="7"/>
        <v>0</v>
      </c>
      <c r="Q215" s="54">
        <f t="shared" si="5"/>
        <v>0</v>
      </c>
      <c r="R215" s="1"/>
    </row>
    <row r="216">
      <c r="A216" s="1"/>
      <c r="B216" s="68"/>
      <c r="C216" s="69"/>
      <c r="D216" s="70"/>
      <c r="E216" s="22" t="str">
        <f t="shared" si="1"/>
        <v/>
      </c>
      <c r="F216" s="1"/>
      <c r="G216" s="1"/>
      <c r="H216" s="1"/>
      <c r="I216" s="1"/>
      <c r="J216" s="1"/>
      <c r="K216" s="1"/>
      <c r="L216" s="58" t="str">
        <f t="shared" si="2"/>
        <v/>
      </c>
      <c r="M216" s="59" t="str">
        <f t="shared" si="3"/>
        <v/>
      </c>
      <c r="N216" s="55" t="str">
        <f t="shared" si="4"/>
        <v/>
      </c>
      <c r="O216" s="50">
        <f t="shared" si="6"/>
        <v>0</v>
      </c>
      <c r="P216" s="50">
        <f t="shared" si="7"/>
        <v>0</v>
      </c>
      <c r="Q216" s="54">
        <f t="shared" si="5"/>
        <v>0</v>
      </c>
      <c r="R216" s="1"/>
    </row>
    <row r="217">
      <c r="A217" s="1"/>
      <c r="B217" s="68"/>
      <c r="C217" s="69"/>
      <c r="D217" s="70"/>
      <c r="E217" s="22" t="str">
        <f t="shared" si="1"/>
        <v/>
      </c>
      <c r="F217" s="1"/>
      <c r="G217" s="1"/>
      <c r="H217" s="1"/>
      <c r="I217" s="1"/>
      <c r="J217" s="1"/>
      <c r="K217" s="1"/>
      <c r="L217" s="58" t="str">
        <f t="shared" si="2"/>
        <v/>
      </c>
      <c r="M217" s="59" t="str">
        <f t="shared" si="3"/>
        <v/>
      </c>
      <c r="N217" s="55" t="str">
        <f t="shared" si="4"/>
        <v/>
      </c>
      <c r="O217" s="50">
        <f t="shared" si="6"/>
        <v>0</v>
      </c>
      <c r="P217" s="50">
        <f t="shared" si="7"/>
        <v>0</v>
      </c>
      <c r="Q217" s="54">
        <f t="shared" si="5"/>
        <v>0</v>
      </c>
      <c r="R217" s="1"/>
    </row>
    <row r="218">
      <c r="A218" s="1"/>
      <c r="B218" s="68"/>
      <c r="C218" s="69"/>
      <c r="D218" s="70"/>
      <c r="E218" s="22" t="str">
        <f t="shared" si="1"/>
        <v/>
      </c>
      <c r="F218" s="1"/>
      <c r="G218" s="1"/>
      <c r="H218" s="1"/>
      <c r="I218" s="1"/>
      <c r="J218" s="1"/>
      <c r="K218" s="1"/>
      <c r="L218" s="58" t="str">
        <f t="shared" si="2"/>
        <v/>
      </c>
      <c r="M218" s="59" t="str">
        <f t="shared" si="3"/>
        <v/>
      </c>
      <c r="N218" s="55" t="str">
        <f t="shared" si="4"/>
        <v/>
      </c>
      <c r="O218" s="50">
        <f t="shared" si="6"/>
        <v>0</v>
      </c>
      <c r="P218" s="50">
        <f t="shared" si="7"/>
        <v>0</v>
      </c>
      <c r="Q218" s="54">
        <f t="shared" si="5"/>
        <v>0</v>
      </c>
      <c r="R218" s="1"/>
    </row>
    <row r="219">
      <c r="A219" s="1"/>
      <c r="B219" s="68"/>
      <c r="C219" s="69"/>
      <c r="D219" s="70"/>
      <c r="E219" s="22" t="str">
        <f t="shared" si="1"/>
        <v/>
      </c>
      <c r="F219" s="1"/>
      <c r="G219" s="1"/>
      <c r="H219" s="1"/>
      <c r="I219" s="1"/>
      <c r="J219" s="1"/>
      <c r="K219" s="1"/>
      <c r="L219" s="58" t="str">
        <f t="shared" si="2"/>
        <v/>
      </c>
      <c r="M219" s="59" t="str">
        <f t="shared" si="3"/>
        <v/>
      </c>
      <c r="N219" s="55" t="str">
        <f t="shared" si="4"/>
        <v/>
      </c>
      <c r="O219" s="50">
        <f t="shared" si="6"/>
        <v>0</v>
      </c>
      <c r="P219" s="50">
        <f t="shared" si="7"/>
        <v>0</v>
      </c>
      <c r="Q219" s="54">
        <f t="shared" si="5"/>
        <v>0</v>
      </c>
      <c r="R219" s="1"/>
    </row>
    <row r="220">
      <c r="A220" s="1"/>
      <c r="B220" s="68"/>
      <c r="C220" s="69"/>
      <c r="D220" s="70"/>
      <c r="E220" s="22" t="str">
        <f t="shared" si="1"/>
        <v/>
      </c>
      <c r="F220" s="1"/>
      <c r="G220" s="1"/>
      <c r="H220" s="1"/>
      <c r="I220" s="1"/>
      <c r="J220" s="1"/>
      <c r="K220" s="1"/>
      <c r="L220" s="58" t="str">
        <f t="shared" si="2"/>
        <v/>
      </c>
      <c r="M220" s="59" t="str">
        <f t="shared" si="3"/>
        <v/>
      </c>
      <c r="N220" s="55" t="str">
        <f t="shared" si="4"/>
        <v/>
      </c>
      <c r="O220" s="50">
        <f t="shared" si="6"/>
        <v>0</v>
      </c>
      <c r="P220" s="50">
        <f t="shared" si="7"/>
        <v>0</v>
      </c>
      <c r="Q220" s="54">
        <f t="shared" si="5"/>
        <v>0</v>
      </c>
      <c r="R220" s="1"/>
    </row>
    <row r="221">
      <c r="A221" s="1"/>
      <c r="B221" s="68"/>
      <c r="C221" s="69"/>
      <c r="D221" s="70"/>
      <c r="E221" s="22" t="str">
        <f t="shared" si="1"/>
        <v/>
      </c>
      <c r="F221" s="1"/>
      <c r="G221" s="1"/>
      <c r="H221" s="1"/>
      <c r="I221" s="1"/>
      <c r="J221" s="1"/>
      <c r="K221" s="1"/>
      <c r="L221" s="58" t="str">
        <f t="shared" si="2"/>
        <v/>
      </c>
      <c r="M221" s="59" t="str">
        <f t="shared" si="3"/>
        <v/>
      </c>
      <c r="N221" s="55" t="str">
        <f t="shared" si="4"/>
        <v/>
      </c>
      <c r="O221" s="50">
        <f t="shared" si="6"/>
        <v>0</v>
      </c>
      <c r="P221" s="50">
        <f t="shared" si="7"/>
        <v>0</v>
      </c>
      <c r="Q221" s="54">
        <f t="shared" si="5"/>
        <v>0</v>
      </c>
      <c r="R221" s="1"/>
    </row>
    <row r="222">
      <c r="A222" s="1"/>
      <c r="B222" s="68"/>
      <c r="C222" s="69"/>
      <c r="D222" s="70"/>
      <c r="E222" s="22" t="str">
        <f t="shared" si="1"/>
        <v/>
      </c>
      <c r="F222" s="1"/>
      <c r="G222" s="1"/>
      <c r="H222" s="1"/>
      <c r="I222" s="1"/>
      <c r="J222" s="1"/>
      <c r="K222" s="1"/>
      <c r="L222" s="58" t="str">
        <f t="shared" si="2"/>
        <v/>
      </c>
      <c r="M222" s="59" t="str">
        <f t="shared" si="3"/>
        <v/>
      </c>
      <c r="N222" s="55" t="str">
        <f t="shared" si="4"/>
        <v/>
      </c>
      <c r="O222" s="50">
        <f t="shared" si="6"/>
        <v>0</v>
      </c>
      <c r="P222" s="50">
        <f t="shared" si="7"/>
        <v>0</v>
      </c>
      <c r="Q222" s="54">
        <f t="shared" si="5"/>
        <v>0</v>
      </c>
      <c r="R222" s="1"/>
    </row>
    <row r="223">
      <c r="A223" s="1"/>
      <c r="B223" s="68"/>
      <c r="C223" s="69"/>
      <c r="D223" s="70"/>
      <c r="E223" s="22" t="str">
        <f t="shared" si="1"/>
        <v/>
      </c>
      <c r="F223" s="1"/>
      <c r="G223" s="1"/>
      <c r="H223" s="1"/>
      <c r="I223" s="1"/>
      <c r="J223" s="1"/>
      <c r="K223" s="1"/>
      <c r="L223" s="58" t="str">
        <f t="shared" si="2"/>
        <v/>
      </c>
      <c r="M223" s="59" t="str">
        <f t="shared" si="3"/>
        <v/>
      </c>
      <c r="N223" s="55" t="str">
        <f t="shared" si="4"/>
        <v/>
      </c>
      <c r="O223" s="50">
        <f t="shared" si="6"/>
        <v>0</v>
      </c>
      <c r="P223" s="50">
        <f t="shared" si="7"/>
        <v>0</v>
      </c>
      <c r="Q223" s="54">
        <f t="shared" si="5"/>
        <v>0</v>
      </c>
      <c r="R223" s="1"/>
    </row>
    <row r="224">
      <c r="A224" s="1"/>
      <c r="B224" s="68"/>
      <c r="C224" s="69"/>
      <c r="D224" s="70"/>
      <c r="E224" s="22" t="str">
        <f t="shared" si="1"/>
        <v/>
      </c>
      <c r="F224" s="1"/>
      <c r="G224" s="1"/>
      <c r="H224" s="1"/>
      <c r="I224" s="1"/>
      <c r="J224" s="1"/>
      <c r="K224" s="1"/>
      <c r="L224" s="58" t="str">
        <f t="shared" si="2"/>
        <v/>
      </c>
      <c r="M224" s="59" t="str">
        <f t="shared" si="3"/>
        <v/>
      </c>
      <c r="N224" s="55" t="str">
        <f t="shared" si="4"/>
        <v/>
      </c>
      <c r="O224" s="50">
        <f t="shared" si="6"/>
        <v>0</v>
      </c>
      <c r="P224" s="50">
        <f t="shared" si="7"/>
        <v>0</v>
      </c>
      <c r="Q224" s="54">
        <f t="shared" si="5"/>
        <v>0</v>
      </c>
      <c r="R224" s="1"/>
    </row>
    <row r="225">
      <c r="A225" s="1"/>
      <c r="B225" s="68"/>
      <c r="C225" s="69"/>
      <c r="D225" s="70"/>
      <c r="E225" s="22" t="str">
        <f t="shared" si="1"/>
        <v/>
      </c>
      <c r="F225" s="1"/>
      <c r="G225" s="1"/>
      <c r="H225" s="1"/>
      <c r="I225" s="1"/>
      <c r="J225" s="1"/>
      <c r="K225" s="1"/>
      <c r="L225" s="58" t="str">
        <f t="shared" si="2"/>
        <v/>
      </c>
      <c r="M225" s="59" t="str">
        <f t="shared" si="3"/>
        <v/>
      </c>
      <c r="N225" s="55" t="str">
        <f t="shared" si="4"/>
        <v/>
      </c>
      <c r="O225" s="50">
        <f t="shared" si="6"/>
        <v>0</v>
      </c>
      <c r="P225" s="50">
        <f t="shared" si="7"/>
        <v>0</v>
      </c>
      <c r="Q225" s="54">
        <f t="shared" si="5"/>
        <v>0</v>
      </c>
      <c r="R225" s="1"/>
    </row>
    <row r="226">
      <c r="A226" s="1"/>
      <c r="B226" s="68"/>
      <c r="C226" s="69"/>
      <c r="D226" s="70"/>
      <c r="E226" s="22" t="str">
        <f t="shared" si="1"/>
        <v/>
      </c>
      <c r="F226" s="1"/>
      <c r="G226" s="1"/>
      <c r="H226" s="1"/>
      <c r="I226" s="1"/>
      <c r="J226" s="1"/>
      <c r="K226" s="1"/>
      <c r="L226" s="58" t="str">
        <f t="shared" si="2"/>
        <v/>
      </c>
      <c r="M226" s="59" t="str">
        <f t="shared" si="3"/>
        <v/>
      </c>
      <c r="N226" s="55" t="str">
        <f t="shared" si="4"/>
        <v/>
      </c>
      <c r="O226" s="50">
        <f t="shared" si="6"/>
        <v>0</v>
      </c>
      <c r="P226" s="50">
        <f t="shared" si="7"/>
        <v>0</v>
      </c>
      <c r="Q226" s="54">
        <f t="shared" si="5"/>
        <v>0</v>
      </c>
      <c r="R226" s="1"/>
    </row>
    <row r="227">
      <c r="A227" s="1"/>
      <c r="B227" s="68"/>
      <c r="C227" s="69"/>
      <c r="D227" s="70"/>
      <c r="E227" s="22" t="str">
        <f t="shared" si="1"/>
        <v/>
      </c>
      <c r="F227" s="1"/>
      <c r="G227" s="1"/>
      <c r="H227" s="1"/>
      <c r="I227" s="1"/>
      <c r="J227" s="1"/>
      <c r="K227" s="1"/>
      <c r="L227" s="58" t="str">
        <f t="shared" si="2"/>
        <v/>
      </c>
      <c r="M227" s="59" t="str">
        <f t="shared" si="3"/>
        <v/>
      </c>
      <c r="N227" s="55" t="str">
        <f t="shared" si="4"/>
        <v/>
      </c>
      <c r="O227" s="50">
        <f t="shared" si="6"/>
        <v>0</v>
      </c>
      <c r="P227" s="50">
        <f t="shared" si="7"/>
        <v>0</v>
      </c>
      <c r="Q227" s="54">
        <f t="shared" si="5"/>
        <v>0</v>
      </c>
      <c r="R227" s="1"/>
    </row>
    <row r="228">
      <c r="A228" s="1"/>
      <c r="B228" s="68"/>
      <c r="C228" s="69"/>
      <c r="D228" s="70"/>
      <c r="E228" s="22" t="str">
        <f t="shared" si="1"/>
        <v/>
      </c>
      <c r="F228" s="1"/>
      <c r="G228" s="1"/>
      <c r="H228" s="1"/>
      <c r="I228" s="1"/>
      <c r="J228" s="1"/>
      <c r="K228" s="1"/>
      <c r="L228" s="58" t="str">
        <f t="shared" si="2"/>
        <v/>
      </c>
      <c r="M228" s="59" t="str">
        <f t="shared" si="3"/>
        <v/>
      </c>
      <c r="N228" s="55" t="str">
        <f t="shared" si="4"/>
        <v/>
      </c>
      <c r="O228" s="50">
        <f t="shared" si="6"/>
        <v>0</v>
      </c>
      <c r="P228" s="50">
        <f t="shared" si="7"/>
        <v>0</v>
      </c>
      <c r="Q228" s="54">
        <f t="shared" si="5"/>
        <v>0</v>
      </c>
      <c r="R228" s="1"/>
    </row>
    <row r="229">
      <c r="A229" s="1"/>
      <c r="B229" s="68"/>
      <c r="C229" s="69"/>
      <c r="D229" s="70"/>
      <c r="E229" s="22" t="str">
        <f t="shared" si="1"/>
        <v/>
      </c>
      <c r="F229" s="1"/>
      <c r="G229" s="1"/>
      <c r="H229" s="1"/>
      <c r="I229" s="1"/>
      <c r="J229" s="1"/>
      <c r="K229" s="1"/>
      <c r="L229" s="58" t="str">
        <f t="shared" si="2"/>
        <v/>
      </c>
      <c r="M229" s="59" t="str">
        <f t="shared" si="3"/>
        <v/>
      </c>
      <c r="N229" s="55" t="str">
        <f t="shared" si="4"/>
        <v/>
      </c>
      <c r="O229" s="50">
        <f t="shared" si="6"/>
        <v>0</v>
      </c>
      <c r="P229" s="50">
        <f t="shared" si="7"/>
        <v>0</v>
      </c>
      <c r="Q229" s="54">
        <f t="shared" si="5"/>
        <v>0</v>
      </c>
      <c r="R229" s="1"/>
    </row>
    <row r="230">
      <c r="A230" s="1"/>
      <c r="B230" s="68"/>
      <c r="C230" s="69"/>
      <c r="D230" s="70"/>
      <c r="E230" s="22" t="str">
        <f t="shared" si="1"/>
        <v/>
      </c>
      <c r="F230" s="1"/>
      <c r="G230" s="1"/>
      <c r="H230" s="1"/>
      <c r="I230" s="1"/>
      <c r="J230" s="1"/>
      <c r="K230" s="1"/>
      <c r="L230" s="58" t="str">
        <f t="shared" si="2"/>
        <v/>
      </c>
      <c r="M230" s="59" t="str">
        <f t="shared" si="3"/>
        <v/>
      </c>
      <c r="N230" s="55" t="str">
        <f t="shared" si="4"/>
        <v/>
      </c>
      <c r="O230" s="50">
        <f t="shared" si="6"/>
        <v>0</v>
      </c>
      <c r="P230" s="50">
        <f t="shared" si="7"/>
        <v>0</v>
      </c>
      <c r="Q230" s="54">
        <f t="shared" si="5"/>
        <v>0</v>
      </c>
      <c r="R230" s="1"/>
    </row>
    <row r="231">
      <c r="A231" s="1"/>
      <c r="B231" s="68"/>
      <c r="C231" s="69"/>
      <c r="D231" s="70"/>
      <c r="E231" s="22" t="str">
        <f t="shared" si="1"/>
        <v/>
      </c>
      <c r="F231" s="1"/>
      <c r="G231" s="1"/>
      <c r="H231" s="1"/>
      <c r="I231" s="1"/>
      <c r="J231" s="1"/>
      <c r="K231" s="1"/>
      <c r="L231" s="58" t="str">
        <f t="shared" si="2"/>
        <v/>
      </c>
      <c r="M231" s="59" t="str">
        <f t="shared" si="3"/>
        <v/>
      </c>
      <c r="N231" s="55" t="str">
        <f t="shared" si="4"/>
        <v/>
      </c>
      <c r="O231" s="50">
        <f t="shared" si="6"/>
        <v>0</v>
      </c>
      <c r="P231" s="50">
        <f t="shared" si="7"/>
        <v>0</v>
      </c>
      <c r="Q231" s="54">
        <f t="shared" si="5"/>
        <v>0</v>
      </c>
      <c r="R231" s="1"/>
    </row>
    <row r="232">
      <c r="A232" s="1"/>
      <c r="B232" s="68"/>
      <c r="C232" s="69"/>
      <c r="D232" s="70"/>
      <c r="E232" s="22" t="str">
        <f t="shared" si="1"/>
        <v/>
      </c>
      <c r="F232" s="1"/>
      <c r="G232" s="1"/>
      <c r="H232" s="1"/>
      <c r="I232" s="1"/>
      <c r="J232" s="1"/>
      <c r="K232" s="1"/>
      <c r="L232" s="58" t="str">
        <f t="shared" si="2"/>
        <v/>
      </c>
      <c r="M232" s="59" t="str">
        <f t="shared" si="3"/>
        <v/>
      </c>
      <c r="N232" s="55" t="str">
        <f t="shared" si="4"/>
        <v/>
      </c>
      <c r="O232" s="50">
        <f t="shared" si="6"/>
        <v>0</v>
      </c>
      <c r="P232" s="50">
        <f t="shared" si="7"/>
        <v>0</v>
      </c>
      <c r="Q232" s="54">
        <f t="shared" si="5"/>
        <v>0</v>
      </c>
      <c r="R232" s="1"/>
    </row>
    <row r="233">
      <c r="A233" s="1"/>
      <c r="B233" s="68"/>
      <c r="C233" s="69"/>
      <c r="D233" s="70"/>
      <c r="E233" s="22" t="str">
        <f t="shared" si="1"/>
        <v/>
      </c>
      <c r="F233" s="1"/>
      <c r="G233" s="1"/>
      <c r="H233" s="1"/>
      <c r="I233" s="1"/>
      <c r="J233" s="1"/>
      <c r="K233" s="1"/>
      <c r="L233" s="58" t="str">
        <f t="shared" si="2"/>
        <v/>
      </c>
      <c r="M233" s="59" t="str">
        <f t="shared" si="3"/>
        <v/>
      </c>
      <c r="N233" s="55" t="str">
        <f t="shared" si="4"/>
        <v/>
      </c>
      <c r="O233" s="50">
        <f t="shared" si="6"/>
        <v>0</v>
      </c>
      <c r="P233" s="50">
        <f t="shared" si="7"/>
        <v>0</v>
      </c>
      <c r="Q233" s="54">
        <f t="shared" si="5"/>
        <v>0</v>
      </c>
      <c r="R233" s="1"/>
    </row>
    <row r="234">
      <c r="A234" s="1"/>
      <c r="B234" s="68"/>
      <c r="C234" s="69"/>
      <c r="D234" s="70"/>
      <c r="E234" s="22" t="str">
        <f t="shared" si="1"/>
        <v/>
      </c>
      <c r="F234" s="1"/>
      <c r="G234" s="1"/>
      <c r="H234" s="1"/>
      <c r="I234" s="1"/>
      <c r="J234" s="1"/>
      <c r="K234" s="1"/>
      <c r="L234" s="58" t="str">
        <f t="shared" si="2"/>
        <v/>
      </c>
      <c r="M234" s="59" t="str">
        <f t="shared" si="3"/>
        <v/>
      </c>
      <c r="N234" s="55" t="str">
        <f t="shared" si="4"/>
        <v/>
      </c>
      <c r="O234" s="50">
        <f t="shared" si="6"/>
        <v>0</v>
      </c>
      <c r="P234" s="50">
        <f t="shared" si="7"/>
        <v>0</v>
      </c>
      <c r="Q234" s="54">
        <f t="shared" si="5"/>
        <v>0</v>
      </c>
      <c r="R234" s="1"/>
    </row>
    <row r="235">
      <c r="A235" s="1"/>
      <c r="B235" s="68"/>
      <c r="C235" s="69"/>
      <c r="D235" s="70"/>
      <c r="E235" s="22" t="str">
        <f t="shared" si="1"/>
        <v/>
      </c>
      <c r="F235" s="1"/>
      <c r="G235" s="1"/>
      <c r="H235" s="1"/>
      <c r="I235" s="1"/>
      <c r="J235" s="1"/>
      <c r="K235" s="1"/>
      <c r="L235" s="58" t="str">
        <f t="shared" si="2"/>
        <v/>
      </c>
      <c r="M235" s="59" t="str">
        <f t="shared" si="3"/>
        <v/>
      </c>
      <c r="N235" s="55" t="str">
        <f t="shared" si="4"/>
        <v/>
      </c>
      <c r="O235" s="50">
        <f t="shared" si="6"/>
        <v>0</v>
      </c>
      <c r="P235" s="50">
        <f t="shared" si="7"/>
        <v>0</v>
      </c>
      <c r="Q235" s="54">
        <f t="shared" si="5"/>
        <v>0</v>
      </c>
      <c r="R235" s="1"/>
    </row>
    <row r="236">
      <c r="A236" s="1"/>
      <c r="B236" s="68"/>
      <c r="C236" s="69"/>
      <c r="D236" s="70"/>
      <c r="E236" s="22" t="str">
        <f t="shared" si="1"/>
        <v/>
      </c>
      <c r="F236" s="1"/>
      <c r="G236" s="1"/>
      <c r="H236" s="1"/>
      <c r="I236" s="1"/>
      <c r="J236" s="1"/>
      <c r="K236" s="1"/>
      <c r="L236" s="58" t="str">
        <f t="shared" si="2"/>
        <v/>
      </c>
      <c r="M236" s="59" t="str">
        <f t="shared" si="3"/>
        <v/>
      </c>
      <c r="N236" s="55" t="str">
        <f t="shared" si="4"/>
        <v/>
      </c>
      <c r="O236" s="50">
        <f t="shared" si="6"/>
        <v>0</v>
      </c>
      <c r="P236" s="50">
        <f t="shared" si="7"/>
        <v>0</v>
      </c>
      <c r="Q236" s="54">
        <f t="shared" si="5"/>
        <v>0</v>
      </c>
      <c r="R236" s="1"/>
    </row>
    <row r="237">
      <c r="A237" s="1"/>
      <c r="B237" s="68"/>
      <c r="C237" s="69"/>
      <c r="D237" s="70"/>
      <c r="E237" s="22" t="str">
        <f t="shared" si="1"/>
        <v/>
      </c>
      <c r="F237" s="1"/>
      <c r="G237" s="1"/>
      <c r="H237" s="1"/>
      <c r="I237" s="1"/>
      <c r="J237" s="1"/>
      <c r="K237" s="1"/>
      <c r="L237" s="58" t="str">
        <f t="shared" si="2"/>
        <v/>
      </c>
      <c r="M237" s="59" t="str">
        <f t="shared" si="3"/>
        <v/>
      </c>
      <c r="N237" s="55" t="str">
        <f t="shared" si="4"/>
        <v/>
      </c>
      <c r="O237" s="50">
        <f t="shared" si="6"/>
        <v>0</v>
      </c>
      <c r="P237" s="50">
        <f t="shared" si="7"/>
        <v>0</v>
      </c>
      <c r="Q237" s="54">
        <f t="shared" si="5"/>
        <v>0</v>
      </c>
      <c r="R237" s="1"/>
    </row>
    <row r="238">
      <c r="A238" s="1"/>
      <c r="B238" s="68"/>
      <c r="C238" s="69"/>
      <c r="D238" s="70"/>
      <c r="E238" s="22" t="str">
        <f t="shared" si="1"/>
        <v/>
      </c>
      <c r="F238" s="1"/>
      <c r="G238" s="1"/>
      <c r="H238" s="1"/>
      <c r="I238" s="1"/>
      <c r="J238" s="1"/>
      <c r="K238" s="1"/>
      <c r="L238" s="58" t="str">
        <f t="shared" si="2"/>
        <v/>
      </c>
      <c r="M238" s="59" t="str">
        <f t="shared" si="3"/>
        <v/>
      </c>
      <c r="N238" s="55" t="str">
        <f t="shared" si="4"/>
        <v/>
      </c>
      <c r="O238" s="50">
        <f t="shared" si="6"/>
        <v>0</v>
      </c>
      <c r="P238" s="50">
        <f t="shared" si="7"/>
        <v>0</v>
      </c>
      <c r="Q238" s="54">
        <f t="shared" si="5"/>
        <v>0</v>
      </c>
      <c r="R238" s="1"/>
    </row>
    <row r="239">
      <c r="A239" s="1"/>
      <c r="B239" s="68"/>
      <c r="C239" s="69"/>
      <c r="D239" s="70"/>
      <c r="E239" s="22" t="str">
        <f t="shared" si="1"/>
        <v/>
      </c>
      <c r="F239" s="1"/>
      <c r="G239" s="1"/>
      <c r="H239" s="1"/>
      <c r="I239" s="1"/>
      <c r="J239" s="1"/>
      <c r="K239" s="1"/>
      <c r="L239" s="58" t="str">
        <f t="shared" si="2"/>
        <v/>
      </c>
      <c r="M239" s="59" t="str">
        <f t="shared" si="3"/>
        <v/>
      </c>
      <c r="N239" s="55" t="str">
        <f t="shared" si="4"/>
        <v/>
      </c>
      <c r="O239" s="50">
        <f t="shared" si="6"/>
        <v>0</v>
      </c>
      <c r="P239" s="50">
        <f t="shared" si="7"/>
        <v>0</v>
      </c>
      <c r="Q239" s="54">
        <f t="shared" si="5"/>
        <v>0</v>
      </c>
      <c r="R239" s="1"/>
    </row>
    <row r="240">
      <c r="A240" s="1"/>
      <c r="B240" s="68"/>
      <c r="C240" s="69"/>
      <c r="D240" s="70"/>
      <c r="E240" s="22" t="str">
        <f t="shared" si="1"/>
        <v/>
      </c>
      <c r="F240" s="1"/>
      <c r="G240" s="1"/>
      <c r="H240" s="1"/>
      <c r="I240" s="1"/>
      <c r="J240" s="1"/>
      <c r="K240" s="1"/>
      <c r="L240" s="58" t="str">
        <f t="shared" si="2"/>
        <v/>
      </c>
      <c r="M240" s="59" t="str">
        <f t="shared" si="3"/>
        <v/>
      </c>
      <c r="N240" s="55" t="str">
        <f t="shared" si="4"/>
        <v/>
      </c>
      <c r="O240" s="50">
        <f t="shared" si="6"/>
        <v>0</v>
      </c>
      <c r="P240" s="50">
        <f t="shared" si="7"/>
        <v>0</v>
      </c>
      <c r="Q240" s="54">
        <f t="shared" si="5"/>
        <v>0</v>
      </c>
      <c r="R240" s="1"/>
    </row>
    <row r="241">
      <c r="A241" s="1"/>
      <c r="B241" s="68"/>
      <c r="C241" s="69"/>
      <c r="D241" s="70"/>
      <c r="E241" s="22" t="str">
        <f t="shared" si="1"/>
        <v/>
      </c>
      <c r="F241" s="1"/>
      <c r="G241" s="1"/>
      <c r="H241" s="1"/>
      <c r="I241" s="1"/>
      <c r="J241" s="1"/>
      <c r="K241" s="1"/>
      <c r="L241" s="58" t="str">
        <f t="shared" si="2"/>
        <v/>
      </c>
      <c r="M241" s="59" t="str">
        <f t="shared" si="3"/>
        <v/>
      </c>
      <c r="N241" s="55" t="str">
        <f t="shared" si="4"/>
        <v/>
      </c>
      <c r="O241" s="50">
        <f t="shared" si="6"/>
        <v>0</v>
      </c>
      <c r="P241" s="50">
        <f t="shared" si="7"/>
        <v>0</v>
      </c>
      <c r="Q241" s="54">
        <f t="shared" si="5"/>
        <v>0</v>
      </c>
      <c r="R241" s="1"/>
    </row>
    <row r="242">
      <c r="A242" s="1"/>
      <c r="B242" s="68"/>
      <c r="C242" s="69"/>
      <c r="D242" s="70"/>
      <c r="E242" s="22" t="str">
        <f t="shared" si="1"/>
        <v/>
      </c>
      <c r="F242" s="1"/>
      <c r="G242" s="1"/>
      <c r="H242" s="1"/>
      <c r="I242" s="1"/>
      <c r="J242" s="1"/>
      <c r="K242" s="1"/>
      <c r="L242" s="58" t="str">
        <f t="shared" si="2"/>
        <v/>
      </c>
      <c r="M242" s="59" t="str">
        <f t="shared" si="3"/>
        <v/>
      </c>
      <c r="N242" s="55" t="str">
        <f t="shared" si="4"/>
        <v/>
      </c>
      <c r="O242" s="50">
        <f t="shared" si="6"/>
        <v>0</v>
      </c>
      <c r="P242" s="50">
        <f t="shared" si="7"/>
        <v>0</v>
      </c>
      <c r="Q242" s="54">
        <f t="shared" si="5"/>
        <v>0</v>
      </c>
      <c r="R242" s="1"/>
    </row>
    <row r="243">
      <c r="A243" s="1"/>
      <c r="B243" s="68"/>
      <c r="C243" s="69"/>
      <c r="D243" s="70"/>
      <c r="E243" s="22" t="str">
        <f t="shared" si="1"/>
        <v/>
      </c>
      <c r="F243" s="1"/>
      <c r="G243" s="1"/>
      <c r="H243" s="1"/>
      <c r="I243" s="1"/>
      <c r="J243" s="1"/>
      <c r="K243" s="1"/>
      <c r="L243" s="58" t="str">
        <f t="shared" si="2"/>
        <v/>
      </c>
      <c r="M243" s="59" t="str">
        <f t="shared" si="3"/>
        <v/>
      </c>
      <c r="N243" s="55" t="str">
        <f t="shared" si="4"/>
        <v/>
      </c>
      <c r="O243" s="50">
        <f t="shared" si="6"/>
        <v>0</v>
      </c>
      <c r="P243" s="50">
        <f t="shared" si="7"/>
        <v>0</v>
      </c>
      <c r="Q243" s="54">
        <f t="shared" si="5"/>
        <v>0</v>
      </c>
      <c r="R243" s="1"/>
    </row>
    <row r="244">
      <c r="A244" s="1"/>
      <c r="B244" s="68"/>
      <c r="C244" s="69"/>
      <c r="D244" s="70"/>
      <c r="E244" s="22" t="str">
        <f t="shared" si="1"/>
        <v/>
      </c>
      <c r="F244" s="1"/>
      <c r="G244" s="1"/>
      <c r="H244" s="1"/>
      <c r="I244" s="1"/>
      <c r="J244" s="1"/>
      <c r="K244" s="1"/>
      <c r="L244" s="58" t="str">
        <f t="shared" si="2"/>
        <v/>
      </c>
      <c r="M244" s="59" t="str">
        <f t="shared" si="3"/>
        <v/>
      </c>
      <c r="N244" s="55" t="str">
        <f t="shared" si="4"/>
        <v/>
      </c>
      <c r="O244" s="50">
        <f t="shared" si="6"/>
        <v>0</v>
      </c>
      <c r="P244" s="50">
        <f t="shared" si="7"/>
        <v>0</v>
      </c>
      <c r="Q244" s="54">
        <f t="shared" si="5"/>
        <v>0</v>
      </c>
      <c r="R244" s="1"/>
    </row>
    <row r="245">
      <c r="A245" s="1"/>
      <c r="B245" s="68"/>
      <c r="C245" s="69"/>
      <c r="D245" s="70"/>
      <c r="E245" s="22" t="str">
        <f t="shared" si="1"/>
        <v/>
      </c>
      <c r="F245" s="1"/>
      <c r="G245" s="1"/>
      <c r="H245" s="1"/>
      <c r="I245" s="1"/>
      <c r="J245" s="1"/>
      <c r="K245" s="1"/>
      <c r="L245" s="58" t="str">
        <f t="shared" si="2"/>
        <v/>
      </c>
      <c r="M245" s="59" t="str">
        <f t="shared" si="3"/>
        <v/>
      </c>
      <c r="N245" s="55" t="str">
        <f t="shared" si="4"/>
        <v/>
      </c>
      <c r="O245" s="50">
        <f t="shared" si="6"/>
        <v>0</v>
      </c>
      <c r="P245" s="50">
        <f t="shared" si="7"/>
        <v>0</v>
      </c>
      <c r="Q245" s="54">
        <f t="shared" si="5"/>
        <v>0</v>
      </c>
      <c r="R245" s="1"/>
    </row>
    <row r="246">
      <c r="A246" s="1"/>
      <c r="B246" s="68"/>
      <c r="C246" s="69"/>
      <c r="D246" s="70"/>
      <c r="E246" s="22" t="str">
        <f t="shared" si="1"/>
        <v/>
      </c>
      <c r="F246" s="1"/>
      <c r="G246" s="1"/>
      <c r="H246" s="1"/>
      <c r="I246" s="1"/>
      <c r="J246" s="1"/>
      <c r="K246" s="1"/>
      <c r="L246" s="58" t="str">
        <f t="shared" si="2"/>
        <v/>
      </c>
      <c r="M246" s="59" t="str">
        <f t="shared" si="3"/>
        <v/>
      </c>
      <c r="N246" s="55" t="str">
        <f t="shared" si="4"/>
        <v/>
      </c>
      <c r="O246" s="50">
        <f t="shared" si="6"/>
        <v>0</v>
      </c>
      <c r="P246" s="50">
        <f t="shared" si="7"/>
        <v>0</v>
      </c>
      <c r="Q246" s="54">
        <f t="shared" si="5"/>
        <v>0</v>
      </c>
      <c r="R246" s="1"/>
    </row>
    <row r="247">
      <c r="A247" s="1"/>
      <c r="B247" s="68"/>
      <c r="C247" s="69"/>
      <c r="D247" s="70"/>
      <c r="E247" s="22" t="str">
        <f t="shared" si="1"/>
        <v/>
      </c>
      <c r="F247" s="1"/>
      <c r="G247" s="1"/>
      <c r="H247" s="1"/>
      <c r="I247" s="1"/>
      <c r="J247" s="1"/>
      <c r="K247" s="1"/>
      <c r="L247" s="58" t="str">
        <f t="shared" si="2"/>
        <v/>
      </c>
      <c r="M247" s="59" t="str">
        <f t="shared" si="3"/>
        <v/>
      </c>
      <c r="N247" s="55" t="str">
        <f t="shared" si="4"/>
        <v/>
      </c>
      <c r="O247" s="50">
        <f t="shared" si="6"/>
        <v>0</v>
      </c>
      <c r="P247" s="50">
        <f t="shared" si="7"/>
        <v>0</v>
      </c>
      <c r="Q247" s="54">
        <f t="shared" si="5"/>
        <v>0</v>
      </c>
      <c r="R247" s="1"/>
    </row>
    <row r="248">
      <c r="A248" s="1"/>
      <c r="B248" s="68"/>
      <c r="C248" s="69"/>
      <c r="D248" s="70"/>
      <c r="E248" s="22" t="str">
        <f t="shared" si="1"/>
        <v/>
      </c>
      <c r="F248" s="1"/>
      <c r="G248" s="1"/>
      <c r="H248" s="1"/>
      <c r="I248" s="1"/>
      <c r="J248" s="1"/>
      <c r="K248" s="1"/>
      <c r="L248" s="58" t="str">
        <f t="shared" si="2"/>
        <v/>
      </c>
      <c r="M248" s="59" t="str">
        <f t="shared" si="3"/>
        <v/>
      </c>
      <c r="N248" s="55" t="str">
        <f t="shared" si="4"/>
        <v/>
      </c>
      <c r="O248" s="50">
        <f t="shared" si="6"/>
        <v>0</v>
      </c>
      <c r="P248" s="50">
        <f t="shared" si="7"/>
        <v>0</v>
      </c>
      <c r="Q248" s="54">
        <f t="shared" si="5"/>
        <v>0</v>
      </c>
      <c r="R248" s="1"/>
    </row>
    <row r="249">
      <c r="A249" s="1"/>
      <c r="B249" s="68"/>
      <c r="C249" s="69"/>
      <c r="D249" s="70"/>
      <c r="E249" s="22" t="str">
        <f t="shared" si="1"/>
        <v/>
      </c>
      <c r="F249" s="1"/>
      <c r="G249" s="1"/>
      <c r="H249" s="1"/>
      <c r="I249" s="1"/>
      <c r="J249" s="1"/>
      <c r="K249" s="1"/>
      <c r="L249" s="58" t="str">
        <f t="shared" si="2"/>
        <v/>
      </c>
      <c r="M249" s="59" t="str">
        <f t="shared" si="3"/>
        <v/>
      </c>
      <c r="N249" s="55" t="str">
        <f t="shared" si="4"/>
        <v/>
      </c>
      <c r="O249" s="50">
        <f t="shared" si="6"/>
        <v>0</v>
      </c>
      <c r="P249" s="50">
        <f t="shared" si="7"/>
        <v>0</v>
      </c>
      <c r="Q249" s="54">
        <f t="shared" si="5"/>
        <v>0</v>
      </c>
      <c r="R249" s="1"/>
    </row>
    <row r="250">
      <c r="A250" s="1"/>
      <c r="B250" s="68"/>
      <c r="C250" s="69"/>
      <c r="D250" s="70"/>
      <c r="E250" s="22" t="str">
        <f t="shared" si="1"/>
        <v/>
      </c>
      <c r="F250" s="1"/>
      <c r="G250" s="1"/>
      <c r="H250" s="1"/>
      <c r="I250" s="1"/>
      <c r="J250" s="1"/>
      <c r="K250" s="1"/>
      <c r="L250" s="58" t="str">
        <f t="shared" si="2"/>
        <v/>
      </c>
      <c r="M250" s="59" t="str">
        <f t="shared" si="3"/>
        <v/>
      </c>
      <c r="N250" s="55" t="str">
        <f t="shared" si="4"/>
        <v/>
      </c>
      <c r="O250" s="50">
        <f t="shared" si="6"/>
        <v>0</v>
      </c>
      <c r="P250" s="50">
        <f t="shared" si="7"/>
        <v>0</v>
      </c>
      <c r="Q250" s="54">
        <f t="shared" si="5"/>
        <v>0</v>
      </c>
      <c r="R250" s="1"/>
    </row>
    <row r="251">
      <c r="A251" s="1"/>
      <c r="B251" s="68"/>
      <c r="C251" s="69"/>
      <c r="D251" s="70"/>
      <c r="E251" s="22" t="str">
        <f t="shared" si="1"/>
        <v/>
      </c>
      <c r="F251" s="1"/>
      <c r="G251" s="1"/>
      <c r="H251" s="1"/>
      <c r="I251" s="1"/>
      <c r="J251" s="1"/>
      <c r="K251" s="1"/>
      <c r="L251" s="58" t="str">
        <f t="shared" si="2"/>
        <v/>
      </c>
      <c r="M251" s="59" t="str">
        <f t="shared" si="3"/>
        <v/>
      </c>
      <c r="N251" s="55" t="str">
        <f t="shared" si="4"/>
        <v/>
      </c>
      <c r="O251" s="50">
        <f t="shared" si="6"/>
        <v>0</v>
      </c>
      <c r="P251" s="50">
        <f t="shared" si="7"/>
        <v>0</v>
      </c>
      <c r="Q251" s="54">
        <f t="shared" si="5"/>
        <v>0</v>
      </c>
      <c r="R251" s="1"/>
    </row>
    <row r="252">
      <c r="A252" s="1"/>
      <c r="B252" s="68"/>
      <c r="C252" s="69"/>
      <c r="D252" s="70"/>
      <c r="E252" s="22" t="str">
        <f t="shared" si="1"/>
        <v/>
      </c>
      <c r="F252" s="1"/>
      <c r="G252" s="1"/>
      <c r="H252" s="1"/>
      <c r="I252" s="1"/>
      <c r="J252" s="1"/>
      <c r="K252" s="1"/>
      <c r="L252" s="58" t="str">
        <f t="shared" si="2"/>
        <v/>
      </c>
      <c r="M252" s="59" t="str">
        <f t="shared" si="3"/>
        <v/>
      </c>
      <c r="N252" s="55" t="str">
        <f t="shared" si="4"/>
        <v/>
      </c>
      <c r="O252" s="50">
        <f t="shared" si="6"/>
        <v>0</v>
      </c>
      <c r="P252" s="50">
        <f t="shared" si="7"/>
        <v>0</v>
      </c>
      <c r="Q252" s="54">
        <f t="shared" si="5"/>
        <v>0</v>
      </c>
      <c r="R252" s="1"/>
    </row>
    <row r="253">
      <c r="A253" s="1"/>
      <c r="B253" s="68"/>
      <c r="C253" s="69"/>
      <c r="D253" s="70"/>
      <c r="E253" s="22" t="str">
        <f t="shared" si="1"/>
        <v/>
      </c>
      <c r="F253" s="1"/>
      <c r="G253" s="1"/>
      <c r="H253" s="1"/>
      <c r="I253" s="1"/>
      <c r="J253" s="1"/>
      <c r="K253" s="1"/>
      <c r="L253" s="58" t="str">
        <f t="shared" si="2"/>
        <v/>
      </c>
      <c r="M253" s="59" t="str">
        <f t="shared" si="3"/>
        <v/>
      </c>
      <c r="N253" s="55" t="str">
        <f t="shared" si="4"/>
        <v/>
      </c>
      <c r="O253" s="50">
        <f t="shared" si="6"/>
        <v>0</v>
      </c>
      <c r="P253" s="50">
        <f t="shared" si="7"/>
        <v>0</v>
      </c>
      <c r="Q253" s="54">
        <f t="shared" si="5"/>
        <v>0</v>
      </c>
      <c r="R253" s="1"/>
    </row>
    <row r="254">
      <c r="A254" s="1"/>
      <c r="B254" s="68"/>
      <c r="C254" s="69"/>
      <c r="D254" s="70"/>
      <c r="E254" s="22" t="str">
        <f t="shared" si="1"/>
        <v/>
      </c>
      <c r="F254" s="1"/>
      <c r="G254" s="1"/>
      <c r="H254" s="1"/>
      <c r="I254" s="1"/>
      <c r="J254" s="1"/>
      <c r="K254" s="1"/>
      <c r="L254" s="58" t="str">
        <f t="shared" si="2"/>
        <v/>
      </c>
      <c r="M254" s="59" t="str">
        <f t="shared" si="3"/>
        <v/>
      </c>
      <c r="N254" s="55" t="str">
        <f t="shared" si="4"/>
        <v/>
      </c>
      <c r="O254" s="50">
        <f t="shared" si="6"/>
        <v>0</v>
      </c>
      <c r="P254" s="50">
        <f t="shared" si="7"/>
        <v>0</v>
      </c>
      <c r="Q254" s="54">
        <f t="shared" si="5"/>
        <v>0</v>
      </c>
      <c r="R254" s="1"/>
    </row>
    <row r="255">
      <c r="A255" s="1"/>
      <c r="B255" s="68"/>
      <c r="C255" s="69"/>
      <c r="D255" s="70"/>
      <c r="E255" s="22" t="str">
        <f t="shared" si="1"/>
        <v/>
      </c>
      <c r="F255" s="1"/>
      <c r="G255" s="1"/>
      <c r="H255" s="1"/>
      <c r="I255" s="1"/>
      <c r="J255" s="1"/>
      <c r="K255" s="1"/>
      <c r="L255" s="58" t="str">
        <f t="shared" si="2"/>
        <v/>
      </c>
      <c r="M255" s="59" t="str">
        <f t="shared" si="3"/>
        <v/>
      </c>
      <c r="N255" s="55" t="str">
        <f t="shared" si="4"/>
        <v/>
      </c>
      <c r="O255" s="50">
        <f t="shared" si="6"/>
        <v>0</v>
      </c>
      <c r="P255" s="50">
        <f t="shared" si="7"/>
        <v>0</v>
      </c>
      <c r="Q255" s="54">
        <f t="shared" si="5"/>
        <v>0</v>
      </c>
      <c r="R255" s="1"/>
    </row>
    <row r="256">
      <c r="A256" s="1"/>
      <c r="B256" s="68"/>
      <c r="C256" s="69"/>
      <c r="D256" s="70"/>
      <c r="E256" s="22" t="str">
        <f t="shared" si="1"/>
        <v/>
      </c>
      <c r="F256" s="1"/>
      <c r="G256" s="1"/>
      <c r="H256" s="1"/>
      <c r="I256" s="1"/>
      <c r="J256" s="1"/>
      <c r="K256" s="1"/>
      <c r="L256" s="58" t="str">
        <f t="shared" si="2"/>
        <v/>
      </c>
      <c r="M256" s="59" t="str">
        <f t="shared" si="3"/>
        <v/>
      </c>
      <c r="N256" s="55" t="str">
        <f t="shared" si="4"/>
        <v/>
      </c>
      <c r="O256" s="50">
        <f t="shared" si="6"/>
        <v>0</v>
      </c>
      <c r="P256" s="50">
        <f t="shared" si="7"/>
        <v>0</v>
      </c>
      <c r="Q256" s="54">
        <f t="shared" si="5"/>
        <v>0</v>
      </c>
      <c r="R256" s="1"/>
    </row>
    <row r="257">
      <c r="A257" s="1"/>
      <c r="B257" s="68"/>
      <c r="C257" s="69"/>
      <c r="D257" s="70"/>
      <c r="E257" s="22" t="str">
        <f t="shared" si="1"/>
        <v/>
      </c>
      <c r="F257" s="1"/>
      <c r="G257" s="1"/>
      <c r="H257" s="1"/>
      <c r="I257" s="1"/>
      <c r="J257" s="1"/>
      <c r="K257" s="1"/>
      <c r="L257" s="58" t="str">
        <f t="shared" si="2"/>
        <v/>
      </c>
      <c r="M257" s="59" t="str">
        <f t="shared" si="3"/>
        <v/>
      </c>
      <c r="N257" s="55" t="str">
        <f t="shared" si="4"/>
        <v/>
      </c>
      <c r="O257" s="50">
        <f t="shared" si="6"/>
        <v>0</v>
      </c>
      <c r="P257" s="50">
        <f t="shared" si="7"/>
        <v>0</v>
      </c>
      <c r="Q257" s="54">
        <f t="shared" si="5"/>
        <v>0</v>
      </c>
      <c r="R257" s="1"/>
    </row>
    <row r="258">
      <c r="A258" s="1"/>
      <c r="B258" s="68"/>
      <c r="C258" s="69"/>
      <c r="D258" s="70"/>
      <c r="E258" s="22" t="str">
        <f t="shared" si="1"/>
        <v/>
      </c>
      <c r="F258" s="1"/>
      <c r="G258" s="1"/>
      <c r="H258" s="1"/>
      <c r="I258" s="1"/>
      <c r="J258" s="1"/>
      <c r="K258" s="1"/>
      <c r="L258" s="58" t="str">
        <f t="shared" si="2"/>
        <v/>
      </c>
      <c r="M258" s="59" t="str">
        <f t="shared" si="3"/>
        <v/>
      </c>
      <c r="N258" s="55" t="str">
        <f t="shared" si="4"/>
        <v/>
      </c>
      <c r="O258" s="50">
        <f t="shared" si="6"/>
        <v>0</v>
      </c>
      <c r="P258" s="50">
        <f t="shared" si="7"/>
        <v>0</v>
      </c>
      <c r="Q258" s="54">
        <f t="shared" si="5"/>
        <v>0</v>
      </c>
      <c r="R258" s="1"/>
    </row>
    <row r="259">
      <c r="A259" s="1"/>
      <c r="B259" s="68"/>
      <c r="C259" s="71"/>
      <c r="D259" s="70"/>
      <c r="E259" s="22" t="str">
        <f t="shared" si="1"/>
        <v/>
      </c>
      <c r="F259" s="1"/>
      <c r="G259" s="1"/>
      <c r="H259" s="1"/>
      <c r="I259" s="1"/>
      <c r="J259" s="1"/>
      <c r="K259" s="1"/>
      <c r="L259" s="58" t="str">
        <f t="shared" si="2"/>
        <v/>
      </c>
      <c r="M259" s="59" t="str">
        <f t="shared" si="3"/>
        <v/>
      </c>
      <c r="N259" s="55" t="str">
        <f t="shared" si="4"/>
        <v/>
      </c>
      <c r="O259" s="50">
        <f t="shared" si="6"/>
        <v>0</v>
      </c>
      <c r="P259" s="50">
        <f t="shared" si="7"/>
        <v>0</v>
      </c>
      <c r="Q259" s="54">
        <f t="shared" si="5"/>
        <v>0</v>
      </c>
      <c r="R259" s="1"/>
    </row>
    <row r="260">
      <c r="A260" s="1"/>
      <c r="B260" s="68"/>
      <c r="C260" s="69"/>
      <c r="D260" s="70"/>
      <c r="E260" s="22" t="str">
        <f t="shared" si="1"/>
        <v/>
      </c>
      <c r="F260" s="1"/>
      <c r="G260" s="1"/>
      <c r="H260" s="1"/>
      <c r="I260" s="1"/>
      <c r="J260" s="1"/>
      <c r="K260" s="1"/>
      <c r="L260" s="58" t="str">
        <f t="shared" si="2"/>
        <v/>
      </c>
      <c r="M260" s="59" t="str">
        <f t="shared" si="3"/>
        <v/>
      </c>
      <c r="N260" s="55" t="str">
        <f t="shared" si="4"/>
        <v/>
      </c>
      <c r="O260" s="50">
        <f t="shared" si="6"/>
        <v>0</v>
      </c>
      <c r="P260" s="50">
        <f t="shared" si="7"/>
        <v>0</v>
      </c>
      <c r="Q260" s="54">
        <f t="shared" si="5"/>
        <v>0</v>
      </c>
      <c r="R260" s="1"/>
    </row>
    <row r="261">
      <c r="A261" s="1"/>
      <c r="B261" s="68"/>
      <c r="C261" s="69"/>
      <c r="D261" s="70"/>
      <c r="E261" s="22" t="str">
        <f t="shared" si="1"/>
        <v/>
      </c>
      <c r="F261" s="1"/>
      <c r="G261" s="1"/>
      <c r="H261" s="1"/>
      <c r="I261" s="1"/>
      <c r="J261" s="1"/>
      <c r="K261" s="1"/>
      <c r="L261" s="58" t="str">
        <f t="shared" si="2"/>
        <v/>
      </c>
      <c r="M261" s="59" t="str">
        <f t="shared" si="3"/>
        <v/>
      </c>
      <c r="N261" s="55" t="str">
        <f t="shared" si="4"/>
        <v/>
      </c>
      <c r="O261" s="50">
        <f t="shared" si="6"/>
        <v>0</v>
      </c>
      <c r="P261" s="50">
        <f t="shared" si="7"/>
        <v>0</v>
      </c>
      <c r="Q261" s="54">
        <f t="shared" si="5"/>
        <v>0</v>
      </c>
      <c r="R261" s="1"/>
    </row>
    <row r="262">
      <c r="A262" s="1"/>
      <c r="B262" s="68"/>
      <c r="C262" s="69"/>
      <c r="D262" s="70"/>
      <c r="E262" s="22" t="str">
        <f t="shared" si="1"/>
        <v/>
      </c>
      <c r="F262" s="1"/>
      <c r="G262" s="1"/>
      <c r="H262" s="1"/>
      <c r="I262" s="1"/>
      <c r="J262" s="1"/>
      <c r="K262" s="1"/>
      <c r="L262" s="58" t="str">
        <f t="shared" si="2"/>
        <v/>
      </c>
      <c r="M262" s="59" t="str">
        <f t="shared" si="3"/>
        <v/>
      </c>
      <c r="N262" s="55" t="str">
        <f t="shared" si="4"/>
        <v/>
      </c>
      <c r="O262" s="50">
        <f t="shared" si="6"/>
        <v>0</v>
      </c>
      <c r="P262" s="50">
        <f t="shared" si="7"/>
        <v>0</v>
      </c>
      <c r="Q262" s="54">
        <f t="shared" si="5"/>
        <v>0</v>
      </c>
      <c r="R262" s="1"/>
    </row>
    <row r="263">
      <c r="A263" s="1"/>
      <c r="B263" s="68"/>
      <c r="C263" s="69"/>
      <c r="D263" s="70"/>
      <c r="E263" s="22" t="str">
        <f t="shared" si="1"/>
        <v/>
      </c>
      <c r="F263" s="1"/>
      <c r="G263" s="1"/>
      <c r="H263" s="1"/>
      <c r="I263" s="1"/>
      <c r="J263" s="1"/>
      <c r="K263" s="1"/>
      <c r="L263" s="58" t="str">
        <f t="shared" si="2"/>
        <v/>
      </c>
      <c r="M263" s="59" t="str">
        <f t="shared" si="3"/>
        <v/>
      </c>
      <c r="N263" s="55" t="str">
        <f t="shared" si="4"/>
        <v/>
      </c>
      <c r="O263" s="50">
        <f t="shared" si="6"/>
        <v>0</v>
      </c>
      <c r="P263" s="50">
        <f t="shared" si="7"/>
        <v>0</v>
      </c>
      <c r="Q263" s="54">
        <f t="shared" si="5"/>
        <v>0</v>
      </c>
      <c r="R263" s="1"/>
    </row>
    <row r="264">
      <c r="A264" s="1"/>
      <c r="B264" s="68"/>
      <c r="C264" s="69"/>
      <c r="D264" s="70"/>
      <c r="E264" s="22" t="str">
        <f t="shared" si="1"/>
        <v/>
      </c>
      <c r="F264" s="1"/>
      <c r="G264" s="1"/>
      <c r="H264" s="1"/>
      <c r="I264" s="1"/>
      <c r="J264" s="1"/>
      <c r="K264" s="1"/>
      <c r="L264" s="58" t="str">
        <f t="shared" si="2"/>
        <v/>
      </c>
      <c r="M264" s="59" t="str">
        <f t="shared" si="3"/>
        <v/>
      </c>
      <c r="N264" s="55" t="str">
        <f t="shared" si="4"/>
        <v/>
      </c>
      <c r="O264" s="50">
        <f t="shared" si="6"/>
        <v>0</v>
      </c>
      <c r="P264" s="50">
        <f t="shared" si="7"/>
        <v>0</v>
      </c>
      <c r="Q264" s="54">
        <f t="shared" si="5"/>
        <v>0</v>
      </c>
      <c r="R264" s="1"/>
    </row>
    <row r="265">
      <c r="A265" s="1"/>
      <c r="B265" s="68"/>
      <c r="C265" s="69"/>
      <c r="D265" s="70"/>
      <c r="E265" s="22" t="str">
        <f t="shared" si="1"/>
        <v/>
      </c>
      <c r="F265" s="1"/>
      <c r="G265" s="1"/>
      <c r="H265" s="1"/>
      <c r="I265" s="1"/>
      <c r="J265" s="1"/>
      <c r="K265" s="1"/>
      <c r="L265" s="58" t="str">
        <f t="shared" si="2"/>
        <v/>
      </c>
      <c r="M265" s="59" t="str">
        <f t="shared" si="3"/>
        <v/>
      </c>
      <c r="N265" s="55" t="str">
        <f t="shared" si="4"/>
        <v/>
      </c>
      <c r="O265" s="50">
        <f t="shared" si="6"/>
        <v>0</v>
      </c>
      <c r="P265" s="50">
        <f t="shared" si="7"/>
        <v>0</v>
      </c>
      <c r="Q265" s="54">
        <f t="shared" si="5"/>
        <v>0</v>
      </c>
      <c r="R265" s="1"/>
    </row>
    <row r="266">
      <c r="A266" s="1"/>
      <c r="B266" s="68"/>
      <c r="C266" s="69"/>
      <c r="D266" s="70"/>
      <c r="E266" s="22" t="str">
        <f t="shared" si="1"/>
        <v/>
      </c>
      <c r="F266" s="1"/>
      <c r="G266" s="1"/>
      <c r="H266" s="1"/>
      <c r="I266" s="1"/>
      <c r="J266" s="1"/>
      <c r="K266" s="1"/>
      <c r="L266" s="58" t="str">
        <f t="shared" si="2"/>
        <v/>
      </c>
      <c r="M266" s="59" t="str">
        <f t="shared" si="3"/>
        <v/>
      </c>
      <c r="N266" s="55" t="str">
        <f t="shared" si="4"/>
        <v/>
      </c>
      <c r="O266" s="50">
        <f t="shared" si="6"/>
        <v>0</v>
      </c>
      <c r="P266" s="50">
        <f t="shared" si="7"/>
        <v>0</v>
      </c>
      <c r="Q266" s="54">
        <f t="shared" si="5"/>
        <v>0</v>
      </c>
      <c r="R266" s="1"/>
    </row>
    <row r="267">
      <c r="A267" s="1"/>
      <c r="B267" s="68"/>
      <c r="C267" s="71"/>
      <c r="D267" s="70"/>
      <c r="E267" s="22" t="str">
        <f t="shared" si="1"/>
        <v/>
      </c>
      <c r="F267" s="1"/>
      <c r="G267" s="1"/>
      <c r="H267" s="1"/>
      <c r="I267" s="1"/>
      <c r="J267" s="1"/>
      <c r="K267" s="1"/>
      <c r="L267" s="58" t="str">
        <f t="shared" si="2"/>
        <v/>
      </c>
      <c r="M267" s="59" t="str">
        <f t="shared" si="3"/>
        <v/>
      </c>
      <c r="N267" s="55" t="str">
        <f t="shared" si="4"/>
        <v/>
      </c>
      <c r="O267" s="50">
        <f t="shared" si="6"/>
        <v>0</v>
      </c>
      <c r="P267" s="50">
        <f t="shared" si="7"/>
        <v>0</v>
      </c>
      <c r="Q267" s="54">
        <f t="shared" si="5"/>
        <v>0</v>
      </c>
      <c r="R267" s="1"/>
    </row>
    <row r="268">
      <c r="A268" s="1"/>
      <c r="B268" s="68"/>
      <c r="C268" s="69"/>
      <c r="D268" s="70"/>
      <c r="E268" s="22" t="str">
        <f t="shared" si="1"/>
        <v/>
      </c>
      <c r="F268" s="1"/>
      <c r="G268" s="1"/>
      <c r="H268" s="1"/>
      <c r="I268" s="1"/>
      <c r="J268" s="1"/>
      <c r="K268" s="1"/>
      <c r="L268" s="58" t="str">
        <f t="shared" si="2"/>
        <v/>
      </c>
      <c r="M268" s="59" t="str">
        <f t="shared" si="3"/>
        <v/>
      </c>
      <c r="N268" s="55" t="str">
        <f t="shared" si="4"/>
        <v/>
      </c>
      <c r="O268" s="50">
        <f t="shared" si="6"/>
        <v>0</v>
      </c>
      <c r="P268" s="50">
        <f t="shared" si="7"/>
        <v>0</v>
      </c>
      <c r="Q268" s="54">
        <f t="shared" si="5"/>
        <v>0</v>
      </c>
      <c r="R268" s="1"/>
    </row>
    <row r="269">
      <c r="A269" s="1"/>
      <c r="B269" s="68"/>
      <c r="C269" s="69"/>
      <c r="D269" s="70"/>
      <c r="E269" s="22" t="str">
        <f t="shared" si="1"/>
        <v/>
      </c>
      <c r="F269" s="1"/>
      <c r="G269" s="1"/>
      <c r="H269" s="1"/>
      <c r="I269" s="1"/>
      <c r="J269" s="1"/>
      <c r="K269" s="1"/>
      <c r="L269" s="58" t="str">
        <f t="shared" si="2"/>
        <v/>
      </c>
      <c r="M269" s="59" t="str">
        <f t="shared" si="3"/>
        <v/>
      </c>
      <c r="N269" s="55" t="str">
        <f t="shared" si="4"/>
        <v/>
      </c>
      <c r="O269" s="50">
        <f t="shared" si="6"/>
        <v>0</v>
      </c>
      <c r="P269" s="50">
        <f t="shared" si="7"/>
        <v>0</v>
      </c>
      <c r="Q269" s="54">
        <f t="shared" si="5"/>
        <v>0</v>
      </c>
      <c r="R269" s="1"/>
    </row>
    <row r="270">
      <c r="A270" s="1"/>
      <c r="B270" s="68"/>
      <c r="C270" s="69"/>
      <c r="D270" s="70"/>
      <c r="E270" s="22" t="str">
        <f t="shared" si="1"/>
        <v/>
      </c>
      <c r="F270" s="1"/>
      <c r="G270" s="1"/>
      <c r="H270" s="1"/>
      <c r="I270" s="1"/>
      <c r="J270" s="1"/>
      <c r="K270" s="1"/>
      <c r="L270" s="58" t="str">
        <f t="shared" si="2"/>
        <v/>
      </c>
      <c r="M270" s="59" t="str">
        <f t="shared" si="3"/>
        <v/>
      </c>
      <c r="N270" s="55" t="str">
        <f t="shared" si="4"/>
        <v/>
      </c>
      <c r="O270" s="50">
        <f t="shared" si="6"/>
        <v>0</v>
      </c>
      <c r="P270" s="50">
        <f t="shared" si="7"/>
        <v>0</v>
      </c>
      <c r="Q270" s="54">
        <f t="shared" si="5"/>
        <v>0</v>
      </c>
      <c r="R270" s="1"/>
    </row>
    <row r="271">
      <c r="A271" s="1"/>
      <c r="B271" s="68"/>
      <c r="C271" s="71"/>
      <c r="D271" s="70"/>
      <c r="E271" s="22" t="str">
        <f t="shared" si="1"/>
        <v/>
      </c>
      <c r="F271" s="1"/>
      <c r="G271" s="1"/>
      <c r="H271" s="1"/>
      <c r="I271" s="1"/>
      <c r="J271" s="1"/>
      <c r="K271" s="1"/>
      <c r="L271" s="58" t="str">
        <f t="shared" si="2"/>
        <v/>
      </c>
      <c r="M271" s="59" t="str">
        <f t="shared" si="3"/>
        <v/>
      </c>
      <c r="N271" s="55" t="str">
        <f t="shared" si="4"/>
        <v/>
      </c>
      <c r="O271" s="50">
        <f t="shared" si="6"/>
        <v>0</v>
      </c>
      <c r="P271" s="50">
        <f t="shared" si="7"/>
        <v>0</v>
      </c>
      <c r="Q271" s="54">
        <f t="shared" si="5"/>
        <v>0</v>
      </c>
      <c r="R271" s="1"/>
    </row>
    <row r="272">
      <c r="A272" s="1"/>
      <c r="B272" s="68"/>
      <c r="C272" s="69"/>
      <c r="D272" s="70"/>
      <c r="E272" s="22" t="str">
        <f t="shared" si="1"/>
        <v/>
      </c>
      <c r="F272" s="1"/>
      <c r="G272" s="1"/>
      <c r="H272" s="1"/>
      <c r="I272" s="1"/>
      <c r="J272" s="1"/>
      <c r="K272" s="1"/>
      <c r="L272" s="58" t="str">
        <f t="shared" si="2"/>
        <v/>
      </c>
      <c r="M272" s="59" t="str">
        <f t="shared" si="3"/>
        <v/>
      </c>
      <c r="N272" s="55" t="str">
        <f t="shared" si="4"/>
        <v/>
      </c>
      <c r="O272" s="50">
        <f t="shared" si="6"/>
        <v>0</v>
      </c>
      <c r="P272" s="50">
        <f t="shared" si="7"/>
        <v>0</v>
      </c>
      <c r="Q272" s="54">
        <f t="shared" si="5"/>
        <v>0</v>
      </c>
      <c r="R272" s="1"/>
    </row>
    <row r="273">
      <c r="A273" s="1"/>
      <c r="B273" s="68"/>
      <c r="C273" s="69"/>
      <c r="D273" s="70"/>
      <c r="E273" s="22" t="str">
        <f t="shared" si="1"/>
        <v/>
      </c>
      <c r="F273" s="1"/>
      <c r="G273" s="1"/>
      <c r="H273" s="1"/>
      <c r="I273" s="1"/>
      <c r="J273" s="1"/>
      <c r="K273" s="1"/>
      <c r="L273" s="58" t="str">
        <f t="shared" si="2"/>
        <v/>
      </c>
      <c r="M273" s="59" t="str">
        <f t="shared" si="3"/>
        <v/>
      </c>
      <c r="N273" s="55" t="str">
        <f t="shared" si="4"/>
        <v/>
      </c>
      <c r="O273" s="50">
        <f t="shared" si="6"/>
        <v>0</v>
      </c>
      <c r="P273" s="50">
        <f t="shared" si="7"/>
        <v>0</v>
      </c>
      <c r="Q273" s="54">
        <f t="shared" si="5"/>
        <v>0</v>
      </c>
      <c r="R273" s="1"/>
    </row>
    <row r="274">
      <c r="A274" s="1"/>
      <c r="B274" s="68"/>
      <c r="C274" s="69"/>
      <c r="D274" s="70"/>
      <c r="E274" s="22" t="str">
        <f t="shared" si="1"/>
        <v/>
      </c>
      <c r="F274" s="1"/>
      <c r="G274" s="1"/>
      <c r="H274" s="1"/>
      <c r="I274" s="1"/>
      <c r="J274" s="1"/>
      <c r="K274" s="1"/>
      <c r="L274" s="58" t="str">
        <f t="shared" si="2"/>
        <v/>
      </c>
      <c r="M274" s="59" t="str">
        <f t="shared" si="3"/>
        <v/>
      </c>
      <c r="N274" s="55" t="str">
        <f t="shared" si="4"/>
        <v/>
      </c>
      <c r="O274" s="50">
        <f t="shared" si="6"/>
        <v>0</v>
      </c>
      <c r="P274" s="50">
        <f t="shared" si="7"/>
        <v>0</v>
      </c>
      <c r="Q274" s="54">
        <f t="shared" si="5"/>
        <v>0</v>
      </c>
      <c r="R274" s="1"/>
    </row>
    <row r="275">
      <c r="A275" s="1"/>
      <c r="B275" s="68"/>
      <c r="C275" s="69"/>
      <c r="D275" s="70"/>
      <c r="E275" s="22" t="str">
        <f t="shared" si="1"/>
        <v/>
      </c>
      <c r="F275" s="1"/>
      <c r="G275" s="1"/>
      <c r="H275" s="1"/>
      <c r="I275" s="1"/>
      <c r="J275" s="1"/>
      <c r="K275" s="1"/>
      <c r="L275" s="58" t="str">
        <f t="shared" si="2"/>
        <v/>
      </c>
      <c r="M275" s="59" t="str">
        <f t="shared" si="3"/>
        <v/>
      </c>
      <c r="N275" s="55" t="str">
        <f t="shared" si="4"/>
        <v/>
      </c>
      <c r="O275" s="50">
        <f t="shared" si="6"/>
        <v>0</v>
      </c>
      <c r="P275" s="50">
        <f t="shared" si="7"/>
        <v>0</v>
      </c>
      <c r="Q275" s="54">
        <f t="shared" si="5"/>
        <v>0</v>
      </c>
      <c r="R275" s="1"/>
    </row>
    <row r="276">
      <c r="A276" s="1"/>
      <c r="B276" s="68"/>
      <c r="C276" s="69"/>
      <c r="D276" s="70"/>
      <c r="E276" s="22" t="str">
        <f t="shared" si="1"/>
        <v/>
      </c>
      <c r="F276" s="1"/>
      <c r="G276" s="1"/>
      <c r="H276" s="1"/>
      <c r="I276" s="1"/>
      <c r="J276" s="1"/>
      <c r="K276" s="1"/>
      <c r="L276" s="58" t="str">
        <f t="shared" si="2"/>
        <v/>
      </c>
      <c r="M276" s="59" t="str">
        <f t="shared" si="3"/>
        <v/>
      </c>
      <c r="N276" s="55" t="str">
        <f t="shared" si="4"/>
        <v/>
      </c>
      <c r="O276" s="50">
        <f t="shared" si="6"/>
        <v>0</v>
      </c>
      <c r="P276" s="50">
        <f t="shared" si="7"/>
        <v>0</v>
      </c>
      <c r="Q276" s="54">
        <f t="shared" si="5"/>
        <v>0</v>
      </c>
      <c r="R276" s="1"/>
    </row>
    <row r="277">
      <c r="A277" s="1"/>
      <c r="B277" s="68"/>
      <c r="C277" s="69"/>
      <c r="D277" s="70"/>
      <c r="E277" s="22" t="str">
        <f t="shared" si="1"/>
        <v/>
      </c>
      <c r="F277" s="1"/>
      <c r="G277" s="1"/>
      <c r="H277" s="1"/>
      <c r="I277" s="1"/>
      <c r="J277" s="1"/>
      <c r="K277" s="1"/>
      <c r="L277" s="58" t="str">
        <f t="shared" si="2"/>
        <v/>
      </c>
      <c r="M277" s="59" t="str">
        <f t="shared" si="3"/>
        <v/>
      </c>
      <c r="N277" s="55" t="str">
        <f t="shared" si="4"/>
        <v/>
      </c>
      <c r="O277" s="50">
        <f t="shared" si="6"/>
        <v>0</v>
      </c>
      <c r="P277" s="50">
        <f t="shared" si="7"/>
        <v>0</v>
      </c>
      <c r="Q277" s="54">
        <f t="shared" si="5"/>
        <v>0</v>
      </c>
      <c r="R277" s="1"/>
    </row>
    <row r="278">
      <c r="A278" s="1"/>
      <c r="B278" s="68"/>
      <c r="C278" s="69"/>
      <c r="D278" s="70"/>
      <c r="E278" s="22" t="str">
        <f t="shared" si="1"/>
        <v/>
      </c>
      <c r="F278" s="1"/>
      <c r="G278" s="1"/>
      <c r="H278" s="1"/>
      <c r="I278" s="1"/>
      <c r="J278" s="1"/>
      <c r="K278" s="1"/>
      <c r="L278" s="58" t="str">
        <f t="shared" si="2"/>
        <v/>
      </c>
      <c r="M278" s="59" t="str">
        <f t="shared" si="3"/>
        <v/>
      </c>
      <c r="N278" s="55" t="str">
        <f t="shared" si="4"/>
        <v/>
      </c>
      <c r="O278" s="50">
        <f t="shared" si="6"/>
        <v>0</v>
      </c>
      <c r="P278" s="50">
        <f t="shared" si="7"/>
        <v>0</v>
      </c>
      <c r="Q278" s="54">
        <f t="shared" si="5"/>
        <v>0</v>
      </c>
      <c r="R278" s="1"/>
    </row>
    <row r="279">
      <c r="A279" s="1"/>
      <c r="B279" s="68"/>
      <c r="C279" s="69"/>
      <c r="D279" s="70"/>
      <c r="E279" s="22" t="str">
        <f t="shared" si="1"/>
        <v/>
      </c>
      <c r="F279" s="1"/>
      <c r="G279" s="1"/>
      <c r="H279" s="1"/>
      <c r="I279" s="1"/>
      <c r="J279" s="1"/>
      <c r="K279" s="1"/>
      <c r="L279" s="58" t="str">
        <f t="shared" si="2"/>
        <v/>
      </c>
      <c r="M279" s="59" t="str">
        <f t="shared" si="3"/>
        <v/>
      </c>
      <c r="N279" s="55" t="str">
        <f t="shared" si="4"/>
        <v/>
      </c>
      <c r="O279" s="50">
        <f t="shared" si="6"/>
        <v>0</v>
      </c>
      <c r="P279" s="50">
        <f t="shared" si="7"/>
        <v>0</v>
      </c>
      <c r="Q279" s="54">
        <f t="shared" si="5"/>
        <v>0</v>
      </c>
      <c r="R279" s="1"/>
    </row>
    <row r="280">
      <c r="A280" s="1"/>
      <c r="B280" s="68"/>
      <c r="C280" s="69"/>
      <c r="D280" s="70"/>
      <c r="E280" s="22" t="str">
        <f t="shared" si="1"/>
        <v/>
      </c>
      <c r="F280" s="1"/>
      <c r="G280" s="1"/>
      <c r="H280" s="1"/>
      <c r="I280" s="1"/>
      <c r="J280" s="1"/>
      <c r="K280" s="1"/>
      <c r="L280" s="58" t="str">
        <f t="shared" si="2"/>
        <v/>
      </c>
      <c r="M280" s="59" t="str">
        <f t="shared" si="3"/>
        <v/>
      </c>
      <c r="N280" s="55" t="str">
        <f t="shared" si="4"/>
        <v/>
      </c>
      <c r="O280" s="50">
        <f t="shared" si="6"/>
        <v>0</v>
      </c>
      <c r="P280" s="50">
        <f t="shared" si="7"/>
        <v>0</v>
      </c>
      <c r="Q280" s="54">
        <f t="shared" si="5"/>
        <v>0</v>
      </c>
      <c r="R280" s="1"/>
    </row>
    <row r="281">
      <c r="A281" s="1"/>
      <c r="B281" s="68"/>
      <c r="C281" s="69"/>
      <c r="D281" s="70"/>
      <c r="E281" s="22" t="str">
        <f t="shared" si="1"/>
        <v/>
      </c>
      <c r="F281" s="1"/>
      <c r="G281" s="1"/>
      <c r="H281" s="1"/>
      <c r="I281" s="1"/>
      <c r="J281" s="1"/>
      <c r="K281" s="1"/>
      <c r="L281" s="58" t="str">
        <f t="shared" si="2"/>
        <v/>
      </c>
      <c r="M281" s="59" t="str">
        <f t="shared" si="3"/>
        <v/>
      </c>
      <c r="N281" s="55" t="str">
        <f t="shared" si="4"/>
        <v/>
      </c>
      <c r="O281" s="50">
        <f t="shared" si="6"/>
        <v>0</v>
      </c>
      <c r="P281" s="50">
        <f t="shared" si="7"/>
        <v>0</v>
      </c>
      <c r="Q281" s="54">
        <f t="shared" si="5"/>
        <v>0</v>
      </c>
      <c r="R281" s="1"/>
    </row>
    <row r="282">
      <c r="A282" s="1"/>
      <c r="B282" s="68"/>
      <c r="C282" s="69"/>
      <c r="D282" s="70"/>
      <c r="E282" s="22" t="str">
        <f t="shared" si="1"/>
        <v/>
      </c>
      <c r="F282" s="1"/>
      <c r="G282" s="1"/>
      <c r="H282" s="1"/>
      <c r="I282" s="1"/>
      <c r="J282" s="1"/>
      <c r="K282" s="1"/>
      <c r="L282" s="58" t="str">
        <f t="shared" si="2"/>
        <v/>
      </c>
      <c r="M282" s="59" t="str">
        <f t="shared" si="3"/>
        <v/>
      </c>
      <c r="N282" s="55" t="str">
        <f t="shared" si="4"/>
        <v/>
      </c>
      <c r="O282" s="50">
        <f t="shared" si="6"/>
        <v>0</v>
      </c>
      <c r="P282" s="50">
        <f t="shared" si="7"/>
        <v>0</v>
      </c>
      <c r="Q282" s="54">
        <f t="shared" si="5"/>
        <v>0</v>
      </c>
      <c r="R282" s="1"/>
    </row>
    <row r="283">
      <c r="A283" s="1"/>
      <c r="B283" s="68"/>
      <c r="C283" s="69"/>
      <c r="D283" s="70"/>
      <c r="E283" s="22" t="str">
        <f t="shared" si="1"/>
        <v/>
      </c>
      <c r="F283" s="1"/>
      <c r="G283" s="1"/>
      <c r="H283" s="1"/>
      <c r="I283" s="1"/>
      <c r="J283" s="1"/>
      <c r="K283" s="1"/>
      <c r="L283" s="58" t="str">
        <f t="shared" si="2"/>
        <v/>
      </c>
      <c r="M283" s="59" t="str">
        <f t="shared" si="3"/>
        <v/>
      </c>
      <c r="N283" s="55" t="str">
        <f t="shared" si="4"/>
        <v/>
      </c>
      <c r="O283" s="50">
        <f t="shared" si="6"/>
        <v>0</v>
      </c>
      <c r="P283" s="50">
        <f t="shared" si="7"/>
        <v>0</v>
      </c>
      <c r="Q283" s="54">
        <f t="shared" si="5"/>
        <v>0</v>
      </c>
      <c r="R283" s="1"/>
    </row>
    <row r="284">
      <c r="A284" s="1"/>
      <c r="B284" s="68"/>
      <c r="C284" s="71"/>
      <c r="D284" s="70"/>
      <c r="E284" s="22" t="str">
        <f t="shared" si="1"/>
        <v/>
      </c>
      <c r="F284" s="1"/>
      <c r="G284" s="1"/>
      <c r="H284" s="1"/>
      <c r="I284" s="1"/>
      <c r="J284" s="1"/>
      <c r="K284" s="1"/>
      <c r="L284" s="58" t="str">
        <f t="shared" si="2"/>
        <v/>
      </c>
      <c r="M284" s="59" t="str">
        <f t="shared" si="3"/>
        <v/>
      </c>
      <c r="N284" s="55" t="str">
        <f t="shared" si="4"/>
        <v/>
      </c>
      <c r="O284" s="50">
        <f t="shared" si="6"/>
        <v>0</v>
      </c>
      <c r="P284" s="50">
        <f t="shared" si="7"/>
        <v>0</v>
      </c>
      <c r="Q284" s="54">
        <f t="shared" si="5"/>
        <v>0</v>
      </c>
      <c r="R284" s="1"/>
    </row>
    <row r="285">
      <c r="A285" s="1"/>
      <c r="B285" s="68"/>
      <c r="C285" s="68"/>
      <c r="D285" s="68"/>
      <c r="E285" s="22" t="str">
        <f t="shared" si="1"/>
        <v/>
      </c>
      <c r="F285" s="1"/>
      <c r="G285" s="1"/>
      <c r="H285" s="1"/>
      <c r="I285" s="1"/>
      <c r="J285" s="1"/>
      <c r="K285" s="1"/>
      <c r="L285" s="58" t="str">
        <f t="shared" si="2"/>
        <v/>
      </c>
      <c r="M285" s="59" t="str">
        <f t="shared" si="3"/>
        <v/>
      </c>
      <c r="N285" s="55" t="str">
        <f t="shared" si="4"/>
        <v/>
      </c>
      <c r="O285" s="50">
        <f t="shared" si="6"/>
        <v>0</v>
      </c>
      <c r="P285" s="50">
        <f t="shared" si="7"/>
        <v>0</v>
      </c>
      <c r="Q285" s="54">
        <f t="shared" si="5"/>
        <v>0</v>
      </c>
      <c r="R285" s="1"/>
    </row>
    <row r="286">
      <c r="A286" s="1"/>
      <c r="B286" s="68"/>
      <c r="C286" s="68"/>
      <c r="D286" s="68"/>
      <c r="E286" s="22" t="str">
        <f t="shared" si="1"/>
        <v/>
      </c>
      <c r="F286" s="1"/>
      <c r="G286" s="1"/>
      <c r="H286" s="1"/>
      <c r="I286" s="1"/>
      <c r="J286" s="1"/>
      <c r="K286" s="1"/>
      <c r="L286" s="58" t="str">
        <f t="shared" si="2"/>
        <v/>
      </c>
      <c r="M286" s="59" t="str">
        <f t="shared" si="3"/>
        <v/>
      </c>
      <c r="N286" s="55" t="str">
        <f t="shared" si="4"/>
        <v/>
      </c>
      <c r="O286" s="50">
        <f t="shared" si="6"/>
        <v>0</v>
      </c>
      <c r="P286" s="50">
        <f t="shared" si="7"/>
        <v>0</v>
      </c>
      <c r="Q286" s="54">
        <f t="shared" si="5"/>
        <v>0</v>
      </c>
      <c r="R286" s="1"/>
    </row>
    <row r="287">
      <c r="A287" s="1"/>
      <c r="B287" s="68"/>
      <c r="C287" s="68"/>
      <c r="D287" s="68"/>
      <c r="E287" s="22" t="str">
        <f t="shared" si="1"/>
        <v/>
      </c>
      <c r="F287" s="1"/>
      <c r="G287" s="1"/>
      <c r="H287" s="1"/>
      <c r="I287" s="1"/>
      <c r="J287" s="1"/>
      <c r="K287" s="1"/>
      <c r="L287" s="58" t="str">
        <f t="shared" si="2"/>
        <v/>
      </c>
      <c r="M287" s="59" t="str">
        <f t="shared" si="3"/>
        <v/>
      </c>
      <c r="N287" s="55" t="str">
        <f t="shared" si="4"/>
        <v/>
      </c>
      <c r="O287" s="50">
        <f t="shared" si="6"/>
        <v>0</v>
      </c>
      <c r="P287" s="50">
        <f t="shared" si="7"/>
        <v>0</v>
      </c>
      <c r="Q287" s="54">
        <f t="shared" si="5"/>
        <v>0</v>
      </c>
      <c r="R287" s="1"/>
    </row>
    <row r="288">
      <c r="A288" s="1"/>
      <c r="B288" s="68"/>
      <c r="C288" s="68"/>
      <c r="D288" s="68"/>
      <c r="E288" s="22" t="str">
        <f t="shared" si="1"/>
        <v/>
      </c>
      <c r="F288" s="1"/>
      <c r="G288" s="1"/>
      <c r="H288" s="1"/>
      <c r="I288" s="1"/>
      <c r="J288" s="1"/>
      <c r="K288" s="1"/>
      <c r="L288" s="58" t="str">
        <f t="shared" si="2"/>
        <v/>
      </c>
      <c r="M288" s="59" t="str">
        <f t="shared" si="3"/>
        <v/>
      </c>
      <c r="N288" s="55" t="str">
        <f t="shared" si="4"/>
        <v/>
      </c>
      <c r="O288" s="50">
        <f t="shared" si="6"/>
        <v>0</v>
      </c>
      <c r="P288" s="50">
        <f t="shared" si="7"/>
        <v>0</v>
      </c>
      <c r="Q288" s="54">
        <f t="shared" si="5"/>
        <v>0</v>
      </c>
      <c r="R288" s="1"/>
    </row>
    <row r="289">
      <c r="A289" s="1"/>
      <c r="B289" s="68"/>
      <c r="C289" s="68"/>
      <c r="D289" s="68"/>
      <c r="E289" s="22" t="str">
        <f t="shared" si="1"/>
        <v/>
      </c>
      <c r="F289" s="1"/>
      <c r="G289" s="1"/>
      <c r="H289" s="1"/>
      <c r="I289" s="1"/>
      <c r="J289" s="1"/>
      <c r="K289" s="1"/>
      <c r="L289" s="58" t="str">
        <f t="shared" si="2"/>
        <v/>
      </c>
      <c r="M289" s="59" t="str">
        <f t="shared" si="3"/>
        <v/>
      </c>
      <c r="N289" s="55" t="str">
        <f t="shared" si="4"/>
        <v/>
      </c>
      <c r="O289" s="50">
        <f t="shared" si="6"/>
        <v>0</v>
      </c>
      <c r="P289" s="50">
        <f t="shared" si="7"/>
        <v>0</v>
      </c>
      <c r="Q289" s="54">
        <f t="shared" si="5"/>
        <v>0</v>
      </c>
      <c r="R289" s="1"/>
    </row>
    <row r="290">
      <c r="A290" s="1"/>
      <c r="B290" s="68"/>
      <c r="C290" s="68"/>
      <c r="D290" s="68"/>
      <c r="E290" s="22" t="str">
        <f t="shared" si="1"/>
        <v/>
      </c>
      <c r="F290" s="1"/>
      <c r="G290" s="1"/>
      <c r="H290" s="1"/>
      <c r="I290" s="1"/>
      <c r="J290" s="1"/>
      <c r="K290" s="1"/>
      <c r="L290" s="58" t="str">
        <f t="shared" si="2"/>
        <v/>
      </c>
      <c r="M290" s="59" t="str">
        <f t="shared" si="3"/>
        <v/>
      </c>
      <c r="N290" s="55" t="str">
        <f t="shared" si="4"/>
        <v/>
      </c>
      <c r="O290" s="50">
        <f t="shared" si="6"/>
        <v>0</v>
      </c>
      <c r="P290" s="50">
        <f t="shared" si="7"/>
        <v>0</v>
      </c>
      <c r="Q290" s="54">
        <f t="shared" si="5"/>
        <v>0</v>
      </c>
      <c r="R290" s="1"/>
    </row>
    <row r="291">
      <c r="A291" s="1"/>
      <c r="B291" s="68"/>
      <c r="C291" s="68"/>
      <c r="D291" s="68"/>
      <c r="E291" s="22" t="str">
        <f t="shared" si="1"/>
        <v/>
      </c>
      <c r="F291" s="1"/>
      <c r="G291" s="1"/>
      <c r="H291" s="1"/>
      <c r="I291" s="1"/>
      <c r="J291" s="1"/>
      <c r="K291" s="1"/>
      <c r="L291" s="58" t="str">
        <f t="shared" si="2"/>
        <v/>
      </c>
      <c r="M291" s="59" t="str">
        <f t="shared" si="3"/>
        <v/>
      </c>
      <c r="N291" s="55" t="str">
        <f t="shared" si="4"/>
        <v/>
      </c>
      <c r="O291" s="50">
        <f t="shared" si="6"/>
        <v>0</v>
      </c>
      <c r="P291" s="50">
        <f t="shared" si="7"/>
        <v>0</v>
      </c>
      <c r="Q291" s="54">
        <f t="shared" si="5"/>
        <v>0</v>
      </c>
      <c r="R291" s="1"/>
    </row>
    <row r="292">
      <c r="A292" s="1"/>
      <c r="B292" s="68"/>
      <c r="C292" s="68"/>
      <c r="D292" s="68"/>
      <c r="E292" s="22" t="str">
        <f t="shared" si="1"/>
        <v/>
      </c>
      <c r="F292" s="1"/>
      <c r="G292" s="1"/>
      <c r="H292" s="1"/>
      <c r="I292" s="1"/>
      <c r="J292" s="1"/>
      <c r="K292" s="1"/>
      <c r="L292" s="58" t="str">
        <f t="shared" si="2"/>
        <v/>
      </c>
      <c r="M292" s="59" t="str">
        <f t="shared" si="3"/>
        <v/>
      </c>
      <c r="N292" s="55" t="str">
        <f t="shared" si="4"/>
        <v/>
      </c>
      <c r="O292" s="50">
        <f t="shared" si="6"/>
        <v>0</v>
      </c>
      <c r="P292" s="50">
        <f t="shared" si="7"/>
        <v>0</v>
      </c>
      <c r="Q292" s="54">
        <f t="shared" si="5"/>
        <v>0</v>
      </c>
      <c r="R292" s="1"/>
    </row>
    <row r="293">
      <c r="A293" s="1"/>
      <c r="B293" s="68"/>
      <c r="C293" s="68"/>
      <c r="D293" s="68"/>
      <c r="E293" s="22" t="str">
        <f t="shared" si="1"/>
        <v/>
      </c>
      <c r="F293" s="1"/>
      <c r="G293" s="1"/>
      <c r="H293" s="1"/>
      <c r="I293" s="1"/>
      <c r="J293" s="1"/>
      <c r="K293" s="1"/>
      <c r="L293" s="58" t="str">
        <f t="shared" si="2"/>
        <v/>
      </c>
      <c r="M293" s="59" t="str">
        <f t="shared" si="3"/>
        <v/>
      </c>
      <c r="N293" s="55" t="str">
        <f t="shared" si="4"/>
        <v/>
      </c>
      <c r="O293" s="50">
        <f t="shared" si="6"/>
        <v>0</v>
      </c>
      <c r="P293" s="50">
        <f t="shared" si="7"/>
        <v>0</v>
      </c>
      <c r="Q293" s="54">
        <f t="shared" si="5"/>
        <v>0</v>
      </c>
      <c r="R293" s="1"/>
    </row>
    <row r="294">
      <c r="A294" s="1"/>
      <c r="B294" s="68"/>
      <c r="C294" s="68"/>
      <c r="D294" s="68"/>
      <c r="E294" s="22" t="str">
        <f t="shared" si="1"/>
        <v/>
      </c>
      <c r="F294" s="1"/>
      <c r="G294" s="1"/>
      <c r="H294" s="1"/>
      <c r="I294" s="1"/>
      <c r="J294" s="1"/>
      <c r="K294" s="1"/>
      <c r="L294" s="58" t="str">
        <f t="shared" si="2"/>
        <v/>
      </c>
      <c r="M294" s="59" t="str">
        <f t="shared" si="3"/>
        <v/>
      </c>
      <c r="N294" s="55" t="str">
        <f t="shared" si="4"/>
        <v/>
      </c>
      <c r="O294" s="50">
        <f t="shared" si="6"/>
        <v>0</v>
      </c>
      <c r="P294" s="50">
        <f t="shared" si="7"/>
        <v>0</v>
      </c>
      <c r="Q294" s="54">
        <f t="shared" si="5"/>
        <v>0</v>
      </c>
      <c r="R294" s="1"/>
    </row>
    <row r="295">
      <c r="A295" s="1"/>
      <c r="B295" s="68"/>
      <c r="C295" s="68"/>
      <c r="D295" s="68"/>
      <c r="E295" s="22" t="str">
        <f t="shared" si="1"/>
        <v/>
      </c>
      <c r="F295" s="1"/>
      <c r="G295" s="1"/>
      <c r="H295" s="1"/>
      <c r="I295" s="1"/>
      <c r="J295" s="1"/>
      <c r="K295" s="1"/>
      <c r="L295" s="58" t="str">
        <f t="shared" si="2"/>
        <v/>
      </c>
      <c r="M295" s="59" t="str">
        <f t="shared" si="3"/>
        <v/>
      </c>
      <c r="N295" s="55" t="str">
        <f t="shared" si="4"/>
        <v/>
      </c>
      <c r="O295" s="50">
        <f t="shared" si="6"/>
        <v>0</v>
      </c>
      <c r="P295" s="50">
        <f t="shared" si="7"/>
        <v>0</v>
      </c>
      <c r="Q295" s="54">
        <f t="shared" si="5"/>
        <v>0</v>
      </c>
      <c r="R295" s="1"/>
    </row>
    <row r="296">
      <c r="A296" s="1"/>
      <c r="B296" s="68"/>
      <c r="C296" s="68"/>
      <c r="D296" s="68"/>
      <c r="E296" s="22" t="str">
        <f t="shared" si="1"/>
        <v/>
      </c>
      <c r="F296" s="1"/>
      <c r="G296" s="1"/>
      <c r="H296" s="1"/>
      <c r="I296" s="1"/>
      <c r="J296" s="1"/>
      <c r="K296" s="1"/>
      <c r="L296" s="58" t="str">
        <f t="shared" si="2"/>
        <v/>
      </c>
      <c r="M296" s="59" t="str">
        <f t="shared" si="3"/>
        <v/>
      </c>
      <c r="N296" s="55" t="str">
        <f t="shared" si="4"/>
        <v/>
      </c>
      <c r="O296" s="50">
        <f t="shared" si="6"/>
        <v>0</v>
      </c>
      <c r="P296" s="50">
        <f t="shared" si="7"/>
        <v>0</v>
      </c>
      <c r="Q296" s="54">
        <f t="shared" si="5"/>
        <v>0</v>
      </c>
      <c r="R296" s="1"/>
    </row>
    <row r="297">
      <c r="A297" s="1"/>
      <c r="B297" s="68"/>
      <c r="C297" s="68"/>
      <c r="D297" s="68"/>
      <c r="E297" s="22" t="str">
        <f t="shared" si="1"/>
        <v/>
      </c>
      <c r="F297" s="1"/>
      <c r="G297" s="1"/>
      <c r="H297" s="1"/>
      <c r="I297" s="1"/>
      <c r="J297" s="1"/>
      <c r="K297" s="1"/>
      <c r="L297" s="58" t="str">
        <f t="shared" si="2"/>
        <v/>
      </c>
      <c r="M297" s="59" t="str">
        <f t="shared" si="3"/>
        <v/>
      </c>
      <c r="N297" s="55" t="str">
        <f t="shared" si="4"/>
        <v/>
      </c>
      <c r="O297" s="50">
        <f t="shared" si="6"/>
        <v>0</v>
      </c>
      <c r="P297" s="50">
        <f t="shared" si="7"/>
        <v>0</v>
      </c>
      <c r="Q297" s="54">
        <f t="shared" si="5"/>
        <v>0</v>
      </c>
      <c r="R297" s="1"/>
    </row>
    <row r="298">
      <c r="A298" s="1"/>
      <c r="B298" s="68"/>
      <c r="C298" s="68"/>
      <c r="D298" s="68"/>
      <c r="E298" s="22" t="str">
        <f t="shared" si="1"/>
        <v/>
      </c>
      <c r="F298" s="1"/>
      <c r="G298" s="1"/>
      <c r="H298" s="1"/>
      <c r="I298" s="1"/>
      <c r="J298" s="1"/>
      <c r="K298" s="1"/>
      <c r="L298" s="58" t="str">
        <f t="shared" si="2"/>
        <v/>
      </c>
      <c r="M298" s="59" t="str">
        <f t="shared" si="3"/>
        <v/>
      </c>
      <c r="N298" s="55" t="str">
        <f t="shared" si="4"/>
        <v/>
      </c>
      <c r="O298" s="50">
        <f t="shared" si="6"/>
        <v>0</v>
      </c>
      <c r="P298" s="50">
        <f t="shared" si="7"/>
        <v>0</v>
      </c>
      <c r="Q298" s="54">
        <f t="shared" si="5"/>
        <v>0</v>
      </c>
      <c r="R298" s="1"/>
    </row>
    <row r="299">
      <c r="A299" s="1"/>
      <c r="B299" s="68"/>
      <c r="C299" s="68"/>
      <c r="D299" s="68"/>
      <c r="E299" s="22" t="str">
        <f t="shared" si="1"/>
        <v/>
      </c>
      <c r="F299" s="1"/>
      <c r="G299" s="1"/>
      <c r="H299" s="1"/>
      <c r="I299" s="1"/>
      <c r="J299" s="1"/>
      <c r="K299" s="1"/>
      <c r="L299" s="58" t="str">
        <f t="shared" si="2"/>
        <v/>
      </c>
      <c r="M299" s="59" t="str">
        <f t="shared" si="3"/>
        <v/>
      </c>
      <c r="N299" s="55" t="str">
        <f t="shared" si="4"/>
        <v/>
      </c>
      <c r="O299" s="50">
        <f t="shared" si="6"/>
        <v>0</v>
      </c>
      <c r="P299" s="50">
        <f t="shared" si="7"/>
        <v>0</v>
      </c>
      <c r="Q299" s="54">
        <f t="shared" si="5"/>
        <v>0</v>
      </c>
      <c r="R299" s="1"/>
    </row>
    <row r="300">
      <c r="A300" s="1"/>
      <c r="B300" s="68"/>
      <c r="C300" s="68"/>
      <c r="D300" s="68"/>
      <c r="E300" s="22" t="str">
        <f t="shared" si="1"/>
        <v/>
      </c>
      <c r="F300" s="1"/>
      <c r="G300" s="1"/>
      <c r="H300" s="1"/>
      <c r="I300" s="1"/>
      <c r="J300" s="1"/>
      <c r="K300" s="1"/>
      <c r="L300" s="58" t="str">
        <f t="shared" si="2"/>
        <v/>
      </c>
      <c r="M300" s="59" t="str">
        <f t="shared" si="3"/>
        <v/>
      </c>
      <c r="N300" s="55" t="str">
        <f t="shared" si="4"/>
        <v/>
      </c>
      <c r="O300" s="50">
        <f t="shared" si="6"/>
        <v>0</v>
      </c>
      <c r="P300" s="50">
        <f t="shared" si="7"/>
        <v>0</v>
      </c>
      <c r="Q300" s="54">
        <f t="shared" si="5"/>
        <v>0</v>
      </c>
      <c r="R300" s="1"/>
    </row>
    <row r="301">
      <c r="A301" s="1"/>
      <c r="B301" s="68"/>
      <c r="C301" s="68"/>
      <c r="D301" s="68"/>
      <c r="E301" s="22" t="str">
        <f t="shared" si="1"/>
        <v/>
      </c>
      <c r="F301" s="1"/>
      <c r="G301" s="1"/>
      <c r="H301" s="1"/>
      <c r="I301" s="1"/>
      <c r="J301" s="1"/>
      <c r="K301" s="1"/>
      <c r="L301" s="58" t="str">
        <f t="shared" si="2"/>
        <v/>
      </c>
      <c r="M301" s="59" t="str">
        <f t="shared" si="3"/>
        <v/>
      </c>
      <c r="N301" s="55" t="str">
        <f t="shared" si="4"/>
        <v/>
      </c>
      <c r="O301" s="50">
        <f t="shared" si="6"/>
        <v>0</v>
      </c>
      <c r="P301" s="50">
        <f t="shared" si="7"/>
        <v>0</v>
      </c>
      <c r="Q301" s="54">
        <f t="shared" si="5"/>
        <v>0</v>
      </c>
      <c r="R301" s="1"/>
    </row>
    <row r="302">
      <c r="A302" s="1"/>
      <c r="B302" s="68"/>
      <c r="C302" s="68"/>
      <c r="D302" s="68"/>
      <c r="E302" s="22" t="str">
        <f t="shared" si="1"/>
        <v/>
      </c>
      <c r="F302" s="1"/>
      <c r="G302" s="1"/>
      <c r="H302" s="1"/>
      <c r="I302" s="1"/>
      <c r="J302" s="1"/>
      <c r="K302" s="1"/>
      <c r="L302" s="58" t="str">
        <f t="shared" si="2"/>
        <v/>
      </c>
      <c r="M302" s="59" t="str">
        <f t="shared" si="3"/>
        <v/>
      </c>
      <c r="N302" s="55" t="str">
        <f t="shared" si="4"/>
        <v/>
      </c>
      <c r="O302" s="50">
        <f t="shared" si="6"/>
        <v>0</v>
      </c>
      <c r="P302" s="50">
        <f t="shared" si="7"/>
        <v>0</v>
      </c>
      <c r="Q302" s="54">
        <f t="shared" si="5"/>
        <v>0</v>
      </c>
      <c r="R302" s="1"/>
    </row>
    <row r="303">
      <c r="A303" s="1"/>
      <c r="B303" s="68"/>
      <c r="C303" s="68"/>
      <c r="D303" s="68"/>
      <c r="E303" s="22" t="str">
        <f t="shared" si="1"/>
        <v/>
      </c>
      <c r="F303" s="1"/>
      <c r="G303" s="1"/>
      <c r="H303" s="1"/>
      <c r="I303" s="1"/>
      <c r="J303" s="1"/>
      <c r="K303" s="1"/>
      <c r="L303" s="58" t="str">
        <f t="shared" si="2"/>
        <v/>
      </c>
      <c r="M303" s="59" t="str">
        <f t="shared" si="3"/>
        <v/>
      </c>
      <c r="N303" s="55" t="str">
        <f t="shared" si="4"/>
        <v/>
      </c>
      <c r="O303" s="50">
        <f t="shared" si="6"/>
        <v>0</v>
      </c>
      <c r="P303" s="50">
        <f t="shared" si="7"/>
        <v>0</v>
      </c>
      <c r="Q303" s="54">
        <f t="shared" si="5"/>
        <v>0</v>
      </c>
      <c r="R303" s="1"/>
    </row>
    <row r="304">
      <c r="A304" s="1"/>
      <c r="B304" s="68"/>
      <c r="C304" s="68"/>
      <c r="D304" s="68"/>
      <c r="E304" s="22" t="str">
        <f t="shared" si="1"/>
        <v/>
      </c>
      <c r="F304" s="1"/>
      <c r="G304" s="1"/>
      <c r="H304" s="1"/>
      <c r="I304" s="1"/>
      <c r="J304" s="1"/>
      <c r="K304" s="1"/>
      <c r="L304" s="58" t="str">
        <f t="shared" si="2"/>
        <v/>
      </c>
      <c r="M304" s="59" t="str">
        <f t="shared" si="3"/>
        <v/>
      </c>
      <c r="N304" s="55" t="str">
        <f t="shared" si="4"/>
        <v/>
      </c>
      <c r="O304" s="50">
        <f t="shared" si="6"/>
        <v>0</v>
      </c>
      <c r="P304" s="50">
        <f t="shared" si="7"/>
        <v>0</v>
      </c>
      <c r="Q304" s="54">
        <f t="shared" si="5"/>
        <v>0</v>
      </c>
      <c r="R304" s="1"/>
    </row>
    <row r="305">
      <c r="A305" s="1"/>
      <c r="B305" s="68"/>
      <c r="C305" s="68"/>
      <c r="D305" s="68"/>
      <c r="E305" s="22" t="str">
        <f t="shared" si="1"/>
        <v/>
      </c>
      <c r="F305" s="1"/>
      <c r="G305" s="1"/>
      <c r="H305" s="1"/>
      <c r="I305" s="1"/>
      <c r="J305" s="1"/>
      <c r="K305" s="1"/>
      <c r="L305" s="58" t="str">
        <f t="shared" si="2"/>
        <v/>
      </c>
      <c r="M305" s="59" t="str">
        <f t="shared" si="3"/>
        <v/>
      </c>
      <c r="N305" s="55" t="str">
        <f t="shared" si="4"/>
        <v/>
      </c>
      <c r="O305" s="50">
        <f t="shared" si="6"/>
        <v>0</v>
      </c>
      <c r="P305" s="50">
        <f t="shared" si="7"/>
        <v>0</v>
      </c>
      <c r="Q305" s="54">
        <f t="shared" si="5"/>
        <v>0</v>
      </c>
      <c r="R305" s="1"/>
    </row>
    <row r="306">
      <c r="A306" s="1"/>
      <c r="B306" s="68"/>
      <c r="C306" s="68"/>
      <c r="D306" s="68"/>
      <c r="E306" s="22" t="str">
        <f t="shared" si="1"/>
        <v/>
      </c>
      <c r="F306" s="1"/>
      <c r="G306" s="1"/>
      <c r="H306" s="1"/>
      <c r="I306" s="1"/>
      <c r="J306" s="1"/>
      <c r="K306" s="1"/>
      <c r="L306" s="58" t="str">
        <f t="shared" si="2"/>
        <v/>
      </c>
      <c r="M306" s="59" t="str">
        <f t="shared" si="3"/>
        <v/>
      </c>
      <c r="N306" s="55" t="str">
        <f t="shared" si="4"/>
        <v/>
      </c>
      <c r="O306" s="50">
        <f t="shared" si="6"/>
        <v>0</v>
      </c>
      <c r="P306" s="50">
        <f t="shared" si="7"/>
        <v>0</v>
      </c>
      <c r="Q306" s="54">
        <f t="shared" si="5"/>
        <v>0</v>
      </c>
      <c r="R306" s="1"/>
    </row>
    <row r="307">
      <c r="A307" s="1"/>
      <c r="B307" s="68"/>
      <c r="C307" s="68"/>
      <c r="D307" s="68"/>
      <c r="E307" s="22" t="str">
        <f t="shared" si="1"/>
        <v/>
      </c>
      <c r="F307" s="1"/>
      <c r="G307" s="1"/>
      <c r="H307" s="1"/>
      <c r="I307" s="1"/>
      <c r="J307" s="1"/>
      <c r="K307" s="1"/>
      <c r="L307" s="58" t="str">
        <f t="shared" si="2"/>
        <v/>
      </c>
      <c r="M307" s="59" t="str">
        <f t="shared" si="3"/>
        <v/>
      </c>
      <c r="N307" s="55" t="str">
        <f t="shared" si="4"/>
        <v/>
      </c>
      <c r="O307" s="50">
        <f t="shared" si="6"/>
        <v>0</v>
      </c>
      <c r="P307" s="50">
        <f t="shared" si="7"/>
        <v>0</v>
      </c>
      <c r="Q307" s="54">
        <f t="shared" si="5"/>
        <v>0</v>
      </c>
      <c r="R307" s="1"/>
    </row>
    <row r="308">
      <c r="A308" s="1"/>
      <c r="B308" s="68"/>
      <c r="C308" s="68"/>
      <c r="D308" s="68"/>
      <c r="E308" s="22" t="str">
        <f t="shared" si="1"/>
        <v/>
      </c>
      <c r="F308" s="1"/>
      <c r="G308" s="1"/>
      <c r="H308" s="1"/>
      <c r="I308" s="1"/>
      <c r="J308" s="1"/>
      <c r="K308" s="1"/>
      <c r="L308" s="58" t="str">
        <f t="shared" si="2"/>
        <v/>
      </c>
      <c r="M308" s="59" t="str">
        <f t="shared" si="3"/>
        <v/>
      </c>
      <c r="N308" s="55" t="str">
        <f t="shared" si="4"/>
        <v/>
      </c>
      <c r="O308" s="50">
        <f t="shared" si="6"/>
        <v>0</v>
      </c>
      <c r="P308" s="50">
        <f t="shared" si="7"/>
        <v>0</v>
      </c>
      <c r="Q308" s="54">
        <f t="shared" si="5"/>
        <v>0</v>
      </c>
      <c r="R308" s="1"/>
    </row>
    <row r="309">
      <c r="A309" s="1"/>
      <c r="B309" s="68"/>
      <c r="C309" s="68"/>
      <c r="D309" s="68"/>
      <c r="E309" s="22" t="str">
        <f t="shared" si="1"/>
        <v/>
      </c>
      <c r="F309" s="1"/>
      <c r="G309" s="1"/>
      <c r="H309" s="1"/>
      <c r="I309" s="1"/>
      <c r="J309" s="1"/>
      <c r="K309" s="1"/>
      <c r="L309" s="58" t="str">
        <f t="shared" si="2"/>
        <v/>
      </c>
      <c r="M309" s="59" t="str">
        <f t="shared" si="3"/>
        <v/>
      </c>
      <c r="N309" s="55" t="str">
        <f t="shared" si="4"/>
        <v/>
      </c>
      <c r="O309" s="50">
        <f t="shared" si="6"/>
        <v>0</v>
      </c>
      <c r="P309" s="50">
        <f t="shared" si="7"/>
        <v>0</v>
      </c>
      <c r="Q309" s="54">
        <f t="shared" si="5"/>
        <v>0</v>
      </c>
      <c r="R309" s="1"/>
    </row>
    <row r="310">
      <c r="A310" s="1"/>
      <c r="B310" s="68"/>
      <c r="C310" s="68"/>
      <c r="D310" s="68"/>
      <c r="E310" s="22" t="str">
        <f t="shared" si="1"/>
        <v/>
      </c>
      <c r="F310" s="1"/>
      <c r="G310" s="1"/>
      <c r="H310" s="1"/>
      <c r="I310" s="1"/>
      <c r="J310" s="1"/>
      <c r="K310" s="1"/>
      <c r="L310" s="58" t="str">
        <f t="shared" si="2"/>
        <v/>
      </c>
      <c r="M310" s="59" t="str">
        <f t="shared" si="3"/>
        <v/>
      </c>
      <c r="N310" s="55" t="str">
        <f t="shared" si="4"/>
        <v/>
      </c>
      <c r="O310" s="50">
        <f t="shared" si="6"/>
        <v>0</v>
      </c>
      <c r="P310" s="50">
        <f t="shared" si="7"/>
        <v>0</v>
      </c>
      <c r="Q310" s="54">
        <f t="shared" si="5"/>
        <v>0</v>
      </c>
      <c r="R310" s="1"/>
    </row>
    <row r="311">
      <c r="A311" s="1"/>
      <c r="B311" s="68"/>
      <c r="C311" s="68"/>
      <c r="D311" s="68"/>
      <c r="E311" s="22" t="str">
        <f t="shared" si="1"/>
        <v/>
      </c>
      <c r="F311" s="1"/>
      <c r="G311" s="1"/>
      <c r="H311" s="1"/>
      <c r="I311" s="1"/>
      <c r="J311" s="1"/>
      <c r="K311" s="1"/>
      <c r="L311" s="58" t="str">
        <f t="shared" si="2"/>
        <v/>
      </c>
      <c r="M311" s="59" t="str">
        <f t="shared" si="3"/>
        <v/>
      </c>
      <c r="N311" s="55" t="str">
        <f t="shared" si="4"/>
        <v/>
      </c>
      <c r="O311" s="50">
        <f t="shared" si="6"/>
        <v>0</v>
      </c>
      <c r="P311" s="50">
        <f t="shared" si="7"/>
        <v>0</v>
      </c>
      <c r="Q311" s="54">
        <f t="shared" si="5"/>
        <v>0</v>
      </c>
      <c r="R311" s="1"/>
    </row>
    <row r="312">
      <c r="A312" s="1"/>
      <c r="B312" s="68"/>
      <c r="C312" s="68"/>
      <c r="D312" s="68"/>
      <c r="E312" s="22" t="str">
        <f t="shared" si="1"/>
        <v/>
      </c>
      <c r="F312" s="1"/>
      <c r="G312" s="1"/>
      <c r="H312" s="1"/>
      <c r="I312" s="1"/>
      <c r="J312" s="1"/>
      <c r="K312" s="1"/>
      <c r="L312" s="58" t="str">
        <f t="shared" si="2"/>
        <v/>
      </c>
      <c r="M312" s="59" t="str">
        <f t="shared" si="3"/>
        <v/>
      </c>
      <c r="N312" s="55" t="str">
        <f t="shared" si="4"/>
        <v/>
      </c>
      <c r="O312" s="50">
        <f t="shared" si="6"/>
        <v>0</v>
      </c>
      <c r="P312" s="50">
        <f t="shared" si="7"/>
        <v>0</v>
      </c>
      <c r="Q312" s="54">
        <f t="shared" si="5"/>
        <v>0</v>
      </c>
      <c r="R312" s="1"/>
    </row>
    <row r="313">
      <c r="A313" s="1"/>
      <c r="B313" s="68"/>
      <c r="C313" s="68"/>
      <c r="D313" s="68"/>
      <c r="E313" s="22" t="str">
        <f t="shared" si="1"/>
        <v/>
      </c>
      <c r="F313" s="1"/>
      <c r="G313" s="1"/>
      <c r="H313" s="1"/>
      <c r="I313" s="1"/>
      <c r="J313" s="1"/>
      <c r="K313" s="1"/>
      <c r="L313" s="58" t="str">
        <f t="shared" si="2"/>
        <v/>
      </c>
      <c r="M313" s="59" t="str">
        <f t="shared" si="3"/>
        <v/>
      </c>
      <c r="N313" s="55" t="str">
        <f t="shared" si="4"/>
        <v/>
      </c>
      <c r="O313" s="50">
        <f t="shared" si="6"/>
        <v>0</v>
      </c>
      <c r="P313" s="50">
        <f t="shared" si="7"/>
        <v>0</v>
      </c>
      <c r="Q313" s="54">
        <f t="shared" si="5"/>
        <v>0</v>
      </c>
      <c r="R313" s="1"/>
    </row>
    <row r="314">
      <c r="A314" s="1"/>
      <c r="B314" s="68"/>
      <c r="C314" s="68"/>
      <c r="D314" s="68"/>
      <c r="E314" s="22" t="str">
        <f t="shared" si="1"/>
        <v/>
      </c>
      <c r="F314" s="1"/>
      <c r="G314" s="1"/>
      <c r="H314" s="1"/>
      <c r="I314" s="1"/>
      <c r="J314" s="1"/>
      <c r="K314" s="1"/>
      <c r="L314" s="58" t="str">
        <f t="shared" si="2"/>
        <v/>
      </c>
      <c r="M314" s="59" t="str">
        <f t="shared" si="3"/>
        <v/>
      </c>
      <c r="N314" s="55" t="str">
        <f t="shared" si="4"/>
        <v/>
      </c>
      <c r="O314" s="50">
        <f t="shared" si="6"/>
        <v>0</v>
      </c>
      <c r="P314" s="50">
        <f t="shared" si="7"/>
        <v>0</v>
      </c>
      <c r="Q314" s="54">
        <f t="shared" si="5"/>
        <v>0</v>
      </c>
      <c r="R314" s="1"/>
    </row>
    <row r="315">
      <c r="A315" s="1"/>
      <c r="B315" s="68"/>
      <c r="C315" s="68"/>
      <c r="D315" s="68"/>
      <c r="E315" s="22" t="str">
        <f t="shared" si="1"/>
        <v/>
      </c>
      <c r="F315" s="1"/>
      <c r="G315" s="1"/>
      <c r="H315" s="1"/>
      <c r="I315" s="1"/>
      <c r="J315" s="1"/>
      <c r="K315" s="1"/>
      <c r="L315" s="58" t="str">
        <f t="shared" si="2"/>
        <v/>
      </c>
      <c r="M315" s="59" t="str">
        <f t="shared" si="3"/>
        <v/>
      </c>
      <c r="N315" s="55" t="str">
        <f t="shared" si="4"/>
        <v/>
      </c>
      <c r="O315" s="50">
        <f t="shared" si="6"/>
        <v>0</v>
      </c>
      <c r="P315" s="50">
        <f t="shared" si="7"/>
        <v>0</v>
      </c>
      <c r="Q315" s="54">
        <f t="shared" si="5"/>
        <v>0</v>
      </c>
      <c r="R315" s="1"/>
    </row>
    <row r="316">
      <c r="A316" s="1"/>
      <c r="B316" s="68"/>
      <c r="C316" s="68"/>
      <c r="D316" s="68"/>
      <c r="E316" s="22" t="str">
        <f t="shared" si="1"/>
        <v/>
      </c>
      <c r="F316" s="1"/>
      <c r="G316" s="1"/>
      <c r="H316" s="1"/>
      <c r="I316" s="1"/>
      <c r="J316" s="1"/>
      <c r="K316" s="1"/>
      <c r="L316" s="58" t="str">
        <f t="shared" si="2"/>
        <v/>
      </c>
      <c r="M316" s="59" t="str">
        <f t="shared" si="3"/>
        <v/>
      </c>
      <c r="N316" s="55" t="str">
        <f t="shared" si="4"/>
        <v/>
      </c>
      <c r="O316" s="50">
        <f t="shared" si="6"/>
        <v>0</v>
      </c>
      <c r="P316" s="50">
        <f t="shared" si="7"/>
        <v>0</v>
      </c>
      <c r="Q316" s="54">
        <f t="shared" si="5"/>
        <v>0</v>
      </c>
      <c r="R316" s="1"/>
    </row>
    <row r="317">
      <c r="A317" s="1"/>
      <c r="B317" s="68"/>
      <c r="C317" s="68"/>
      <c r="D317" s="68"/>
      <c r="E317" s="22" t="str">
        <f t="shared" si="1"/>
        <v/>
      </c>
      <c r="F317" s="1"/>
      <c r="G317" s="1"/>
      <c r="H317" s="1"/>
      <c r="I317" s="1"/>
      <c r="J317" s="1"/>
      <c r="K317" s="1"/>
      <c r="L317" s="58" t="str">
        <f t="shared" si="2"/>
        <v/>
      </c>
      <c r="M317" s="59" t="str">
        <f t="shared" si="3"/>
        <v/>
      </c>
      <c r="N317" s="55" t="str">
        <f t="shared" si="4"/>
        <v/>
      </c>
      <c r="O317" s="50">
        <f t="shared" si="6"/>
        <v>0</v>
      </c>
      <c r="P317" s="50">
        <f t="shared" si="7"/>
        <v>0</v>
      </c>
      <c r="Q317" s="54">
        <f t="shared" si="5"/>
        <v>0</v>
      </c>
      <c r="R317" s="1"/>
    </row>
    <row r="318">
      <c r="A318" s="1"/>
      <c r="B318" s="68"/>
      <c r="C318" s="68"/>
      <c r="D318" s="68"/>
      <c r="E318" s="22" t="str">
        <f t="shared" si="1"/>
        <v/>
      </c>
      <c r="F318" s="1"/>
      <c r="G318" s="1"/>
      <c r="H318" s="1"/>
      <c r="I318" s="1"/>
      <c r="J318" s="1"/>
      <c r="K318" s="1"/>
      <c r="L318" s="58" t="str">
        <f t="shared" si="2"/>
        <v/>
      </c>
      <c r="M318" s="59" t="str">
        <f t="shared" si="3"/>
        <v/>
      </c>
      <c r="N318" s="55" t="str">
        <f t="shared" si="4"/>
        <v/>
      </c>
      <c r="O318" s="50">
        <f t="shared" si="6"/>
        <v>0</v>
      </c>
      <c r="P318" s="50">
        <f t="shared" si="7"/>
        <v>0</v>
      </c>
      <c r="Q318" s="54">
        <f t="shared" si="5"/>
        <v>0</v>
      </c>
      <c r="R318" s="1"/>
    </row>
    <row r="319">
      <c r="A319" s="1"/>
      <c r="B319" s="68"/>
      <c r="C319" s="68"/>
      <c r="D319" s="68"/>
      <c r="E319" s="22" t="str">
        <f t="shared" si="1"/>
        <v/>
      </c>
      <c r="F319" s="1"/>
      <c r="G319" s="1"/>
      <c r="H319" s="1"/>
      <c r="I319" s="1"/>
      <c r="J319" s="1"/>
      <c r="K319" s="1"/>
      <c r="L319" s="58" t="str">
        <f t="shared" si="2"/>
        <v/>
      </c>
      <c r="M319" s="59" t="str">
        <f t="shared" si="3"/>
        <v/>
      </c>
      <c r="N319" s="55" t="str">
        <f t="shared" si="4"/>
        <v/>
      </c>
      <c r="O319" s="50">
        <f t="shared" si="6"/>
        <v>0</v>
      </c>
      <c r="P319" s="50">
        <f t="shared" si="7"/>
        <v>0</v>
      </c>
      <c r="Q319" s="54">
        <f t="shared" si="5"/>
        <v>0</v>
      </c>
      <c r="R319" s="1"/>
    </row>
    <row r="320">
      <c r="A320" s="1"/>
      <c r="B320" s="68"/>
      <c r="C320" s="68"/>
      <c r="D320" s="68"/>
      <c r="E320" s="22" t="str">
        <f t="shared" si="1"/>
        <v/>
      </c>
      <c r="F320" s="1"/>
      <c r="G320" s="1"/>
      <c r="H320" s="1"/>
      <c r="I320" s="1"/>
      <c r="J320" s="1"/>
      <c r="K320" s="1"/>
      <c r="L320" s="58" t="str">
        <f t="shared" si="2"/>
        <v/>
      </c>
      <c r="M320" s="59" t="str">
        <f t="shared" si="3"/>
        <v/>
      </c>
      <c r="N320" s="55" t="str">
        <f t="shared" si="4"/>
        <v/>
      </c>
      <c r="O320" s="50">
        <f t="shared" si="6"/>
        <v>0</v>
      </c>
      <c r="P320" s="50">
        <f t="shared" si="7"/>
        <v>0</v>
      </c>
      <c r="Q320" s="54">
        <f t="shared" si="5"/>
        <v>0</v>
      </c>
      <c r="R320" s="1"/>
    </row>
    <row r="321">
      <c r="A321" s="1"/>
      <c r="B321" s="68"/>
      <c r="C321" s="68"/>
      <c r="D321" s="68"/>
      <c r="E321" s="22" t="str">
        <f t="shared" si="1"/>
        <v/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68"/>
      <c r="C322" s="68"/>
      <c r="D322" s="68"/>
      <c r="E322" s="22" t="str">
        <f t="shared" si="1"/>
        <v/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68"/>
      <c r="C323" s="68"/>
      <c r="D323" s="68"/>
      <c r="E323" s="22" t="str">
        <f t="shared" si="1"/>
        <v/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68"/>
      <c r="C324" s="68"/>
      <c r="D324" s="68"/>
      <c r="E324" s="22" t="str">
        <f t="shared" si="1"/>
        <v/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68"/>
      <c r="C325" s="68"/>
      <c r="D325" s="68"/>
      <c r="E325" s="22" t="str">
        <f t="shared" si="1"/>
        <v/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68"/>
      <c r="C326" s="68"/>
      <c r="D326" s="68"/>
      <c r="E326" s="22" t="str">
        <f t="shared" si="1"/>
        <v/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68"/>
      <c r="C327" s="68"/>
      <c r="D327" s="68"/>
      <c r="E327" s="22" t="str">
        <f t="shared" si="1"/>
        <v/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68"/>
      <c r="C328" s="68"/>
      <c r="D328" s="68"/>
      <c r="E328" s="22" t="str">
        <f t="shared" si="1"/>
        <v/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68"/>
      <c r="C329" s="68"/>
      <c r="D329" s="68"/>
      <c r="E329" s="22" t="str">
        <f t="shared" si="1"/>
        <v/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68"/>
      <c r="C330" s="68"/>
      <c r="D330" s="68"/>
      <c r="E330" s="22" t="str">
        <f t="shared" si="1"/>
        <v/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68"/>
      <c r="C331" s="68"/>
      <c r="D331" s="68"/>
      <c r="E331" s="22" t="str">
        <f t="shared" si="1"/>
        <v/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68"/>
      <c r="C332" s="68"/>
      <c r="D332" s="68"/>
      <c r="E332" s="22" t="str">
        <f t="shared" si="1"/>
        <v/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68"/>
      <c r="C333" s="68"/>
      <c r="D333" s="68"/>
      <c r="E333" s="22" t="str">
        <f t="shared" si="1"/>
        <v/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68"/>
      <c r="C334" s="68"/>
      <c r="D334" s="68"/>
      <c r="E334" s="22" t="str">
        <f t="shared" si="1"/>
        <v/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68"/>
      <c r="C335" s="68"/>
      <c r="D335" s="68"/>
      <c r="E335" s="22" t="str">
        <f t="shared" si="1"/>
        <v/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68"/>
      <c r="C336" s="68"/>
      <c r="D336" s="68"/>
      <c r="E336" s="22" t="str">
        <f t="shared" si="1"/>
        <v/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68"/>
      <c r="C337" s="68"/>
      <c r="D337" s="68"/>
      <c r="E337" s="22" t="str">
        <f t="shared" si="1"/>
        <v/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68"/>
      <c r="C338" s="68"/>
      <c r="D338" s="68"/>
      <c r="E338" s="22" t="str">
        <f t="shared" si="1"/>
        <v/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68"/>
      <c r="C339" s="68"/>
      <c r="D339" s="68"/>
      <c r="E339" s="22" t="str">
        <f t="shared" si="1"/>
        <v/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68"/>
      <c r="C340" s="68"/>
      <c r="D340" s="68"/>
      <c r="E340" s="22" t="str">
        <f t="shared" si="1"/>
        <v/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68"/>
      <c r="C341" s="68"/>
      <c r="D341" s="68"/>
      <c r="E341" s="22" t="str">
        <f t="shared" si="1"/>
        <v/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68"/>
      <c r="C342" s="68"/>
      <c r="D342" s="68"/>
      <c r="E342" s="22" t="str">
        <f t="shared" si="1"/>
        <v/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68"/>
      <c r="C343" s="68"/>
      <c r="D343" s="68"/>
      <c r="E343" s="22" t="str">
        <f t="shared" si="1"/>
        <v/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68"/>
      <c r="C344" s="68"/>
      <c r="D344" s="68"/>
      <c r="E344" s="22" t="str">
        <f t="shared" si="1"/>
        <v/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68"/>
      <c r="C345" s="68"/>
      <c r="D345" s="68"/>
      <c r="E345" s="22" t="str">
        <f t="shared" si="1"/>
        <v/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68"/>
      <c r="C346" s="68"/>
      <c r="D346" s="68"/>
      <c r="E346" s="22" t="str">
        <f t="shared" si="1"/>
        <v/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68"/>
      <c r="C347" s="68"/>
      <c r="D347" s="68"/>
      <c r="E347" s="22" t="str">
        <f t="shared" si="1"/>
        <v/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68"/>
      <c r="C348" s="68"/>
      <c r="D348" s="68"/>
      <c r="E348" s="22" t="str">
        <f t="shared" si="1"/>
        <v/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68"/>
      <c r="C349" s="68"/>
      <c r="D349" s="68"/>
      <c r="E349" s="22" t="str">
        <f t="shared" si="1"/>
        <v/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B350" s="72"/>
      <c r="C350" s="72"/>
      <c r="D350" s="72"/>
      <c r="E350" s="22" t="str">
        <f t="shared" si="1"/>
        <v/>
      </c>
    </row>
    <row r="351">
      <c r="B351" s="72"/>
      <c r="C351" s="72"/>
      <c r="D351" s="72"/>
      <c r="E351" s="22" t="str">
        <f t="shared" si="1"/>
        <v/>
      </c>
    </row>
    <row r="352">
      <c r="B352" s="72"/>
      <c r="C352" s="72"/>
      <c r="D352" s="72"/>
      <c r="E352" s="22" t="str">
        <f t="shared" si="1"/>
        <v/>
      </c>
    </row>
    <row r="353">
      <c r="B353" s="72"/>
      <c r="C353" s="72"/>
      <c r="D353" s="72"/>
      <c r="E353" s="22" t="str">
        <f t="shared" si="1"/>
        <v/>
      </c>
    </row>
    <row r="354">
      <c r="B354" s="72"/>
      <c r="C354" s="72"/>
      <c r="D354" s="72"/>
      <c r="E354" s="22" t="str">
        <f t="shared" si="1"/>
        <v/>
      </c>
    </row>
    <row r="355">
      <c r="B355" s="72"/>
      <c r="C355" s="72"/>
      <c r="D355" s="72"/>
      <c r="E355" s="22" t="str">
        <f t="shared" si="1"/>
        <v/>
      </c>
    </row>
    <row r="356">
      <c r="B356" s="72"/>
      <c r="C356" s="72"/>
      <c r="D356" s="72"/>
      <c r="E356" s="22" t="str">
        <f t="shared" si="1"/>
        <v/>
      </c>
    </row>
    <row r="357">
      <c r="B357" s="72"/>
      <c r="C357" s="72"/>
      <c r="D357" s="72"/>
      <c r="E357" s="22" t="str">
        <f t="shared" si="1"/>
        <v/>
      </c>
    </row>
    <row r="358">
      <c r="B358" s="72"/>
      <c r="C358" s="72"/>
      <c r="D358" s="72"/>
      <c r="E358" s="22" t="str">
        <f t="shared" si="1"/>
        <v/>
      </c>
    </row>
    <row r="359">
      <c r="B359" s="72"/>
      <c r="C359" s="72"/>
      <c r="D359" s="72"/>
      <c r="E359" s="22" t="str">
        <f t="shared" si="1"/>
        <v/>
      </c>
    </row>
    <row r="360">
      <c r="B360" s="72"/>
      <c r="C360" s="72"/>
      <c r="D360" s="72"/>
      <c r="E360" s="22" t="str">
        <f t="shared" si="1"/>
        <v/>
      </c>
    </row>
    <row r="361">
      <c r="B361" s="72"/>
      <c r="C361" s="72"/>
      <c r="D361" s="72"/>
      <c r="E361" s="22" t="str">
        <f t="shared" si="1"/>
        <v/>
      </c>
    </row>
    <row r="362">
      <c r="B362" s="72"/>
      <c r="C362" s="72"/>
      <c r="D362" s="72"/>
      <c r="E362" s="22" t="str">
        <f t="shared" si="1"/>
        <v/>
      </c>
    </row>
    <row r="363">
      <c r="B363" s="72"/>
      <c r="C363" s="72"/>
      <c r="D363" s="72"/>
      <c r="E363" s="22" t="str">
        <f t="shared" si="1"/>
        <v/>
      </c>
    </row>
    <row r="364">
      <c r="B364" s="72"/>
      <c r="C364" s="72"/>
      <c r="D364" s="72"/>
      <c r="E364" s="22" t="str">
        <f t="shared" si="1"/>
        <v/>
      </c>
    </row>
    <row r="365">
      <c r="B365" s="72"/>
      <c r="C365" s="72"/>
      <c r="D365" s="72"/>
      <c r="E365" s="22" t="str">
        <f t="shared" si="1"/>
        <v/>
      </c>
    </row>
    <row r="366">
      <c r="B366" s="72"/>
      <c r="C366" s="72"/>
      <c r="D366" s="72"/>
      <c r="E366" s="22" t="str">
        <f t="shared" si="1"/>
        <v/>
      </c>
    </row>
    <row r="367">
      <c r="B367" s="72"/>
      <c r="C367" s="72"/>
      <c r="D367" s="72"/>
      <c r="E367" s="22" t="str">
        <f t="shared" si="1"/>
        <v/>
      </c>
    </row>
    <row r="368">
      <c r="B368" s="72"/>
      <c r="C368" s="72"/>
      <c r="D368" s="72"/>
      <c r="E368" s="22" t="str">
        <f t="shared" si="1"/>
        <v/>
      </c>
    </row>
    <row r="369">
      <c r="B369" s="72"/>
      <c r="C369" s="72"/>
      <c r="D369" s="72"/>
      <c r="E369" s="22" t="str">
        <f t="shared" si="1"/>
        <v/>
      </c>
    </row>
    <row r="370">
      <c r="B370" s="72"/>
      <c r="C370" s="72"/>
      <c r="D370" s="72"/>
      <c r="E370" s="22" t="str">
        <f t="shared" si="1"/>
        <v/>
      </c>
    </row>
    <row r="371">
      <c r="B371" s="72"/>
      <c r="C371" s="72"/>
      <c r="D371" s="72"/>
      <c r="E371" s="22" t="str">
        <f t="shared" si="1"/>
        <v/>
      </c>
    </row>
    <row r="372">
      <c r="B372" s="72"/>
      <c r="C372" s="72"/>
      <c r="D372" s="72"/>
      <c r="E372" s="22" t="str">
        <f t="shared" si="1"/>
        <v/>
      </c>
    </row>
    <row r="373">
      <c r="B373" s="72"/>
      <c r="C373" s="72"/>
      <c r="D373" s="72"/>
      <c r="E373" s="22" t="str">
        <f t="shared" si="1"/>
        <v/>
      </c>
    </row>
    <row r="374">
      <c r="B374" s="72"/>
      <c r="C374" s="72"/>
      <c r="D374" s="72"/>
      <c r="E374" s="22" t="str">
        <f t="shared" si="1"/>
        <v/>
      </c>
    </row>
    <row r="375">
      <c r="B375" s="72"/>
      <c r="C375" s="72"/>
      <c r="D375" s="72"/>
      <c r="E375" s="22" t="str">
        <f t="shared" si="1"/>
        <v/>
      </c>
    </row>
    <row r="376">
      <c r="B376" s="72"/>
      <c r="C376" s="72"/>
      <c r="D376" s="72"/>
      <c r="E376" s="22" t="str">
        <f t="shared" si="1"/>
        <v/>
      </c>
    </row>
    <row r="377">
      <c r="B377" s="72"/>
      <c r="C377" s="72"/>
      <c r="D377" s="72"/>
      <c r="E377" s="22" t="str">
        <f t="shared" si="1"/>
        <v/>
      </c>
    </row>
    <row r="378">
      <c r="B378" s="72"/>
      <c r="C378" s="72"/>
      <c r="D378" s="72"/>
      <c r="E378" s="22" t="str">
        <f t="shared" si="1"/>
        <v/>
      </c>
    </row>
    <row r="379">
      <c r="B379" s="72"/>
      <c r="C379" s="72"/>
      <c r="D379" s="72"/>
      <c r="E379" s="22" t="str">
        <f t="shared" si="1"/>
        <v/>
      </c>
    </row>
    <row r="380">
      <c r="B380" s="72"/>
      <c r="C380" s="72"/>
      <c r="D380" s="72"/>
      <c r="E380" s="22" t="str">
        <f t="shared" si="1"/>
        <v/>
      </c>
    </row>
    <row r="381">
      <c r="B381" s="72"/>
      <c r="C381" s="72"/>
      <c r="D381" s="72"/>
      <c r="E381" s="22" t="str">
        <f t="shared" si="1"/>
        <v/>
      </c>
    </row>
    <row r="382">
      <c r="B382" s="72"/>
      <c r="C382" s="72"/>
      <c r="D382" s="72"/>
      <c r="E382" s="22" t="str">
        <f t="shared" si="1"/>
        <v/>
      </c>
    </row>
    <row r="383">
      <c r="B383" s="72"/>
      <c r="C383" s="72"/>
      <c r="D383" s="72"/>
      <c r="E383" s="22" t="str">
        <f t="shared" si="1"/>
        <v/>
      </c>
    </row>
    <row r="384">
      <c r="B384" s="72"/>
      <c r="C384" s="72"/>
      <c r="D384" s="72"/>
      <c r="E384" s="22" t="str">
        <f t="shared" si="1"/>
        <v/>
      </c>
    </row>
    <row r="385">
      <c r="B385" s="72"/>
      <c r="C385" s="72"/>
      <c r="D385" s="72"/>
      <c r="E385" s="22" t="str">
        <f t="shared" si="1"/>
        <v/>
      </c>
    </row>
    <row r="386">
      <c r="B386" s="72"/>
      <c r="C386" s="72"/>
      <c r="D386" s="72"/>
      <c r="E386" s="22" t="str">
        <f t="shared" si="1"/>
        <v/>
      </c>
    </row>
    <row r="387">
      <c r="B387" s="72"/>
      <c r="C387" s="72"/>
      <c r="D387" s="72"/>
      <c r="E387" s="22" t="str">
        <f t="shared" si="1"/>
        <v/>
      </c>
    </row>
    <row r="388">
      <c r="B388" s="72"/>
      <c r="C388" s="72"/>
      <c r="D388" s="72"/>
      <c r="E388" s="22" t="str">
        <f t="shared" si="1"/>
        <v/>
      </c>
    </row>
    <row r="389">
      <c r="B389" s="72"/>
      <c r="C389" s="72"/>
      <c r="D389" s="72"/>
      <c r="E389" s="22" t="str">
        <f t="shared" si="1"/>
        <v/>
      </c>
    </row>
    <row r="390">
      <c r="B390" s="72"/>
      <c r="C390" s="72"/>
      <c r="D390" s="72"/>
      <c r="E390" s="22" t="str">
        <f t="shared" si="1"/>
        <v/>
      </c>
    </row>
    <row r="391">
      <c r="B391" s="72"/>
      <c r="C391" s="72"/>
      <c r="D391" s="72"/>
      <c r="E391" s="22" t="str">
        <f t="shared" si="1"/>
        <v/>
      </c>
    </row>
    <row r="392">
      <c r="B392" s="72"/>
      <c r="C392" s="72"/>
      <c r="D392" s="72"/>
      <c r="E392" s="22" t="str">
        <f t="shared" si="1"/>
        <v/>
      </c>
    </row>
    <row r="393">
      <c r="B393" s="72"/>
      <c r="C393" s="72"/>
      <c r="D393" s="72"/>
      <c r="E393" s="22" t="str">
        <f t="shared" si="1"/>
        <v/>
      </c>
    </row>
    <row r="394">
      <c r="B394" s="72"/>
      <c r="C394" s="72"/>
      <c r="D394" s="72"/>
      <c r="E394" s="22" t="str">
        <f t="shared" si="1"/>
        <v/>
      </c>
    </row>
    <row r="395">
      <c r="B395" s="72"/>
      <c r="C395" s="72"/>
      <c r="D395" s="72"/>
      <c r="E395" s="22" t="str">
        <f t="shared" si="1"/>
        <v/>
      </c>
    </row>
    <row r="396">
      <c r="B396" s="72"/>
      <c r="C396" s="72"/>
      <c r="D396" s="72"/>
      <c r="E396" s="22" t="str">
        <f t="shared" si="1"/>
        <v/>
      </c>
    </row>
    <row r="397">
      <c r="B397" s="72"/>
      <c r="C397" s="72"/>
      <c r="D397" s="72"/>
      <c r="E397" s="22" t="str">
        <f t="shared" si="1"/>
        <v/>
      </c>
    </row>
    <row r="398">
      <c r="B398" s="72"/>
      <c r="C398" s="72"/>
      <c r="D398" s="72"/>
    </row>
    <row r="399">
      <c r="B399" s="72"/>
      <c r="C399" s="72"/>
      <c r="D399" s="72"/>
    </row>
    <row r="400">
      <c r="B400" s="72"/>
      <c r="C400" s="72"/>
      <c r="D400" s="72"/>
    </row>
    <row r="401">
      <c r="B401" s="72"/>
      <c r="C401" s="72"/>
      <c r="D401" s="72"/>
    </row>
    <row r="402">
      <c r="B402" s="72"/>
      <c r="C402" s="72"/>
      <c r="D402" s="72"/>
    </row>
    <row r="403">
      <c r="B403" s="72"/>
      <c r="C403" s="72"/>
      <c r="D403" s="72"/>
    </row>
    <row r="404">
      <c r="B404" s="72"/>
      <c r="C404" s="72"/>
      <c r="D404" s="72"/>
    </row>
    <row r="405">
      <c r="B405" s="72"/>
      <c r="C405" s="72"/>
      <c r="D405" s="72"/>
    </row>
    <row r="406">
      <c r="B406" s="72"/>
      <c r="C406" s="72"/>
      <c r="D406" s="72"/>
    </row>
    <row r="407">
      <c r="B407" s="72"/>
      <c r="C407" s="72"/>
      <c r="D407" s="72"/>
    </row>
    <row r="408">
      <c r="B408" s="72"/>
      <c r="C408" s="72"/>
      <c r="D408" s="72"/>
    </row>
    <row r="409">
      <c r="B409" s="72"/>
      <c r="C409" s="72"/>
      <c r="D409" s="72"/>
    </row>
    <row r="410">
      <c r="B410" s="72"/>
      <c r="C410" s="72"/>
      <c r="D410" s="72"/>
    </row>
    <row r="411">
      <c r="B411" s="72"/>
      <c r="C411" s="72"/>
      <c r="D411" s="72"/>
    </row>
    <row r="412">
      <c r="B412" s="72"/>
      <c r="C412" s="72"/>
      <c r="D412" s="72"/>
    </row>
    <row r="413">
      <c r="B413" s="72"/>
      <c r="C413" s="72"/>
      <c r="D413" s="72"/>
    </row>
    <row r="414">
      <c r="B414" s="72"/>
      <c r="C414" s="72"/>
      <c r="D414" s="72"/>
    </row>
    <row r="415">
      <c r="B415" s="72"/>
      <c r="C415" s="72"/>
      <c r="D415" s="72"/>
    </row>
    <row r="416">
      <c r="B416" s="72"/>
      <c r="C416" s="72"/>
      <c r="D416" s="72"/>
    </row>
    <row r="417">
      <c r="B417" s="72"/>
      <c r="C417" s="72"/>
      <c r="D417" s="72"/>
    </row>
    <row r="418">
      <c r="B418" s="72"/>
      <c r="C418" s="72"/>
      <c r="D418" s="72"/>
    </row>
    <row r="419">
      <c r="B419" s="72"/>
      <c r="C419" s="72"/>
      <c r="D419" s="72"/>
    </row>
    <row r="420">
      <c r="B420" s="72"/>
      <c r="C420" s="72"/>
      <c r="D420" s="72"/>
    </row>
    <row r="421">
      <c r="B421" s="72"/>
      <c r="C421" s="72"/>
      <c r="D421" s="72"/>
    </row>
    <row r="422">
      <c r="B422" s="72"/>
      <c r="C422" s="72"/>
      <c r="D422" s="72"/>
    </row>
    <row r="423">
      <c r="B423" s="72"/>
      <c r="C423" s="72"/>
      <c r="D423" s="72"/>
    </row>
    <row r="424">
      <c r="B424" s="72"/>
      <c r="C424" s="72"/>
      <c r="D424" s="72"/>
    </row>
    <row r="425">
      <c r="B425" s="72"/>
      <c r="C425" s="72"/>
      <c r="D425" s="72"/>
    </row>
    <row r="426">
      <c r="B426" s="72"/>
      <c r="C426" s="72"/>
      <c r="D426" s="72"/>
    </row>
    <row r="427">
      <c r="B427" s="72"/>
      <c r="C427" s="72"/>
      <c r="D427" s="72"/>
    </row>
    <row r="428">
      <c r="B428" s="72"/>
      <c r="C428" s="72"/>
      <c r="D428" s="72"/>
    </row>
    <row r="429">
      <c r="B429" s="72"/>
      <c r="C429" s="72"/>
      <c r="D429" s="72"/>
    </row>
    <row r="430">
      <c r="B430" s="72"/>
      <c r="C430" s="72"/>
      <c r="D430" s="72"/>
    </row>
    <row r="431">
      <c r="B431" s="72"/>
      <c r="C431" s="72"/>
      <c r="D431" s="72"/>
    </row>
    <row r="432">
      <c r="B432" s="72"/>
      <c r="C432" s="72"/>
      <c r="D432" s="72"/>
    </row>
    <row r="433">
      <c r="B433" s="72"/>
      <c r="C433" s="72"/>
      <c r="D433" s="72"/>
    </row>
    <row r="434">
      <c r="B434" s="72"/>
      <c r="C434" s="72"/>
      <c r="D434" s="72"/>
    </row>
    <row r="435">
      <c r="B435" s="72"/>
      <c r="C435" s="72"/>
      <c r="D435" s="72"/>
    </row>
    <row r="436">
      <c r="B436" s="72"/>
      <c r="C436" s="72"/>
      <c r="D436" s="72"/>
    </row>
    <row r="437">
      <c r="B437" s="72"/>
      <c r="C437" s="72"/>
      <c r="D437" s="72"/>
    </row>
    <row r="438">
      <c r="B438" s="72"/>
      <c r="C438" s="72"/>
      <c r="D438" s="72"/>
    </row>
    <row r="439">
      <c r="B439" s="72"/>
      <c r="C439" s="72"/>
      <c r="D439" s="72"/>
    </row>
    <row r="440">
      <c r="B440" s="72"/>
      <c r="C440" s="72"/>
      <c r="D440" s="72"/>
    </row>
    <row r="441">
      <c r="B441" s="72"/>
      <c r="C441" s="72"/>
      <c r="D441" s="72"/>
    </row>
    <row r="442">
      <c r="B442" s="72"/>
      <c r="C442" s="72"/>
      <c r="D442" s="72"/>
    </row>
    <row r="443">
      <c r="B443" s="72"/>
      <c r="C443" s="72"/>
      <c r="D443" s="72"/>
    </row>
    <row r="444">
      <c r="B444" s="72"/>
      <c r="C444" s="72"/>
      <c r="D444" s="72"/>
    </row>
    <row r="445">
      <c r="B445" s="72"/>
      <c r="C445" s="72"/>
      <c r="D445" s="72"/>
    </row>
    <row r="446">
      <c r="B446" s="72"/>
      <c r="C446" s="72"/>
      <c r="D446" s="72"/>
    </row>
    <row r="447">
      <c r="B447" s="72"/>
      <c r="C447" s="72"/>
      <c r="D447" s="72"/>
    </row>
    <row r="448">
      <c r="B448" s="72"/>
      <c r="C448" s="72"/>
      <c r="D448" s="72"/>
    </row>
    <row r="449">
      <c r="B449" s="72"/>
      <c r="C449" s="72"/>
      <c r="D449" s="72"/>
    </row>
    <row r="450">
      <c r="B450" s="72"/>
      <c r="C450" s="72"/>
      <c r="D450" s="72"/>
    </row>
    <row r="451">
      <c r="B451" s="72"/>
      <c r="C451" s="72"/>
      <c r="D451" s="72"/>
    </row>
    <row r="452">
      <c r="B452" s="72"/>
      <c r="C452" s="72"/>
      <c r="D452" s="72"/>
    </row>
    <row r="453">
      <c r="B453" s="72"/>
      <c r="C453" s="72"/>
      <c r="D453" s="72"/>
    </row>
    <row r="454">
      <c r="B454" s="72"/>
      <c r="C454" s="72"/>
      <c r="D454" s="72"/>
    </row>
    <row r="455">
      <c r="B455" s="72"/>
      <c r="C455" s="72"/>
      <c r="D455" s="72"/>
    </row>
    <row r="456">
      <c r="B456" s="72"/>
      <c r="C456" s="72"/>
      <c r="D456" s="72"/>
    </row>
    <row r="457">
      <c r="B457" s="72"/>
      <c r="C457" s="72"/>
      <c r="D457" s="72"/>
    </row>
    <row r="458">
      <c r="B458" s="72"/>
      <c r="C458" s="72"/>
      <c r="D458" s="72"/>
    </row>
    <row r="459">
      <c r="B459" s="72"/>
      <c r="C459" s="72"/>
      <c r="D459" s="72"/>
    </row>
    <row r="460">
      <c r="B460" s="72"/>
      <c r="C460" s="72"/>
      <c r="D460" s="72"/>
    </row>
    <row r="461">
      <c r="B461" s="72"/>
      <c r="C461" s="72"/>
      <c r="D461" s="72"/>
    </row>
    <row r="462">
      <c r="B462" s="72"/>
      <c r="C462" s="72"/>
      <c r="D462" s="72"/>
    </row>
    <row r="463">
      <c r="B463" s="72"/>
      <c r="C463" s="72"/>
      <c r="D463" s="72"/>
    </row>
    <row r="464">
      <c r="B464" s="72"/>
      <c r="C464" s="72"/>
      <c r="D464" s="72"/>
    </row>
    <row r="465">
      <c r="B465" s="72"/>
      <c r="C465" s="72"/>
      <c r="D465" s="72"/>
    </row>
    <row r="466">
      <c r="B466" s="72"/>
      <c r="C466" s="72"/>
      <c r="D466" s="72"/>
    </row>
    <row r="467">
      <c r="B467" s="72"/>
      <c r="C467" s="72"/>
      <c r="D467" s="72"/>
    </row>
    <row r="468">
      <c r="B468" s="72"/>
      <c r="C468" s="72"/>
      <c r="D468" s="72"/>
    </row>
    <row r="469">
      <c r="B469" s="72"/>
      <c r="C469" s="72"/>
      <c r="D469" s="72"/>
    </row>
    <row r="470">
      <c r="B470" s="72"/>
      <c r="C470" s="72"/>
      <c r="D470" s="72"/>
    </row>
    <row r="471">
      <c r="B471" s="72"/>
      <c r="C471" s="72"/>
      <c r="D471" s="72"/>
    </row>
    <row r="472">
      <c r="B472" s="72"/>
      <c r="C472" s="72"/>
      <c r="D472" s="72"/>
    </row>
    <row r="473">
      <c r="B473" s="72"/>
      <c r="C473" s="72"/>
      <c r="D473" s="72"/>
    </row>
    <row r="474">
      <c r="B474" s="72"/>
      <c r="C474" s="72"/>
      <c r="D474" s="72"/>
    </row>
    <row r="475">
      <c r="B475" s="72"/>
      <c r="C475" s="72"/>
      <c r="D475" s="72"/>
    </row>
    <row r="476">
      <c r="B476" s="72"/>
      <c r="C476" s="72"/>
      <c r="D476" s="72"/>
    </row>
    <row r="477">
      <c r="B477" s="72"/>
      <c r="C477" s="72"/>
      <c r="D477" s="72"/>
    </row>
    <row r="478">
      <c r="B478" s="72"/>
      <c r="C478" s="72"/>
      <c r="D478" s="72"/>
    </row>
    <row r="479">
      <c r="B479" s="72"/>
      <c r="C479" s="72"/>
      <c r="D479" s="72"/>
    </row>
    <row r="480">
      <c r="B480" s="72"/>
      <c r="C480" s="72"/>
      <c r="D480" s="72"/>
    </row>
    <row r="481">
      <c r="B481" s="72"/>
      <c r="C481" s="72"/>
      <c r="D481" s="72"/>
    </row>
    <row r="482">
      <c r="B482" s="72"/>
      <c r="C482" s="72"/>
      <c r="D482" s="72"/>
    </row>
    <row r="483">
      <c r="B483" s="72"/>
      <c r="C483" s="72"/>
      <c r="D483" s="72"/>
    </row>
    <row r="484">
      <c r="B484" s="72"/>
      <c r="C484" s="72"/>
      <c r="D484" s="72"/>
    </row>
    <row r="485">
      <c r="B485" s="72"/>
      <c r="C485" s="72"/>
      <c r="D485" s="72"/>
    </row>
    <row r="486">
      <c r="B486" s="72"/>
      <c r="C486" s="72"/>
      <c r="D486" s="72"/>
    </row>
    <row r="487">
      <c r="B487" s="72"/>
      <c r="C487" s="72"/>
      <c r="D487" s="72"/>
    </row>
    <row r="488">
      <c r="B488" s="72"/>
      <c r="C488" s="72"/>
      <c r="D488" s="72"/>
    </row>
    <row r="489">
      <c r="B489" s="72"/>
      <c r="C489" s="72"/>
      <c r="D489" s="72"/>
    </row>
    <row r="490">
      <c r="B490" s="72"/>
      <c r="C490" s="72"/>
      <c r="D490" s="72"/>
    </row>
    <row r="491">
      <c r="B491" s="72"/>
      <c r="C491" s="72"/>
      <c r="D491" s="72"/>
    </row>
    <row r="492">
      <c r="B492" s="72"/>
      <c r="C492" s="72"/>
      <c r="D492" s="72"/>
    </row>
    <row r="493">
      <c r="B493" s="72"/>
      <c r="C493" s="72"/>
      <c r="D493" s="72"/>
    </row>
    <row r="494">
      <c r="B494" s="72"/>
      <c r="C494" s="72"/>
      <c r="D494" s="72"/>
    </row>
    <row r="495">
      <c r="B495" s="72"/>
      <c r="C495" s="72"/>
      <c r="D495" s="72"/>
    </row>
    <row r="496">
      <c r="B496" s="72"/>
      <c r="C496" s="72"/>
      <c r="D496" s="72"/>
    </row>
    <row r="497">
      <c r="B497" s="72"/>
      <c r="C497" s="72"/>
      <c r="D497" s="72"/>
    </row>
    <row r="498">
      <c r="B498" s="72"/>
      <c r="C498" s="72"/>
      <c r="D498" s="72"/>
    </row>
    <row r="499">
      <c r="B499" s="72"/>
      <c r="C499" s="72"/>
      <c r="D499" s="72"/>
    </row>
    <row r="500">
      <c r="B500" s="72"/>
      <c r="C500" s="72"/>
      <c r="D500" s="72"/>
    </row>
    <row r="501">
      <c r="B501" s="72"/>
      <c r="C501" s="72"/>
      <c r="D501" s="72"/>
    </row>
    <row r="502">
      <c r="B502" s="72"/>
      <c r="C502" s="72"/>
      <c r="D502" s="72"/>
    </row>
    <row r="503">
      <c r="B503" s="72"/>
      <c r="C503" s="72"/>
      <c r="D503" s="72"/>
    </row>
    <row r="504">
      <c r="B504" s="72"/>
      <c r="C504" s="72"/>
      <c r="D504" s="72"/>
    </row>
    <row r="505">
      <c r="B505" s="72"/>
      <c r="C505" s="72"/>
      <c r="D505" s="72"/>
    </row>
    <row r="506">
      <c r="B506" s="72"/>
      <c r="C506" s="72"/>
      <c r="D506" s="72"/>
    </row>
    <row r="507">
      <c r="B507" s="72"/>
      <c r="C507" s="72"/>
      <c r="D507" s="72"/>
    </row>
    <row r="508">
      <c r="B508" s="72"/>
      <c r="C508" s="72"/>
      <c r="D508" s="72"/>
    </row>
    <row r="509">
      <c r="B509" s="72"/>
      <c r="C509" s="72"/>
      <c r="D509" s="72"/>
    </row>
    <row r="510">
      <c r="B510" s="72"/>
      <c r="C510" s="72"/>
      <c r="D510" s="72"/>
    </row>
    <row r="511">
      <c r="B511" s="72"/>
      <c r="C511" s="72"/>
      <c r="D511" s="72"/>
    </row>
    <row r="512">
      <c r="B512" s="72"/>
      <c r="C512" s="72"/>
      <c r="D512" s="72"/>
    </row>
    <row r="513">
      <c r="B513" s="72"/>
      <c r="C513" s="72"/>
      <c r="D513" s="72"/>
    </row>
    <row r="514">
      <c r="B514" s="72"/>
      <c r="C514" s="72"/>
      <c r="D514" s="72"/>
    </row>
    <row r="515">
      <c r="B515" s="72"/>
      <c r="C515" s="72"/>
      <c r="D515" s="72"/>
    </row>
    <row r="516">
      <c r="B516" s="72"/>
      <c r="C516" s="72"/>
      <c r="D516" s="72"/>
    </row>
    <row r="517">
      <c r="B517" s="72"/>
      <c r="C517" s="72"/>
      <c r="D517" s="72"/>
    </row>
    <row r="518">
      <c r="B518" s="72"/>
      <c r="C518" s="72"/>
      <c r="D518" s="72"/>
    </row>
    <row r="519">
      <c r="B519" s="72"/>
      <c r="C519" s="72"/>
      <c r="D519" s="72"/>
    </row>
    <row r="520">
      <c r="B520" s="72"/>
      <c r="C520" s="72"/>
      <c r="D520" s="72"/>
    </row>
    <row r="521">
      <c r="B521" s="72"/>
      <c r="C521" s="72"/>
      <c r="D521" s="72"/>
    </row>
    <row r="522">
      <c r="B522" s="72"/>
      <c r="C522" s="72"/>
      <c r="D522" s="72"/>
    </row>
    <row r="523">
      <c r="B523" s="72"/>
      <c r="C523" s="72"/>
      <c r="D523" s="72"/>
    </row>
    <row r="524">
      <c r="B524" s="72"/>
      <c r="C524" s="72"/>
      <c r="D524" s="72"/>
    </row>
    <row r="525">
      <c r="B525" s="72"/>
      <c r="C525" s="72"/>
      <c r="D525" s="72"/>
    </row>
    <row r="526">
      <c r="B526" s="72"/>
      <c r="C526" s="72"/>
      <c r="D526" s="72"/>
    </row>
    <row r="527">
      <c r="B527" s="72"/>
      <c r="C527" s="72"/>
      <c r="D527" s="72"/>
    </row>
    <row r="528">
      <c r="B528" s="72"/>
      <c r="C528" s="72"/>
      <c r="D528" s="72"/>
    </row>
    <row r="529">
      <c r="B529" s="72"/>
      <c r="C529" s="72"/>
      <c r="D529" s="72"/>
    </row>
    <row r="530">
      <c r="B530" s="72"/>
      <c r="C530" s="72"/>
      <c r="D530" s="72"/>
    </row>
    <row r="531">
      <c r="B531" s="72"/>
      <c r="C531" s="72"/>
      <c r="D531" s="72"/>
    </row>
    <row r="532">
      <c r="B532" s="72"/>
      <c r="C532" s="72"/>
      <c r="D532" s="72"/>
    </row>
    <row r="533">
      <c r="B533" s="72"/>
      <c r="C533" s="72"/>
      <c r="D533" s="72"/>
    </row>
    <row r="534">
      <c r="B534" s="72"/>
      <c r="C534" s="72"/>
      <c r="D534" s="72"/>
    </row>
    <row r="535">
      <c r="B535" s="72"/>
      <c r="C535" s="72"/>
      <c r="D535" s="72"/>
    </row>
    <row r="536">
      <c r="B536" s="72"/>
      <c r="C536" s="72"/>
      <c r="D536" s="72"/>
    </row>
    <row r="537">
      <c r="B537" s="72"/>
      <c r="C537" s="72"/>
      <c r="D537" s="72"/>
    </row>
    <row r="538">
      <c r="B538" s="72"/>
      <c r="C538" s="72"/>
      <c r="D538" s="72"/>
    </row>
    <row r="539">
      <c r="B539" s="72"/>
      <c r="C539" s="72"/>
      <c r="D539" s="72"/>
    </row>
    <row r="540">
      <c r="B540" s="72"/>
      <c r="C540" s="72"/>
      <c r="D540" s="72"/>
    </row>
    <row r="541">
      <c r="B541" s="72"/>
      <c r="C541" s="72"/>
      <c r="D541" s="72"/>
    </row>
    <row r="542">
      <c r="B542" s="72"/>
      <c r="C542" s="72"/>
      <c r="D542" s="72"/>
    </row>
    <row r="543">
      <c r="B543" s="72"/>
      <c r="C543" s="72"/>
      <c r="D543" s="72"/>
    </row>
    <row r="544">
      <c r="B544" s="72"/>
      <c r="C544" s="72"/>
      <c r="D544" s="72"/>
    </row>
    <row r="545">
      <c r="B545" s="72"/>
      <c r="C545" s="72"/>
      <c r="D545" s="72"/>
    </row>
    <row r="546">
      <c r="B546" s="72"/>
      <c r="C546" s="72"/>
      <c r="D546" s="72"/>
    </row>
    <row r="547">
      <c r="B547" s="72"/>
      <c r="C547" s="72"/>
      <c r="D547" s="72"/>
    </row>
    <row r="548">
      <c r="B548" s="72"/>
      <c r="C548" s="72"/>
      <c r="D548" s="72"/>
    </row>
    <row r="549">
      <c r="B549" s="72"/>
      <c r="C549" s="72"/>
      <c r="D549" s="72"/>
    </row>
    <row r="550">
      <c r="B550" s="72"/>
      <c r="C550" s="72"/>
      <c r="D550" s="72"/>
    </row>
    <row r="551">
      <c r="B551" s="72"/>
      <c r="C551" s="72"/>
      <c r="D551" s="72"/>
    </row>
    <row r="552">
      <c r="B552" s="72"/>
      <c r="C552" s="72"/>
      <c r="D552" s="72"/>
    </row>
    <row r="553">
      <c r="B553" s="72"/>
      <c r="C553" s="72"/>
      <c r="D553" s="72"/>
    </row>
    <row r="554">
      <c r="B554" s="72"/>
      <c r="C554" s="72"/>
      <c r="D554" s="72"/>
    </row>
    <row r="555">
      <c r="B555" s="72"/>
      <c r="C555" s="72"/>
      <c r="D555" s="72"/>
    </row>
    <row r="556">
      <c r="B556" s="72"/>
      <c r="C556" s="72"/>
      <c r="D556" s="72"/>
    </row>
    <row r="557">
      <c r="B557" s="72"/>
      <c r="C557" s="72"/>
      <c r="D557" s="72"/>
    </row>
    <row r="558">
      <c r="B558" s="72"/>
      <c r="C558" s="72"/>
      <c r="D558" s="72"/>
    </row>
    <row r="559">
      <c r="B559" s="72"/>
      <c r="C559" s="72"/>
      <c r="D559" s="72"/>
    </row>
    <row r="560">
      <c r="B560" s="72"/>
      <c r="C560" s="72"/>
      <c r="D560" s="72"/>
    </row>
    <row r="561">
      <c r="B561" s="72"/>
      <c r="C561" s="72"/>
      <c r="D561" s="72"/>
    </row>
    <row r="562">
      <c r="B562" s="72"/>
      <c r="C562" s="72"/>
      <c r="D562" s="72"/>
    </row>
    <row r="563">
      <c r="B563" s="72"/>
      <c r="C563" s="72"/>
      <c r="D563" s="72"/>
    </row>
    <row r="564">
      <c r="B564" s="72"/>
      <c r="C564" s="72"/>
      <c r="D564" s="72"/>
    </row>
    <row r="565">
      <c r="B565" s="72"/>
      <c r="C565" s="72"/>
      <c r="D565" s="72"/>
    </row>
    <row r="566">
      <c r="B566" s="72"/>
      <c r="C566" s="72"/>
      <c r="D566" s="72"/>
    </row>
    <row r="567">
      <c r="B567" s="72"/>
      <c r="C567" s="72"/>
      <c r="D567" s="72"/>
    </row>
    <row r="568">
      <c r="B568" s="72"/>
      <c r="C568" s="72"/>
      <c r="D568" s="72"/>
    </row>
    <row r="569">
      <c r="B569" s="72"/>
      <c r="C569" s="72"/>
      <c r="D569" s="72"/>
    </row>
    <row r="570">
      <c r="B570" s="72"/>
      <c r="C570" s="72"/>
      <c r="D570" s="72"/>
    </row>
    <row r="571">
      <c r="B571" s="72"/>
      <c r="C571" s="72"/>
      <c r="D571" s="72"/>
    </row>
    <row r="572">
      <c r="B572" s="72"/>
      <c r="C572" s="72"/>
      <c r="D572" s="72"/>
    </row>
    <row r="573">
      <c r="B573" s="72"/>
      <c r="C573" s="72"/>
      <c r="D573" s="72"/>
    </row>
    <row r="574">
      <c r="B574" s="72"/>
      <c r="C574" s="72"/>
      <c r="D574" s="72"/>
    </row>
    <row r="575">
      <c r="B575" s="72"/>
      <c r="C575" s="72"/>
      <c r="D575" s="72"/>
    </row>
    <row r="576">
      <c r="B576" s="72"/>
      <c r="C576" s="72"/>
      <c r="D576" s="72"/>
    </row>
    <row r="577">
      <c r="B577" s="72"/>
      <c r="C577" s="72"/>
      <c r="D577" s="72"/>
    </row>
    <row r="578">
      <c r="B578" s="72"/>
      <c r="C578" s="72"/>
      <c r="D578" s="72"/>
    </row>
    <row r="579">
      <c r="B579" s="72"/>
      <c r="C579" s="72"/>
      <c r="D579" s="72"/>
    </row>
    <row r="580">
      <c r="B580" s="72"/>
      <c r="C580" s="72"/>
      <c r="D580" s="72"/>
    </row>
    <row r="581">
      <c r="B581" s="72"/>
      <c r="C581" s="72"/>
      <c r="D581" s="72"/>
    </row>
    <row r="582">
      <c r="B582" s="72"/>
      <c r="C582" s="72"/>
      <c r="D582" s="72"/>
    </row>
    <row r="583">
      <c r="B583" s="72"/>
      <c r="C583" s="72"/>
      <c r="D583" s="72"/>
    </row>
    <row r="584">
      <c r="B584" s="72"/>
      <c r="C584" s="72"/>
      <c r="D584" s="72"/>
    </row>
    <row r="585">
      <c r="B585" s="72"/>
      <c r="C585" s="72"/>
      <c r="D585" s="72"/>
    </row>
    <row r="586">
      <c r="B586" s="72"/>
      <c r="C586" s="72"/>
      <c r="D586" s="72"/>
    </row>
    <row r="587">
      <c r="B587" s="72"/>
      <c r="C587" s="72"/>
      <c r="D587" s="72"/>
    </row>
    <row r="588">
      <c r="B588" s="72"/>
      <c r="C588" s="72"/>
      <c r="D588" s="72"/>
    </row>
    <row r="589">
      <c r="B589" s="72"/>
      <c r="C589" s="72"/>
      <c r="D589" s="72"/>
    </row>
    <row r="590">
      <c r="B590" s="72"/>
      <c r="C590" s="72"/>
      <c r="D590" s="72"/>
    </row>
    <row r="591">
      <c r="B591" s="72"/>
      <c r="C591" s="72"/>
      <c r="D591" s="72"/>
    </row>
    <row r="592">
      <c r="B592" s="72"/>
      <c r="C592" s="72"/>
      <c r="D592" s="72"/>
    </row>
    <row r="593">
      <c r="B593" s="72"/>
      <c r="C593" s="72"/>
      <c r="D593" s="72"/>
    </row>
    <row r="594">
      <c r="B594" s="72"/>
      <c r="C594" s="72"/>
      <c r="D594" s="72"/>
    </row>
    <row r="595">
      <c r="B595" s="72"/>
      <c r="C595" s="72"/>
      <c r="D595" s="72"/>
    </row>
    <row r="596">
      <c r="B596" s="72"/>
      <c r="C596" s="72"/>
      <c r="D596" s="72"/>
    </row>
    <row r="597">
      <c r="B597" s="72"/>
      <c r="C597" s="72"/>
      <c r="D597" s="72"/>
    </row>
    <row r="598">
      <c r="B598" s="72"/>
      <c r="C598" s="72"/>
      <c r="D598" s="72"/>
    </row>
    <row r="599">
      <c r="B599" s="72"/>
      <c r="C599" s="72"/>
      <c r="D599" s="72"/>
    </row>
    <row r="600">
      <c r="B600" s="72"/>
      <c r="C600" s="72"/>
      <c r="D600" s="72"/>
    </row>
    <row r="601">
      <c r="B601" s="72"/>
      <c r="C601" s="72"/>
      <c r="D601" s="72"/>
    </row>
    <row r="602">
      <c r="B602" s="72"/>
      <c r="C602" s="72"/>
      <c r="D602" s="72"/>
    </row>
    <row r="603">
      <c r="B603" s="72"/>
      <c r="C603" s="72"/>
      <c r="D603" s="72"/>
    </row>
    <row r="604">
      <c r="B604" s="72"/>
      <c r="C604" s="72"/>
      <c r="D604" s="72"/>
    </row>
    <row r="605">
      <c r="B605" s="72"/>
      <c r="C605" s="72"/>
      <c r="D605" s="72"/>
    </row>
    <row r="606">
      <c r="B606" s="72"/>
      <c r="C606" s="72"/>
      <c r="D606" s="72"/>
    </row>
    <row r="607">
      <c r="B607" s="72"/>
      <c r="C607" s="72"/>
      <c r="D607" s="72"/>
    </row>
    <row r="608">
      <c r="B608" s="72"/>
      <c r="C608" s="72"/>
      <c r="D608" s="72"/>
    </row>
    <row r="609">
      <c r="B609" s="72"/>
      <c r="C609" s="72"/>
      <c r="D609" s="72"/>
    </row>
    <row r="610">
      <c r="B610" s="72"/>
      <c r="C610" s="72"/>
      <c r="D610" s="72"/>
    </row>
    <row r="611">
      <c r="B611" s="72"/>
      <c r="C611" s="72"/>
      <c r="D611" s="72"/>
    </row>
    <row r="612">
      <c r="B612" s="72"/>
      <c r="C612" s="72"/>
      <c r="D612" s="72"/>
    </row>
    <row r="613">
      <c r="B613" s="72"/>
      <c r="C613" s="72"/>
      <c r="D613" s="72"/>
    </row>
    <row r="614">
      <c r="B614" s="72"/>
      <c r="C614" s="72"/>
      <c r="D614" s="72"/>
    </row>
    <row r="615">
      <c r="B615" s="72"/>
      <c r="C615" s="72"/>
      <c r="D615" s="72"/>
    </row>
    <row r="616">
      <c r="B616" s="72"/>
      <c r="C616" s="72"/>
      <c r="D616" s="72"/>
    </row>
    <row r="617">
      <c r="B617" s="72"/>
      <c r="C617" s="72"/>
      <c r="D617" s="72"/>
    </row>
    <row r="618">
      <c r="B618" s="72"/>
      <c r="C618" s="72"/>
      <c r="D618" s="72"/>
    </row>
    <row r="619">
      <c r="B619" s="72"/>
      <c r="C619" s="72"/>
      <c r="D619" s="72"/>
    </row>
    <row r="620">
      <c r="B620" s="72"/>
      <c r="C620" s="72"/>
      <c r="D620" s="72"/>
    </row>
    <row r="621">
      <c r="B621" s="72"/>
      <c r="C621" s="72"/>
      <c r="D621" s="72"/>
    </row>
    <row r="622">
      <c r="B622" s="72"/>
      <c r="C622" s="72"/>
      <c r="D622" s="72"/>
    </row>
    <row r="623">
      <c r="B623" s="72"/>
      <c r="C623" s="72"/>
      <c r="D623" s="72"/>
    </row>
    <row r="624">
      <c r="B624" s="72"/>
      <c r="C624" s="72"/>
      <c r="D624" s="72"/>
    </row>
    <row r="625">
      <c r="B625" s="72"/>
      <c r="C625" s="72"/>
      <c r="D625" s="72"/>
    </row>
    <row r="626">
      <c r="B626" s="72"/>
      <c r="C626" s="72"/>
      <c r="D626" s="72"/>
    </row>
    <row r="627">
      <c r="B627" s="72"/>
      <c r="C627" s="72"/>
      <c r="D627" s="72"/>
    </row>
    <row r="628">
      <c r="B628" s="72"/>
      <c r="C628" s="72"/>
      <c r="D628" s="72"/>
    </row>
    <row r="629">
      <c r="B629" s="72"/>
      <c r="C629" s="72"/>
      <c r="D629" s="72"/>
    </row>
    <row r="630">
      <c r="B630" s="72"/>
      <c r="C630" s="72"/>
      <c r="D630" s="72"/>
    </row>
    <row r="631">
      <c r="B631" s="72"/>
      <c r="C631" s="72"/>
      <c r="D631" s="72"/>
    </row>
    <row r="632">
      <c r="B632" s="72"/>
      <c r="C632" s="72"/>
      <c r="D632" s="72"/>
    </row>
    <row r="633">
      <c r="B633" s="72"/>
      <c r="C633" s="72"/>
      <c r="D633" s="72"/>
    </row>
    <row r="634">
      <c r="B634" s="72"/>
      <c r="C634" s="72"/>
      <c r="D634" s="72"/>
    </row>
    <row r="635">
      <c r="B635" s="72"/>
      <c r="C635" s="72"/>
      <c r="D635" s="72"/>
    </row>
    <row r="636">
      <c r="B636" s="72"/>
      <c r="C636" s="72"/>
      <c r="D636" s="72"/>
    </row>
    <row r="637">
      <c r="B637" s="72"/>
      <c r="C637" s="72"/>
      <c r="D637" s="72"/>
    </row>
    <row r="638">
      <c r="B638" s="72"/>
      <c r="C638" s="72"/>
      <c r="D638" s="72"/>
    </row>
    <row r="639">
      <c r="B639" s="72"/>
      <c r="C639" s="72"/>
      <c r="D639" s="72"/>
    </row>
    <row r="640">
      <c r="B640" s="72"/>
      <c r="C640" s="72"/>
      <c r="D640" s="72"/>
    </row>
    <row r="641">
      <c r="B641" s="72"/>
      <c r="C641" s="72"/>
      <c r="D641" s="72"/>
    </row>
    <row r="642">
      <c r="B642" s="72"/>
      <c r="C642" s="72"/>
      <c r="D642" s="72"/>
    </row>
    <row r="643">
      <c r="B643" s="72"/>
      <c r="C643" s="72"/>
      <c r="D643" s="72"/>
    </row>
    <row r="644">
      <c r="B644" s="72"/>
      <c r="C644" s="72"/>
      <c r="D644" s="72"/>
    </row>
    <row r="645">
      <c r="B645" s="72"/>
      <c r="C645" s="72"/>
      <c r="D645" s="72"/>
    </row>
    <row r="646">
      <c r="B646" s="72"/>
      <c r="C646" s="72"/>
      <c r="D646" s="72"/>
    </row>
    <row r="647">
      <c r="B647" s="72"/>
      <c r="C647" s="72"/>
      <c r="D647" s="72"/>
    </row>
    <row r="648">
      <c r="B648" s="72"/>
      <c r="C648" s="72"/>
      <c r="D648" s="72"/>
    </row>
    <row r="649">
      <c r="B649" s="72"/>
      <c r="C649" s="72"/>
      <c r="D649" s="72"/>
    </row>
    <row r="650">
      <c r="B650" s="72"/>
      <c r="C650" s="72"/>
      <c r="D650" s="72"/>
    </row>
    <row r="651">
      <c r="B651" s="72"/>
      <c r="C651" s="72"/>
      <c r="D651" s="72"/>
    </row>
    <row r="652">
      <c r="B652" s="72"/>
      <c r="C652" s="72"/>
      <c r="D652" s="72"/>
    </row>
    <row r="653">
      <c r="B653" s="72"/>
      <c r="C653" s="72"/>
      <c r="D653" s="72"/>
    </row>
    <row r="654">
      <c r="B654" s="72"/>
      <c r="C654" s="72"/>
      <c r="D654" s="72"/>
    </row>
    <row r="655">
      <c r="B655" s="72"/>
      <c r="C655" s="72"/>
      <c r="D655" s="72"/>
    </row>
    <row r="656">
      <c r="B656" s="72"/>
      <c r="C656" s="72"/>
      <c r="D656" s="72"/>
    </row>
    <row r="657">
      <c r="B657" s="72"/>
      <c r="C657" s="72"/>
      <c r="D657" s="72"/>
    </row>
    <row r="658">
      <c r="B658" s="72"/>
      <c r="C658" s="72"/>
      <c r="D658" s="72"/>
    </row>
    <row r="659">
      <c r="B659" s="72"/>
      <c r="C659" s="72"/>
      <c r="D659" s="72"/>
    </row>
    <row r="660">
      <c r="B660" s="72"/>
      <c r="C660" s="72"/>
      <c r="D660" s="72"/>
    </row>
    <row r="661">
      <c r="B661" s="72"/>
      <c r="C661" s="72"/>
      <c r="D661" s="72"/>
    </row>
    <row r="662">
      <c r="B662" s="72"/>
      <c r="C662" s="72"/>
      <c r="D662" s="72"/>
    </row>
    <row r="663">
      <c r="B663" s="72"/>
      <c r="C663" s="72"/>
      <c r="D663" s="72"/>
    </row>
    <row r="664">
      <c r="B664" s="72"/>
      <c r="C664" s="72"/>
      <c r="D664" s="72"/>
    </row>
    <row r="665">
      <c r="B665" s="72"/>
      <c r="C665" s="72"/>
      <c r="D665" s="72"/>
    </row>
    <row r="666">
      <c r="B666" s="72"/>
      <c r="C666" s="72"/>
      <c r="D666" s="72"/>
    </row>
    <row r="667">
      <c r="B667" s="72"/>
      <c r="C667" s="72"/>
      <c r="D667" s="72"/>
    </row>
    <row r="668">
      <c r="B668" s="72"/>
      <c r="C668" s="72"/>
      <c r="D668" s="72"/>
    </row>
    <row r="669">
      <c r="B669" s="72"/>
      <c r="C669" s="72"/>
      <c r="D669" s="72"/>
    </row>
    <row r="670">
      <c r="B670" s="72"/>
      <c r="C670" s="72"/>
      <c r="D670" s="72"/>
    </row>
    <row r="671">
      <c r="B671" s="72"/>
      <c r="C671" s="72"/>
      <c r="D671" s="72"/>
    </row>
    <row r="672">
      <c r="B672" s="72"/>
      <c r="C672" s="72"/>
      <c r="D672" s="72"/>
    </row>
    <row r="673">
      <c r="B673" s="72"/>
      <c r="C673" s="72"/>
      <c r="D673" s="72"/>
    </row>
    <row r="674">
      <c r="B674" s="72"/>
      <c r="C674" s="72"/>
      <c r="D674" s="72"/>
    </row>
    <row r="675">
      <c r="B675" s="72"/>
      <c r="C675" s="72"/>
      <c r="D675" s="72"/>
    </row>
    <row r="676">
      <c r="B676" s="72"/>
      <c r="C676" s="72"/>
      <c r="D676" s="72"/>
    </row>
    <row r="677">
      <c r="B677" s="72"/>
      <c r="C677" s="72"/>
      <c r="D677" s="72"/>
    </row>
    <row r="678">
      <c r="B678" s="72"/>
      <c r="C678" s="72"/>
      <c r="D678" s="72"/>
    </row>
    <row r="679">
      <c r="B679" s="72"/>
      <c r="C679" s="72"/>
      <c r="D679" s="72"/>
    </row>
    <row r="680">
      <c r="B680" s="72"/>
      <c r="C680" s="72"/>
      <c r="D680" s="72"/>
    </row>
    <row r="681">
      <c r="B681" s="72"/>
      <c r="C681" s="72"/>
      <c r="D681" s="72"/>
    </row>
    <row r="682">
      <c r="B682" s="72"/>
      <c r="C682" s="72"/>
      <c r="D682" s="72"/>
    </row>
    <row r="683">
      <c r="B683" s="72"/>
      <c r="C683" s="72"/>
      <c r="D683" s="72"/>
    </row>
    <row r="684">
      <c r="B684" s="72"/>
      <c r="C684" s="72"/>
      <c r="D684" s="72"/>
    </row>
    <row r="685">
      <c r="B685" s="72"/>
      <c r="C685" s="72"/>
      <c r="D685" s="72"/>
    </row>
    <row r="686">
      <c r="B686" s="72"/>
      <c r="C686" s="72"/>
      <c r="D686" s="72"/>
    </row>
    <row r="687">
      <c r="B687" s="72"/>
      <c r="C687" s="72"/>
      <c r="D687" s="72"/>
    </row>
    <row r="688">
      <c r="B688" s="72"/>
      <c r="C688" s="72"/>
      <c r="D688" s="72"/>
    </row>
    <row r="689">
      <c r="B689" s="72"/>
      <c r="C689" s="72"/>
      <c r="D689" s="72"/>
    </row>
    <row r="690">
      <c r="B690" s="72"/>
      <c r="C690" s="72"/>
      <c r="D690" s="72"/>
    </row>
    <row r="691">
      <c r="B691" s="72"/>
      <c r="C691" s="72"/>
      <c r="D691" s="72"/>
    </row>
    <row r="692">
      <c r="B692" s="72"/>
      <c r="C692" s="72"/>
      <c r="D692" s="72"/>
    </row>
    <row r="693">
      <c r="B693" s="72"/>
      <c r="C693" s="72"/>
      <c r="D693" s="72"/>
    </row>
    <row r="694">
      <c r="B694" s="72"/>
      <c r="C694" s="72"/>
      <c r="D694" s="72"/>
    </row>
    <row r="695">
      <c r="B695" s="72"/>
      <c r="C695" s="72"/>
      <c r="D695" s="72"/>
    </row>
    <row r="696">
      <c r="B696" s="72"/>
      <c r="C696" s="72"/>
      <c r="D696" s="72"/>
    </row>
    <row r="697">
      <c r="B697" s="72"/>
      <c r="C697" s="72"/>
      <c r="D697" s="72"/>
    </row>
    <row r="698">
      <c r="B698" s="72"/>
      <c r="C698" s="72"/>
      <c r="D698" s="72"/>
    </row>
    <row r="699">
      <c r="B699" s="72"/>
      <c r="C699" s="72"/>
      <c r="D699" s="72"/>
    </row>
    <row r="700">
      <c r="B700" s="72"/>
      <c r="C700" s="72"/>
      <c r="D700" s="72"/>
    </row>
    <row r="701">
      <c r="B701" s="72"/>
      <c r="C701" s="72"/>
      <c r="D701" s="72"/>
    </row>
    <row r="702">
      <c r="B702" s="72"/>
      <c r="C702" s="72"/>
      <c r="D702" s="72"/>
    </row>
    <row r="703">
      <c r="B703" s="72"/>
      <c r="C703" s="72"/>
      <c r="D703" s="72"/>
    </row>
    <row r="704">
      <c r="B704" s="72"/>
      <c r="C704" s="72"/>
      <c r="D704" s="72"/>
    </row>
    <row r="705">
      <c r="B705" s="72"/>
      <c r="C705" s="72"/>
      <c r="D705" s="72"/>
    </row>
    <row r="706">
      <c r="B706" s="72"/>
      <c r="C706" s="72"/>
      <c r="D706" s="72"/>
    </row>
    <row r="707">
      <c r="B707" s="72"/>
      <c r="C707" s="72"/>
      <c r="D707" s="72"/>
    </row>
    <row r="708">
      <c r="B708" s="72"/>
      <c r="C708" s="72"/>
      <c r="D708" s="72"/>
    </row>
    <row r="709">
      <c r="B709" s="72"/>
      <c r="C709" s="72"/>
      <c r="D709" s="72"/>
    </row>
    <row r="710">
      <c r="B710" s="72"/>
      <c r="C710" s="72"/>
      <c r="D710" s="72"/>
    </row>
    <row r="711">
      <c r="B711" s="72"/>
      <c r="C711" s="72"/>
      <c r="D711" s="72"/>
    </row>
    <row r="712">
      <c r="B712" s="72"/>
      <c r="C712" s="72"/>
      <c r="D712" s="72"/>
    </row>
    <row r="713">
      <c r="B713" s="72"/>
      <c r="C713" s="72"/>
      <c r="D713" s="72"/>
    </row>
    <row r="714">
      <c r="B714" s="72"/>
      <c r="C714" s="72"/>
      <c r="D714" s="72"/>
    </row>
    <row r="715">
      <c r="B715" s="72"/>
      <c r="C715" s="72"/>
      <c r="D715" s="72"/>
    </row>
    <row r="716">
      <c r="B716" s="72"/>
      <c r="C716" s="72"/>
      <c r="D716" s="72"/>
    </row>
    <row r="717">
      <c r="B717" s="72"/>
      <c r="C717" s="72"/>
      <c r="D717" s="72"/>
    </row>
    <row r="718">
      <c r="B718" s="72"/>
      <c r="C718" s="72"/>
      <c r="D718" s="72"/>
    </row>
    <row r="719">
      <c r="B719" s="72"/>
      <c r="C719" s="72"/>
      <c r="D719" s="72"/>
    </row>
    <row r="720">
      <c r="B720" s="72"/>
      <c r="C720" s="72"/>
      <c r="D720" s="72"/>
    </row>
    <row r="721">
      <c r="B721" s="72"/>
      <c r="C721" s="72"/>
      <c r="D721" s="72"/>
    </row>
    <row r="722">
      <c r="B722" s="72"/>
      <c r="C722" s="72"/>
      <c r="D722" s="72"/>
    </row>
    <row r="723">
      <c r="B723" s="72"/>
      <c r="C723" s="72"/>
      <c r="D723" s="72"/>
    </row>
    <row r="724">
      <c r="B724" s="72"/>
      <c r="C724" s="72"/>
      <c r="D724" s="72"/>
    </row>
    <row r="725">
      <c r="B725" s="72"/>
      <c r="C725" s="72"/>
      <c r="D725" s="72"/>
    </row>
    <row r="726">
      <c r="B726" s="72"/>
      <c r="C726" s="72"/>
      <c r="D726" s="72"/>
    </row>
    <row r="727">
      <c r="B727" s="72"/>
      <c r="C727" s="72"/>
      <c r="D727" s="72"/>
    </row>
    <row r="728">
      <c r="B728" s="72"/>
      <c r="C728" s="72"/>
      <c r="D728" s="72"/>
    </row>
    <row r="729">
      <c r="B729" s="72"/>
      <c r="C729" s="72"/>
      <c r="D729" s="72"/>
    </row>
    <row r="730">
      <c r="B730" s="72"/>
      <c r="C730" s="72"/>
      <c r="D730" s="72"/>
    </row>
    <row r="731">
      <c r="B731" s="72"/>
      <c r="C731" s="72"/>
      <c r="D731" s="72"/>
    </row>
    <row r="732">
      <c r="B732" s="72"/>
      <c r="C732" s="72"/>
      <c r="D732" s="72"/>
    </row>
    <row r="733">
      <c r="B733" s="72"/>
      <c r="C733" s="72"/>
      <c r="D733" s="72"/>
    </row>
    <row r="734">
      <c r="B734" s="72"/>
      <c r="C734" s="72"/>
      <c r="D734" s="72"/>
    </row>
    <row r="735">
      <c r="B735" s="72"/>
      <c r="C735" s="72"/>
      <c r="D735" s="72"/>
    </row>
    <row r="736">
      <c r="B736" s="72"/>
      <c r="C736" s="72"/>
      <c r="D736" s="72"/>
    </row>
    <row r="737">
      <c r="B737" s="72"/>
      <c r="C737" s="72"/>
      <c r="D737" s="72"/>
    </row>
    <row r="738">
      <c r="B738" s="72"/>
      <c r="C738" s="72"/>
      <c r="D738" s="72"/>
    </row>
    <row r="739">
      <c r="B739" s="72"/>
      <c r="C739" s="72"/>
      <c r="D739" s="72"/>
    </row>
    <row r="740">
      <c r="B740" s="72"/>
      <c r="C740" s="72"/>
      <c r="D740" s="72"/>
    </row>
    <row r="741">
      <c r="B741" s="72"/>
      <c r="C741" s="72"/>
      <c r="D741" s="72"/>
    </row>
    <row r="742">
      <c r="B742" s="72"/>
      <c r="C742" s="72"/>
      <c r="D742" s="72"/>
    </row>
    <row r="743">
      <c r="B743" s="72"/>
      <c r="C743" s="72"/>
      <c r="D743" s="72"/>
    </row>
    <row r="744">
      <c r="B744" s="72"/>
      <c r="C744" s="72"/>
      <c r="D744" s="72"/>
    </row>
    <row r="745">
      <c r="B745" s="72"/>
      <c r="C745" s="72"/>
      <c r="D745" s="72"/>
    </row>
    <row r="746">
      <c r="B746" s="72"/>
      <c r="C746" s="72"/>
      <c r="D746" s="72"/>
    </row>
    <row r="747">
      <c r="B747" s="72"/>
      <c r="C747" s="72"/>
      <c r="D747" s="72"/>
    </row>
    <row r="748">
      <c r="B748" s="72"/>
      <c r="C748" s="72"/>
      <c r="D748" s="72"/>
    </row>
    <row r="749">
      <c r="B749" s="72"/>
      <c r="C749" s="72"/>
      <c r="D749" s="72"/>
    </row>
    <row r="750">
      <c r="B750" s="72"/>
      <c r="C750" s="72"/>
      <c r="D750" s="72"/>
    </row>
    <row r="751">
      <c r="B751" s="72"/>
      <c r="C751" s="72"/>
      <c r="D751" s="72"/>
    </row>
    <row r="752">
      <c r="B752" s="72"/>
      <c r="C752" s="72"/>
      <c r="D752" s="72"/>
    </row>
    <row r="753">
      <c r="B753" s="72"/>
      <c r="C753" s="72"/>
      <c r="D753" s="72"/>
    </row>
    <row r="754">
      <c r="B754" s="72"/>
      <c r="C754" s="72"/>
      <c r="D754" s="72"/>
    </row>
    <row r="755">
      <c r="B755" s="72"/>
      <c r="C755" s="72"/>
      <c r="D755" s="72"/>
    </row>
    <row r="756">
      <c r="B756" s="72"/>
      <c r="C756" s="72"/>
      <c r="D756" s="72"/>
    </row>
    <row r="757">
      <c r="B757" s="72"/>
      <c r="C757" s="72"/>
      <c r="D757" s="72"/>
    </row>
    <row r="758">
      <c r="B758" s="72"/>
      <c r="C758" s="72"/>
      <c r="D758" s="72"/>
    </row>
    <row r="759">
      <c r="B759" s="72"/>
      <c r="C759" s="72"/>
      <c r="D759" s="72"/>
    </row>
    <row r="760">
      <c r="B760" s="72"/>
      <c r="C760" s="72"/>
      <c r="D760" s="72"/>
    </row>
    <row r="761">
      <c r="B761" s="72"/>
      <c r="C761" s="72"/>
      <c r="D761" s="72"/>
    </row>
    <row r="762">
      <c r="B762" s="72"/>
      <c r="C762" s="72"/>
      <c r="D762" s="72"/>
    </row>
    <row r="763">
      <c r="B763" s="72"/>
      <c r="C763" s="72"/>
      <c r="D763" s="72"/>
    </row>
    <row r="764">
      <c r="B764" s="72"/>
      <c r="C764" s="72"/>
      <c r="D764" s="72"/>
    </row>
    <row r="765">
      <c r="B765" s="72"/>
      <c r="C765" s="72"/>
      <c r="D765" s="72"/>
    </row>
    <row r="766">
      <c r="B766" s="72"/>
      <c r="C766" s="72"/>
      <c r="D766" s="72"/>
    </row>
    <row r="767">
      <c r="B767" s="72"/>
      <c r="C767" s="72"/>
      <c r="D767" s="72"/>
    </row>
    <row r="768">
      <c r="B768" s="72"/>
      <c r="C768" s="72"/>
      <c r="D768" s="72"/>
    </row>
    <row r="769">
      <c r="B769" s="72"/>
      <c r="C769" s="72"/>
      <c r="D769" s="72"/>
    </row>
    <row r="770">
      <c r="B770" s="72"/>
      <c r="C770" s="72"/>
      <c r="D770" s="72"/>
    </row>
    <row r="771">
      <c r="B771" s="72"/>
      <c r="C771" s="72"/>
      <c r="D771" s="72"/>
    </row>
    <row r="772">
      <c r="B772" s="72"/>
      <c r="C772" s="72"/>
      <c r="D772" s="72"/>
    </row>
    <row r="773">
      <c r="B773" s="72"/>
      <c r="C773" s="72"/>
      <c r="D773" s="72"/>
    </row>
    <row r="774">
      <c r="B774" s="72"/>
      <c r="C774" s="72"/>
      <c r="D774" s="72"/>
    </row>
    <row r="775">
      <c r="B775" s="72"/>
      <c r="C775" s="72"/>
      <c r="D775" s="72"/>
    </row>
    <row r="776">
      <c r="B776" s="72"/>
      <c r="C776" s="72"/>
      <c r="D776" s="72"/>
    </row>
    <row r="777">
      <c r="B777" s="72"/>
      <c r="C777" s="72"/>
      <c r="D777" s="72"/>
    </row>
    <row r="778">
      <c r="B778" s="72"/>
      <c r="C778" s="72"/>
      <c r="D778" s="72"/>
    </row>
    <row r="779">
      <c r="B779" s="72"/>
      <c r="C779" s="72"/>
      <c r="D779" s="72"/>
    </row>
    <row r="780">
      <c r="B780" s="72"/>
      <c r="C780" s="72"/>
      <c r="D780" s="72"/>
    </row>
    <row r="781">
      <c r="B781" s="72"/>
      <c r="C781" s="72"/>
      <c r="D781" s="72"/>
    </row>
    <row r="782">
      <c r="B782" s="72"/>
      <c r="C782" s="72"/>
      <c r="D782" s="72"/>
    </row>
    <row r="783">
      <c r="B783" s="72"/>
      <c r="C783" s="72"/>
      <c r="D783" s="72"/>
    </row>
    <row r="784">
      <c r="B784" s="72"/>
      <c r="C784" s="72"/>
      <c r="D784" s="72"/>
    </row>
    <row r="785">
      <c r="B785" s="72"/>
      <c r="C785" s="72"/>
      <c r="D785" s="72"/>
    </row>
    <row r="786">
      <c r="B786" s="72"/>
      <c r="C786" s="72"/>
      <c r="D786" s="72"/>
    </row>
    <row r="787">
      <c r="B787" s="72"/>
      <c r="C787" s="72"/>
      <c r="D787" s="72"/>
    </row>
    <row r="788">
      <c r="B788" s="72"/>
      <c r="C788" s="72"/>
      <c r="D788" s="72"/>
    </row>
    <row r="789">
      <c r="B789" s="72"/>
      <c r="C789" s="72"/>
      <c r="D789" s="72"/>
    </row>
    <row r="790">
      <c r="B790" s="72"/>
      <c r="C790" s="72"/>
      <c r="D790" s="72"/>
    </row>
    <row r="791">
      <c r="B791" s="72"/>
      <c r="C791" s="72"/>
      <c r="D791" s="72"/>
    </row>
    <row r="792">
      <c r="B792" s="72"/>
      <c r="C792" s="72"/>
      <c r="D792" s="72"/>
    </row>
    <row r="793">
      <c r="B793" s="72"/>
      <c r="C793" s="72"/>
      <c r="D793" s="72"/>
    </row>
    <row r="794">
      <c r="B794" s="72"/>
      <c r="C794" s="72"/>
      <c r="D794" s="72"/>
    </row>
    <row r="795">
      <c r="B795" s="72"/>
      <c r="C795" s="72"/>
      <c r="D795" s="72"/>
    </row>
    <row r="796">
      <c r="B796" s="72"/>
      <c r="C796" s="72"/>
      <c r="D796" s="72"/>
    </row>
    <row r="797">
      <c r="B797" s="72"/>
      <c r="C797" s="72"/>
      <c r="D797" s="72"/>
    </row>
    <row r="798">
      <c r="B798" s="72"/>
      <c r="C798" s="72"/>
      <c r="D798" s="72"/>
    </row>
    <row r="799">
      <c r="B799" s="72"/>
      <c r="C799" s="72"/>
      <c r="D799" s="72"/>
    </row>
    <row r="800">
      <c r="B800" s="72"/>
      <c r="C800" s="72"/>
      <c r="D800" s="72"/>
    </row>
    <row r="801">
      <c r="B801" s="72"/>
      <c r="C801" s="72"/>
      <c r="D801" s="72"/>
    </row>
    <row r="802">
      <c r="B802" s="72"/>
      <c r="C802" s="72"/>
      <c r="D802" s="72"/>
    </row>
    <row r="803">
      <c r="B803" s="72"/>
      <c r="C803" s="72"/>
      <c r="D803" s="72"/>
    </row>
    <row r="804">
      <c r="B804" s="72"/>
      <c r="C804" s="72"/>
      <c r="D804" s="72"/>
    </row>
    <row r="805">
      <c r="B805" s="72"/>
      <c r="C805" s="72"/>
      <c r="D805" s="72"/>
    </row>
    <row r="806">
      <c r="B806" s="72"/>
      <c r="C806" s="72"/>
      <c r="D806" s="72"/>
    </row>
    <row r="807">
      <c r="B807" s="72"/>
      <c r="C807" s="72"/>
      <c r="D807" s="72"/>
    </row>
    <row r="808">
      <c r="B808" s="72"/>
      <c r="C808" s="72"/>
      <c r="D808" s="72"/>
    </row>
    <row r="809">
      <c r="B809" s="72"/>
      <c r="C809" s="72"/>
      <c r="D809" s="72"/>
    </row>
    <row r="810">
      <c r="B810" s="72"/>
      <c r="C810" s="72"/>
      <c r="D810" s="72"/>
    </row>
    <row r="811">
      <c r="B811" s="72"/>
      <c r="C811" s="72"/>
      <c r="D811" s="72"/>
    </row>
    <row r="812">
      <c r="B812" s="72"/>
      <c r="C812" s="72"/>
      <c r="D812" s="72"/>
    </row>
    <row r="813">
      <c r="B813" s="72"/>
      <c r="C813" s="72"/>
      <c r="D813" s="72"/>
    </row>
    <row r="814">
      <c r="B814" s="72"/>
      <c r="C814" s="72"/>
      <c r="D814" s="72"/>
    </row>
    <row r="815">
      <c r="B815" s="72"/>
      <c r="C815" s="72"/>
      <c r="D815" s="72"/>
    </row>
    <row r="816">
      <c r="B816" s="72"/>
      <c r="C816" s="72"/>
      <c r="D816" s="72"/>
    </row>
    <row r="817">
      <c r="B817" s="72"/>
      <c r="C817" s="72"/>
      <c r="D817" s="72"/>
    </row>
    <row r="818">
      <c r="B818" s="72"/>
      <c r="C818" s="72"/>
      <c r="D818" s="72"/>
    </row>
    <row r="819">
      <c r="B819" s="72"/>
      <c r="C819" s="72"/>
      <c r="D819" s="72"/>
    </row>
    <row r="820">
      <c r="B820" s="72"/>
      <c r="C820" s="72"/>
      <c r="D820" s="72"/>
    </row>
    <row r="821">
      <c r="B821" s="72"/>
      <c r="C821" s="72"/>
      <c r="D821" s="72"/>
    </row>
    <row r="822">
      <c r="B822" s="72"/>
      <c r="C822" s="72"/>
      <c r="D822" s="72"/>
    </row>
    <row r="823">
      <c r="B823" s="72"/>
      <c r="C823" s="72"/>
      <c r="D823" s="72"/>
    </row>
    <row r="824">
      <c r="B824" s="72"/>
      <c r="C824" s="72"/>
      <c r="D824" s="72"/>
    </row>
    <row r="825">
      <c r="B825" s="72"/>
      <c r="C825" s="72"/>
      <c r="D825" s="72"/>
    </row>
    <row r="826">
      <c r="B826" s="72"/>
      <c r="C826" s="72"/>
      <c r="D826" s="72"/>
    </row>
    <row r="827">
      <c r="B827" s="72"/>
      <c r="C827" s="72"/>
      <c r="D827" s="72"/>
    </row>
    <row r="828">
      <c r="B828" s="72"/>
      <c r="C828" s="72"/>
      <c r="D828" s="72"/>
    </row>
    <row r="829">
      <c r="B829" s="72"/>
      <c r="C829" s="72"/>
      <c r="D829" s="72"/>
    </row>
    <row r="830">
      <c r="B830" s="72"/>
      <c r="C830" s="72"/>
      <c r="D830" s="72"/>
    </row>
    <row r="831">
      <c r="B831" s="72"/>
      <c r="C831" s="72"/>
      <c r="D831" s="72"/>
    </row>
    <row r="832">
      <c r="B832" s="72"/>
      <c r="C832" s="72"/>
      <c r="D832" s="72"/>
    </row>
    <row r="833">
      <c r="B833" s="72"/>
      <c r="C833" s="72"/>
      <c r="D833" s="72"/>
    </row>
    <row r="834">
      <c r="B834" s="72"/>
      <c r="C834" s="72"/>
      <c r="D834" s="72"/>
    </row>
    <row r="835">
      <c r="B835" s="72"/>
      <c r="C835" s="72"/>
      <c r="D835" s="72"/>
    </row>
    <row r="836">
      <c r="B836" s="72"/>
      <c r="C836" s="72"/>
      <c r="D836" s="72"/>
    </row>
    <row r="837">
      <c r="B837" s="72"/>
      <c r="C837" s="72"/>
      <c r="D837" s="72"/>
    </row>
    <row r="838">
      <c r="B838" s="72"/>
      <c r="C838" s="72"/>
      <c r="D838" s="72"/>
    </row>
    <row r="839">
      <c r="B839" s="72"/>
      <c r="C839" s="72"/>
      <c r="D839" s="72"/>
    </row>
    <row r="840">
      <c r="B840" s="72"/>
      <c r="C840" s="72"/>
      <c r="D840" s="72"/>
    </row>
    <row r="841">
      <c r="B841" s="72"/>
      <c r="C841" s="72"/>
      <c r="D841" s="72"/>
    </row>
    <row r="842">
      <c r="B842" s="72"/>
      <c r="C842" s="72"/>
      <c r="D842" s="72"/>
    </row>
    <row r="843">
      <c r="B843" s="72"/>
      <c r="C843" s="72"/>
      <c r="D843" s="72"/>
    </row>
    <row r="844">
      <c r="B844" s="72"/>
      <c r="C844" s="72"/>
      <c r="D844" s="72"/>
    </row>
    <row r="845">
      <c r="B845" s="72"/>
      <c r="C845" s="72"/>
      <c r="D845" s="72"/>
    </row>
    <row r="846">
      <c r="B846" s="72"/>
      <c r="C846" s="72"/>
      <c r="D846" s="72"/>
    </row>
    <row r="847">
      <c r="B847" s="72"/>
      <c r="C847" s="72"/>
      <c r="D847" s="72"/>
    </row>
    <row r="848">
      <c r="B848" s="72"/>
      <c r="C848" s="72"/>
      <c r="D848" s="72"/>
    </row>
    <row r="849">
      <c r="B849" s="72"/>
      <c r="C849" s="72"/>
      <c r="D849" s="72"/>
    </row>
    <row r="850">
      <c r="B850" s="72"/>
      <c r="C850" s="72"/>
      <c r="D850" s="72"/>
    </row>
    <row r="851">
      <c r="B851" s="72"/>
      <c r="C851" s="72"/>
      <c r="D851" s="72"/>
    </row>
    <row r="852">
      <c r="B852" s="72"/>
      <c r="C852" s="72"/>
      <c r="D852" s="72"/>
    </row>
    <row r="853">
      <c r="B853" s="72"/>
      <c r="C853" s="72"/>
      <c r="D853" s="72"/>
    </row>
    <row r="854">
      <c r="B854" s="72"/>
      <c r="C854" s="72"/>
      <c r="D854" s="72"/>
    </row>
    <row r="855">
      <c r="B855" s="72"/>
      <c r="C855" s="72"/>
      <c r="D855" s="72"/>
    </row>
    <row r="856">
      <c r="B856" s="72"/>
      <c r="C856" s="72"/>
      <c r="D856" s="72"/>
    </row>
    <row r="857">
      <c r="B857" s="72"/>
      <c r="C857" s="72"/>
      <c r="D857" s="72"/>
    </row>
    <row r="858">
      <c r="B858" s="72"/>
      <c r="C858" s="72"/>
      <c r="D858" s="72"/>
    </row>
    <row r="859">
      <c r="B859" s="72"/>
      <c r="C859" s="72"/>
      <c r="D859" s="72"/>
    </row>
    <row r="860">
      <c r="B860" s="72"/>
      <c r="C860" s="72"/>
      <c r="D860" s="72"/>
    </row>
    <row r="861">
      <c r="B861" s="72"/>
      <c r="C861" s="72"/>
      <c r="D861" s="72"/>
    </row>
    <row r="862">
      <c r="B862" s="72"/>
      <c r="C862" s="72"/>
      <c r="D862" s="72"/>
    </row>
    <row r="863">
      <c r="B863" s="72"/>
      <c r="C863" s="72"/>
      <c r="D863" s="72"/>
    </row>
    <row r="864">
      <c r="B864" s="72"/>
      <c r="C864" s="72"/>
      <c r="D864" s="72"/>
    </row>
    <row r="865">
      <c r="B865" s="72"/>
      <c r="C865" s="72"/>
      <c r="D865" s="72"/>
    </row>
    <row r="866">
      <c r="B866" s="72"/>
      <c r="C866" s="72"/>
      <c r="D866" s="72"/>
    </row>
    <row r="867">
      <c r="B867" s="72"/>
      <c r="C867" s="72"/>
      <c r="D867" s="72"/>
    </row>
    <row r="868">
      <c r="B868" s="72"/>
      <c r="C868" s="72"/>
      <c r="D868" s="72"/>
    </row>
    <row r="869">
      <c r="B869" s="72"/>
      <c r="C869" s="72"/>
      <c r="D869" s="72"/>
    </row>
    <row r="870">
      <c r="B870" s="72"/>
      <c r="C870" s="72"/>
      <c r="D870" s="72"/>
    </row>
    <row r="871">
      <c r="B871" s="72"/>
      <c r="C871" s="72"/>
      <c r="D871" s="72"/>
    </row>
    <row r="872">
      <c r="B872" s="72"/>
      <c r="C872" s="72"/>
      <c r="D872" s="72"/>
    </row>
    <row r="873">
      <c r="B873" s="72"/>
      <c r="C873" s="72"/>
      <c r="D873" s="72"/>
    </row>
    <row r="874">
      <c r="B874" s="72"/>
      <c r="C874" s="72"/>
      <c r="D874" s="72"/>
    </row>
    <row r="875">
      <c r="B875" s="72"/>
      <c r="C875" s="72"/>
      <c r="D875" s="72"/>
    </row>
    <row r="876">
      <c r="B876" s="72"/>
      <c r="C876" s="72"/>
      <c r="D876" s="72"/>
    </row>
    <row r="877">
      <c r="B877" s="72"/>
      <c r="C877" s="72"/>
      <c r="D877" s="72"/>
    </row>
    <row r="878">
      <c r="B878" s="72"/>
      <c r="C878" s="72"/>
      <c r="D878" s="72"/>
    </row>
    <row r="879">
      <c r="B879" s="72"/>
      <c r="C879" s="72"/>
      <c r="D879" s="72"/>
    </row>
    <row r="880">
      <c r="B880" s="72"/>
      <c r="C880" s="72"/>
      <c r="D880" s="72"/>
    </row>
    <row r="881">
      <c r="B881" s="72"/>
      <c r="C881" s="72"/>
      <c r="D881" s="72"/>
    </row>
    <row r="882">
      <c r="B882" s="72"/>
      <c r="C882" s="72"/>
      <c r="D882" s="72"/>
    </row>
    <row r="883">
      <c r="B883" s="72"/>
      <c r="C883" s="72"/>
      <c r="D883" s="72"/>
    </row>
    <row r="884">
      <c r="B884" s="72"/>
      <c r="C884" s="72"/>
      <c r="D884" s="72"/>
    </row>
    <row r="885">
      <c r="B885" s="72"/>
      <c r="C885" s="72"/>
      <c r="D885" s="72"/>
    </row>
    <row r="886">
      <c r="B886" s="72"/>
      <c r="C886" s="72"/>
      <c r="D886" s="72"/>
    </row>
    <row r="887">
      <c r="B887" s="72"/>
      <c r="C887" s="72"/>
      <c r="D887" s="72"/>
    </row>
    <row r="888">
      <c r="B888" s="72"/>
      <c r="C888" s="72"/>
      <c r="D888" s="72"/>
    </row>
    <row r="889">
      <c r="B889" s="72"/>
      <c r="C889" s="72"/>
      <c r="D889" s="72"/>
    </row>
    <row r="890">
      <c r="B890" s="72"/>
      <c r="C890" s="72"/>
      <c r="D890" s="72"/>
    </row>
    <row r="891">
      <c r="B891" s="72"/>
      <c r="C891" s="72"/>
      <c r="D891" s="72"/>
    </row>
    <row r="892">
      <c r="B892" s="72"/>
      <c r="C892" s="72"/>
      <c r="D892" s="72"/>
    </row>
    <row r="893">
      <c r="B893" s="72"/>
      <c r="C893" s="72"/>
      <c r="D893" s="72"/>
    </row>
    <row r="894">
      <c r="B894" s="72"/>
      <c r="C894" s="72"/>
      <c r="D894" s="72"/>
    </row>
    <row r="895">
      <c r="B895" s="72"/>
      <c r="C895" s="72"/>
      <c r="D895" s="72"/>
    </row>
    <row r="896">
      <c r="B896" s="72"/>
      <c r="C896" s="72"/>
      <c r="D896" s="72"/>
    </row>
    <row r="897">
      <c r="B897" s="72"/>
      <c r="C897" s="72"/>
      <c r="D897" s="72"/>
    </row>
    <row r="898">
      <c r="B898" s="72"/>
      <c r="C898" s="72"/>
      <c r="D898" s="72"/>
    </row>
    <row r="899">
      <c r="B899" s="72"/>
      <c r="C899" s="72"/>
      <c r="D899" s="72"/>
    </row>
    <row r="900">
      <c r="B900" s="72"/>
      <c r="C900" s="72"/>
      <c r="D900" s="72"/>
    </row>
    <row r="901">
      <c r="B901" s="72"/>
      <c r="C901" s="72"/>
      <c r="D901" s="72"/>
    </row>
    <row r="902">
      <c r="B902" s="72"/>
      <c r="C902" s="72"/>
      <c r="D902" s="72"/>
    </row>
    <row r="903">
      <c r="B903" s="72"/>
      <c r="C903" s="72"/>
      <c r="D903" s="72"/>
    </row>
    <row r="904">
      <c r="B904" s="72"/>
      <c r="C904" s="72"/>
      <c r="D904" s="72"/>
    </row>
    <row r="905">
      <c r="B905" s="72"/>
      <c r="C905" s="72"/>
      <c r="D905" s="72"/>
    </row>
    <row r="906">
      <c r="B906" s="72"/>
      <c r="C906" s="72"/>
      <c r="D906" s="72"/>
    </row>
    <row r="907">
      <c r="B907" s="72"/>
      <c r="C907" s="72"/>
      <c r="D907" s="72"/>
    </row>
    <row r="908">
      <c r="B908" s="72"/>
      <c r="C908" s="72"/>
      <c r="D908" s="72"/>
    </row>
    <row r="909">
      <c r="B909" s="72"/>
      <c r="C909" s="72"/>
      <c r="D909" s="72"/>
    </row>
    <row r="910">
      <c r="B910" s="72"/>
      <c r="C910" s="72"/>
      <c r="D910" s="72"/>
    </row>
    <row r="911">
      <c r="B911" s="72"/>
      <c r="C911" s="72"/>
      <c r="D911" s="72"/>
    </row>
    <row r="912">
      <c r="B912" s="72"/>
      <c r="C912" s="72"/>
      <c r="D912" s="72"/>
    </row>
    <row r="913">
      <c r="B913" s="72"/>
      <c r="C913" s="72"/>
      <c r="D913" s="72"/>
    </row>
    <row r="914">
      <c r="B914" s="72"/>
      <c r="C914" s="72"/>
      <c r="D914" s="72"/>
    </row>
    <row r="915">
      <c r="B915" s="72"/>
      <c r="C915" s="72"/>
      <c r="D915" s="72"/>
    </row>
    <row r="916">
      <c r="B916" s="72"/>
      <c r="C916" s="72"/>
      <c r="D916" s="72"/>
    </row>
    <row r="917">
      <c r="B917" s="72"/>
      <c r="C917" s="72"/>
      <c r="D917" s="72"/>
    </row>
    <row r="918">
      <c r="B918" s="72"/>
      <c r="C918" s="72"/>
      <c r="D918" s="72"/>
    </row>
    <row r="919">
      <c r="B919" s="72"/>
      <c r="C919" s="72"/>
      <c r="D919" s="72"/>
    </row>
    <row r="920">
      <c r="B920" s="72"/>
      <c r="C920" s="72"/>
      <c r="D920" s="72"/>
    </row>
    <row r="921">
      <c r="B921" s="72"/>
      <c r="C921" s="72"/>
      <c r="D921" s="72"/>
    </row>
    <row r="922">
      <c r="B922" s="72"/>
      <c r="C922" s="72"/>
      <c r="D922" s="72"/>
    </row>
    <row r="923">
      <c r="B923" s="72"/>
      <c r="C923" s="72"/>
      <c r="D923" s="72"/>
    </row>
    <row r="924">
      <c r="B924" s="72"/>
      <c r="C924" s="72"/>
      <c r="D924" s="72"/>
    </row>
    <row r="925">
      <c r="B925" s="72"/>
      <c r="C925" s="72"/>
      <c r="D925" s="72"/>
    </row>
    <row r="926">
      <c r="B926" s="72"/>
      <c r="C926" s="72"/>
      <c r="D926" s="72"/>
    </row>
    <row r="927">
      <c r="B927" s="72"/>
      <c r="C927" s="72"/>
      <c r="D927" s="72"/>
    </row>
    <row r="928">
      <c r="B928" s="72"/>
      <c r="C928" s="72"/>
      <c r="D928" s="72"/>
    </row>
    <row r="929">
      <c r="B929" s="72"/>
      <c r="C929" s="72"/>
      <c r="D929" s="72"/>
    </row>
    <row r="930">
      <c r="B930" s="72"/>
      <c r="C930" s="72"/>
      <c r="D930" s="72"/>
    </row>
    <row r="931">
      <c r="B931" s="72"/>
      <c r="C931" s="72"/>
      <c r="D931" s="72"/>
    </row>
    <row r="932">
      <c r="B932" s="72"/>
      <c r="C932" s="72"/>
      <c r="D932" s="72"/>
    </row>
    <row r="933">
      <c r="B933" s="72"/>
      <c r="C933" s="72"/>
      <c r="D933" s="72"/>
    </row>
    <row r="934">
      <c r="B934" s="72"/>
      <c r="C934" s="72"/>
      <c r="D934" s="72"/>
    </row>
    <row r="935">
      <c r="B935" s="72"/>
      <c r="C935" s="72"/>
      <c r="D935" s="72"/>
    </row>
    <row r="936">
      <c r="B936" s="72"/>
      <c r="C936" s="72"/>
      <c r="D936" s="72"/>
    </row>
    <row r="937">
      <c r="B937" s="72"/>
      <c r="C937" s="72"/>
      <c r="D937" s="72"/>
    </row>
    <row r="938">
      <c r="B938" s="72"/>
      <c r="C938" s="72"/>
      <c r="D938" s="72"/>
    </row>
    <row r="939">
      <c r="B939" s="72"/>
      <c r="C939" s="72"/>
      <c r="D939" s="72"/>
    </row>
    <row r="940">
      <c r="B940" s="72"/>
      <c r="C940" s="72"/>
      <c r="D940" s="72"/>
    </row>
    <row r="941">
      <c r="B941" s="72"/>
      <c r="C941" s="72"/>
      <c r="D941" s="72"/>
    </row>
    <row r="942">
      <c r="B942" s="72"/>
      <c r="C942" s="72"/>
      <c r="D942" s="72"/>
    </row>
    <row r="943">
      <c r="B943" s="72"/>
      <c r="C943" s="72"/>
      <c r="D943" s="72"/>
    </row>
    <row r="944">
      <c r="B944" s="72"/>
      <c r="C944" s="72"/>
      <c r="D944" s="72"/>
    </row>
    <row r="945">
      <c r="B945" s="72"/>
      <c r="C945" s="72"/>
      <c r="D945" s="72"/>
    </row>
    <row r="946">
      <c r="B946" s="72"/>
      <c r="C946" s="72"/>
      <c r="D946" s="72"/>
    </row>
    <row r="947">
      <c r="B947" s="72"/>
      <c r="C947" s="72"/>
      <c r="D947" s="72"/>
    </row>
    <row r="948">
      <c r="B948" s="72"/>
      <c r="C948" s="72"/>
      <c r="D948" s="72"/>
    </row>
    <row r="949">
      <c r="B949" s="72"/>
      <c r="C949" s="72"/>
      <c r="D949" s="72"/>
    </row>
    <row r="950">
      <c r="B950" s="72"/>
      <c r="C950" s="72"/>
      <c r="D950" s="72"/>
    </row>
    <row r="951">
      <c r="B951" s="72"/>
      <c r="C951" s="72"/>
      <c r="D951" s="72"/>
    </row>
    <row r="952">
      <c r="B952" s="72"/>
      <c r="C952" s="72"/>
      <c r="D952" s="72"/>
    </row>
    <row r="953">
      <c r="B953" s="72"/>
      <c r="C953" s="72"/>
      <c r="D953" s="72"/>
    </row>
    <row r="954">
      <c r="B954" s="72"/>
      <c r="C954" s="72"/>
      <c r="D954" s="72"/>
    </row>
    <row r="955">
      <c r="B955" s="72"/>
      <c r="C955" s="72"/>
      <c r="D955" s="72"/>
    </row>
    <row r="956">
      <c r="B956" s="72"/>
      <c r="C956" s="72"/>
      <c r="D956" s="72"/>
    </row>
    <row r="957">
      <c r="B957" s="72"/>
      <c r="C957" s="72"/>
      <c r="D957" s="72"/>
    </row>
    <row r="958">
      <c r="B958" s="72"/>
      <c r="C958" s="72"/>
      <c r="D958" s="72"/>
    </row>
    <row r="959">
      <c r="B959" s="72"/>
      <c r="C959" s="72"/>
      <c r="D959" s="72"/>
    </row>
    <row r="960">
      <c r="B960" s="72"/>
      <c r="C960" s="72"/>
      <c r="D960" s="72"/>
    </row>
    <row r="961">
      <c r="B961" s="72"/>
      <c r="C961" s="72"/>
      <c r="D961" s="72"/>
    </row>
    <row r="962">
      <c r="B962" s="72"/>
      <c r="C962" s="72"/>
      <c r="D962" s="72"/>
    </row>
    <row r="963">
      <c r="B963" s="72"/>
      <c r="C963" s="72"/>
      <c r="D963" s="72"/>
    </row>
    <row r="964">
      <c r="B964" s="72"/>
      <c r="C964" s="72"/>
      <c r="D964" s="72"/>
    </row>
    <row r="965">
      <c r="B965" s="72"/>
      <c r="C965" s="72"/>
      <c r="D965" s="72"/>
    </row>
    <row r="966">
      <c r="B966" s="72"/>
      <c r="C966" s="72"/>
      <c r="D966" s="72"/>
    </row>
    <row r="967">
      <c r="B967" s="72"/>
      <c r="C967" s="72"/>
      <c r="D967" s="72"/>
    </row>
    <row r="968">
      <c r="B968" s="72"/>
      <c r="C968" s="72"/>
      <c r="D968" s="72"/>
    </row>
    <row r="969">
      <c r="B969" s="72"/>
      <c r="C969" s="72"/>
      <c r="D969" s="72"/>
    </row>
    <row r="970">
      <c r="B970" s="72"/>
      <c r="C970" s="72"/>
      <c r="D970" s="72"/>
    </row>
    <row r="971">
      <c r="B971" s="72"/>
      <c r="C971" s="72"/>
      <c r="D971" s="72"/>
    </row>
    <row r="972">
      <c r="B972" s="72"/>
      <c r="C972" s="72"/>
      <c r="D972" s="72"/>
    </row>
    <row r="973">
      <c r="B973" s="72"/>
      <c r="C973" s="72"/>
      <c r="D973" s="72"/>
    </row>
    <row r="974">
      <c r="B974" s="72"/>
      <c r="C974" s="72"/>
      <c r="D974" s="72"/>
    </row>
    <row r="975">
      <c r="B975" s="72"/>
      <c r="C975" s="72"/>
      <c r="D975" s="72"/>
    </row>
    <row r="976">
      <c r="B976" s="72"/>
      <c r="C976" s="72"/>
      <c r="D976" s="72"/>
    </row>
    <row r="977">
      <c r="B977" s="72"/>
      <c r="C977" s="72"/>
      <c r="D977" s="72"/>
    </row>
    <row r="978">
      <c r="B978" s="72"/>
      <c r="C978" s="72"/>
      <c r="D978" s="72"/>
    </row>
    <row r="979">
      <c r="B979" s="72"/>
      <c r="C979" s="72"/>
      <c r="D979" s="72"/>
    </row>
    <row r="980">
      <c r="B980" s="72"/>
      <c r="C980" s="72"/>
      <c r="D980" s="72"/>
    </row>
    <row r="981">
      <c r="B981" s="72"/>
      <c r="C981" s="72"/>
      <c r="D981" s="72"/>
    </row>
    <row r="982">
      <c r="B982" s="72"/>
      <c r="C982" s="72"/>
      <c r="D982" s="72"/>
    </row>
    <row r="983">
      <c r="B983" s="72"/>
      <c r="C983" s="72"/>
      <c r="D983" s="72"/>
    </row>
    <row r="984">
      <c r="B984" s="72"/>
      <c r="C984" s="72"/>
      <c r="D984" s="72"/>
    </row>
    <row r="985">
      <c r="B985" s="72"/>
      <c r="C985" s="72"/>
      <c r="D985" s="72"/>
    </row>
    <row r="986">
      <c r="B986" s="72"/>
      <c r="C986" s="72"/>
      <c r="D986" s="72"/>
    </row>
    <row r="987">
      <c r="B987" s="72"/>
      <c r="C987" s="72"/>
      <c r="D987" s="72"/>
    </row>
    <row r="988">
      <c r="B988" s="72"/>
      <c r="C988" s="72"/>
      <c r="D988" s="72"/>
    </row>
    <row r="989">
      <c r="B989" s="72"/>
      <c r="C989" s="72"/>
      <c r="D989" s="72"/>
    </row>
    <row r="990">
      <c r="B990" s="72"/>
      <c r="C990" s="72"/>
      <c r="D990" s="72"/>
    </row>
    <row r="991">
      <c r="B991" s="72"/>
      <c r="C991" s="72"/>
      <c r="D991" s="72"/>
    </row>
    <row r="992">
      <c r="B992" s="72"/>
      <c r="C992" s="72"/>
      <c r="D992" s="72"/>
    </row>
    <row r="993">
      <c r="B993" s="72"/>
      <c r="C993" s="72"/>
      <c r="D993" s="72"/>
    </row>
    <row r="994">
      <c r="B994" s="72"/>
      <c r="C994" s="72"/>
      <c r="D994" s="72"/>
    </row>
    <row r="995">
      <c r="B995" s="72"/>
      <c r="C995" s="72"/>
      <c r="D995" s="72"/>
    </row>
    <row r="996">
      <c r="B996" s="72"/>
      <c r="C996" s="72"/>
      <c r="D996" s="72"/>
    </row>
    <row r="997">
      <c r="B997" s="72"/>
      <c r="C997" s="72"/>
      <c r="D997" s="72"/>
    </row>
    <row r="998">
      <c r="B998" s="72"/>
      <c r="C998" s="72"/>
      <c r="D998" s="72"/>
    </row>
    <row r="999">
      <c r="B999" s="72"/>
      <c r="C999" s="72"/>
      <c r="D999" s="72"/>
    </row>
    <row r="1000">
      <c r="B1000" s="72"/>
      <c r="C1000" s="72"/>
      <c r="D1000" s="72"/>
    </row>
    <row r="1001">
      <c r="B1001" s="72"/>
      <c r="C1001" s="72"/>
      <c r="D1001" s="72"/>
    </row>
  </sheetData>
  <mergeCells count="7">
    <mergeCell ref="B2:D2"/>
    <mergeCell ref="L2:Q2"/>
    <mergeCell ref="M3:Q3"/>
    <mergeCell ref="L4:P4"/>
    <mergeCell ref="L5:P5"/>
    <mergeCell ref="Q5:R5"/>
    <mergeCell ref="L6:N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</sheetPr>
  <sheetViews>
    <sheetView workbookViewId="0"/>
  </sheetViews>
  <sheetFormatPr customHeight="1" defaultColWidth="12.63" defaultRowHeight="15.75"/>
  <sheetData>
    <row r="1">
      <c r="A1" s="73"/>
      <c r="B1" s="73"/>
      <c r="C1" s="73"/>
      <c r="D1" s="73"/>
      <c r="E1" s="73"/>
      <c r="F1" s="73"/>
    </row>
    <row r="2">
      <c r="A2" s="73"/>
      <c r="B2" s="74" t="s">
        <v>18</v>
      </c>
      <c r="C2" s="8"/>
      <c r="D2" s="8"/>
      <c r="E2" s="75">
        <f>CalculoAfore!F269+CalculoAfore!H269+CalculoAfore!O269+CalculoAfore!Q269</f>
        <v>176636.3176</v>
      </c>
      <c r="F2" s="9"/>
    </row>
    <row r="3">
      <c r="A3" s="73"/>
      <c r="B3" s="73"/>
      <c r="C3" s="73"/>
      <c r="D3" s="73"/>
      <c r="E3" s="73"/>
      <c r="F3" s="73"/>
    </row>
    <row r="4">
      <c r="A4" s="73"/>
      <c r="B4" s="76" t="s">
        <v>19</v>
      </c>
      <c r="C4" s="8"/>
      <c r="D4" s="8"/>
      <c r="E4" s="8"/>
      <c r="F4" s="9"/>
    </row>
    <row r="5">
      <c r="A5" s="73"/>
      <c r="B5" s="77" t="s">
        <v>20</v>
      </c>
      <c r="C5" s="78"/>
      <c r="D5" s="78"/>
      <c r="E5" s="78"/>
      <c r="F5" s="79"/>
    </row>
    <row r="6">
      <c r="A6" s="73"/>
      <c r="B6" s="80" t="s">
        <v>21</v>
      </c>
      <c r="C6" s="81"/>
      <c r="D6" s="81"/>
      <c r="E6" s="81"/>
      <c r="F6" s="82"/>
    </row>
    <row r="7">
      <c r="A7" s="73"/>
      <c r="B7" s="83" t="s">
        <v>22</v>
      </c>
      <c r="C7" s="84"/>
      <c r="D7" s="84"/>
      <c r="E7" s="84"/>
      <c r="F7" s="85"/>
    </row>
  </sheetData>
  <mergeCells count="6">
    <mergeCell ref="B2:D2"/>
    <mergeCell ref="E2:F2"/>
    <mergeCell ref="B4:F4"/>
    <mergeCell ref="B5:F5"/>
    <mergeCell ref="B6:F6"/>
    <mergeCell ref="B7:F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73"/>
      <c r="B4" s="86" t="s">
        <v>23</v>
      </c>
      <c r="C4" s="86" t="s">
        <v>24</v>
      </c>
      <c r="D4" s="86" t="s">
        <v>25</v>
      </c>
      <c r="E4" s="86" t="s">
        <v>26</v>
      </c>
      <c r="F4" s="86" t="s">
        <v>27</v>
      </c>
      <c r="G4" s="73"/>
      <c r="H4" s="73"/>
      <c r="I4" s="73"/>
    </row>
    <row r="5">
      <c r="A5" s="73"/>
      <c r="B5" s="87">
        <f>IF('Promedio salarial'!L8="","",'Promedio salarial'!L8)</f>
        <v>46023</v>
      </c>
      <c r="C5" s="87">
        <f>IF('Promedio salarial'!M8="","",'Promedio salarial'!M8)</f>
        <v>46106</v>
      </c>
      <c r="D5" s="88">
        <f>IF('Promedio salarial'!N8="","",'Promedio salarial'!N8)</f>
        <v>330.57</v>
      </c>
      <c r="E5" s="89">
        <f t="shared" ref="E5:E265" si="1">IF(B5="",0,(IFERROR(IF(OR(ISBLANK(B5),ISBLANK(C5)),0,IF(((C5-B5+1)+H4)&gt;1750,1750-H4,C5-B5+1)),0)))</f>
        <v>84</v>
      </c>
      <c r="F5" s="89">
        <f t="shared" ref="F5:F265" si="2">+E5/7</f>
        <v>12</v>
      </c>
      <c r="G5" s="90">
        <f t="shared" ref="G5:G265" si="3">F5</f>
        <v>12</v>
      </c>
      <c r="H5" s="90">
        <f t="shared" ref="H5:H265" si="4">+E5</f>
        <v>84</v>
      </c>
      <c r="I5" s="91">
        <f t="shared" ref="I5:I265" si="5">IF(D5="",0,(D5*E5))</f>
        <v>27767.88</v>
      </c>
    </row>
    <row r="6">
      <c r="A6" s="73"/>
      <c r="B6" s="87">
        <f>IF('Promedio salarial'!L9="","",'Promedio salarial'!L9)</f>
        <v>45658</v>
      </c>
      <c r="C6" s="87">
        <f>IF('Promedio salarial'!M9="","",'Promedio salarial'!M9)</f>
        <v>46023</v>
      </c>
      <c r="D6" s="88">
        <f>IF('Promedio salarial'!N9="","",'Promedio salarial'!N9)</f>
        <v>292.54</v>
      </c>
      <c r="E6" s="89">
        <f t="shared" si="1"/>
        <v>366</v>
      </c>
      <c r="F6" s="89">
        <f t="shared" si="2"/>
        <v>52.28571429</v>
      </c>
      <c r="G6" s="90">
        <f t="shared" si="3"/>
        <v>52.28571429</v>
      </c>
      <c r="H6" s="90">
        <f t="shared" si="4"/>
        <v>366</v>
      </c>
      <c r="I6" s="91">
        <f t="shared" si="5"/>
        <v>107069.64</v>
      </c>
    </row>
    <row r="7">
      <c r="A7" s="73"/>
      <c r="B7" s="87">
        <f>IF('Promedio salarial'!L10="","",'Promedio salarial'!L10)</f>
        <v>45292</v>
      </c>
      <c r="C7" s="87">
        <f>IF('Promedio salarial'!M10="","",'Promedio salarial'!M10)</f>
        <v>45658</v>
      </c>
      <c r="D7" s="88">
        <f>IF('Promedio salarial'!N10="","",'Promedio salarial'!N10)</f>
        <v>261.2</v>
      </c>
      <c r="E7" s="89">
        <f t="shared" si="1"/>
        <v>367</v>
      </c>
      <c r="F7" s="89">
        <f t="shared" si="2"/>
        <v>52.42857143</v>
      </c>
      <c r="G7" s="90">
        <f t="shared" si="3"/>
        <v>52.42857143</v>
      </c>
      <c r="H7" s="90">
        <f t="shared" si="4"/>
        <v>367</v>
      </c>
      <c r="I7" s="91">
        <f t="shared" si="5"/>
        <v>95860.4</v>
      </c>
    </row>
    <row r="8">
      <c r="A8" s="73"/>
      <c r="B8" s="87">
        <f>IF('Promedio salarial'!L11="","",'Promedio salarial'!L11)</f>
        <v>44927</v>
      </c>
      <c r="C8" s="87">
        <f>IF('Promedio salarial'!M11="","",'Promedio salarial'!M11)</f>
        <v>45292</v>
      </c>
      <c r="D8" s="88">
        <f>IF('Promedio salarial'!N11="","",'Promedio salarial'!N11)</f>
        <v>217.67</v>
      </c>
      <c r="E8" s="89">
        <f t="shared" si="1"/>
        <v>366</v>
      </c>
      <c r="F8" s="89">
        <f t="shared" si="2"/>
        <v>52.28571429</v>
      </c>
      <c r="G8" s="90">
        <f t="shared" si="3"/>
        <v>52.28571429</v>
      </c>
      <c r="H8" s="90">
        <f t="shared" si="4"/>
        <v>366</v>
      </c>
      <c r="I8" s="91">
        <f t="shared" si="5"/>
        <v>79667.22</v>
      </c>
    </row>
    <row r="9">
      <c r="A9" s="73"/>
      <c r="B9" s="87">
        <f>IF('Promedio salarial'!L12="","",'Promedio salarial'!L12)</f>
        <v>43435</v>
      </c>
      <c r="C9" s="87">
        <f>IF('Promedio salarial'!M12="","",'Promedio salarial'!M12)</f>
        <v>44927</v>
      </c>
      <c r="D9" s="88">
        <f>IF('Promedio salarial'!N12="","",'Promedio salarial'!N12)</f>
        <v>184.71</v>
      </c>
      <c r="E9" s="89">
        <f t="shared" si="1"/>
        <v>1384</v>
      </c>
      <c r="F9" s="89">
        <f t="shared" si="2"/>
        <v>197.7142857</v>
      </c>
      <c r="G9" s="90">
        <f t="shared" si="3"/>
        <v>197.7142857</v>
      </c>
      <c r="H9" s="90">
        <f t="shared" si="4"/>
        <v>1384</v>
      </c>
      <c r="I9" s="91">
        <f t="shared" si="5"/>
        <v>255638.64</v>
      </c>
    </row>
    <row r="10">
      <c r="A10" s="73"/>
      <c r="B10" s="87">
        <f>IF('Promedio salarial'!L13="","",'Promedio salarial'!L13)</f>
        <v>37155</v>
      </c>
      <c r="C10" s="87">
        <f>IF('Promedio salarial'!M13="","",'Promedio salarial'!M13)</f>
        <v>37642</v>
      </c>
      <c r="D10" s="88">
        <f>IF('Promedio salarial'!N13="","",'Promedio salarial'!N13)</f>
        <v>263.02</v>
      </c>
      <c r="E10" s="89">
        <f t="shared" si="1"/>
        <v>366</v>
      </c>
      <c r="F10" s="89">
        <f t="shared" si="2"/>
        <v>52.28571429</v>
      </c>
      <c r="G10" s="90">
        <f t="shared" si="3"/>
        <v>52.28571429</v>
      </c>
      <c r="H10" s="90">
        <f t="shared" si="4"/>
        <v>366</v>
      </c>
      <c r="I10" s="91">
        <f t="shared" si="5"/>
        <v>96265.32</v>
      </c>
    </row>
    <row r="11">
      <c r="A11" s="73"/>
      <c r="B11" s="87">
        <f>IF('Promedio salarial'!L14="","",'Promedio salarial'!L14)</f>
        <v>37005</v>
      </c>
      <c r="C11" s="87">
        <f>IF('Promedio salarial'!M14="","",'Promedio salarial'!M14)</f>
        <v>37155</v>
      </c>
      <c r="D11" s="88">
        <f>IF('Promedio salarial'!N14="","",'Promedio salarial'!N14)</f>
        <v>262.68</v>
      </c>
      <c r="E11" s="89">
        <f t="shared" si="1"/>
        <v>151</v>
      </c>
      <c r="F11" s="89">
        <f t="shared" si="2"/>
        <v>21.57142857</v>
      </c>
      <c r="G11" s="90">
        <f t="shared" si="3"/>
        <v>21.57142857</v>
      </c>
      <c r="H11" s="90">
        <f t="shared" si="4"/>
        <v>151</v>
      </c>
      <c r="I11" s="91">
        <f t="shared" si="5"/>
        <v>39664.68</v>
      </c>
    </row>
    <row r="12">
      <c r="A12" s="73"/>
      <c r="B12" s="87">
        <f>IF('Promedio salarial'!L15="","",'Promedio salarial'!L15)</f>
        <v>36943</v>
      </c>
      <c r="C12" s="87">
        <f>IF('Promedio salarial'!M15="","",'Promedio salarial'!M15)</f>
        <v>37005</v>
      </c>
      <c r="D12" s="88">
        <f>IF('Promedio salarial'!N15="","",'Promedio salarial'!N15)</f>
        <v>261.3</v>
      </c>
      <c r="E12" s="89">
        <f t="shared" si="1"/>
        <v>63</v>
      </c>
      <c r="F12" s="89">
        <f t="shared" si="2"/>
        <v>9</v>
      </c>
      <c r="G12" s="90">
        <f t="shared" si="3"/>
        <v>9</v>
      </c>
      <c r="H12" s="90">
        <f t="shared" si="4"/>
        <v>63</v>
      </c>
      <c r="I12" s="91">
        <f t="shared" si="5"/>
        <v>16461.9</v>
      </c>
    </row>
    <row r="13">
      <c r="A13" s="73"/>
      <c r="B13" s="87">
        <f>IF('Promedio salarial'!L16="","",'Promedio salarial'!L16)</f>
        <v>36745</v>
      </c>
      <c r="C13" s="87">
        <f>IF('Promedio salarial'!M16="","",'Promedio salarial'!M16)</f>
        <v>36943</v>
      </c>
      <c r="D13" s="88">
        <f>IF('Promedio salarial'!N16="","",'Promedio salarial'!N16)</f>
        <v>230</v>
      </c>
      <c r="E13" s="89">
        <f t="shared" si="1"/>
        <v>199</v>
      </c>
      <c r="F13" s="89">
        <f t="shared" si="2"/>
        <v>28.42857143</v>
      </c>
      <c r="G13" s="90">
        <f t="shared" si="3"/>
        <v>28.42857143</v>
      </c>
      <c r="H13" s="90">
        <f t="shared" si="4"/>
        <v>199</v>
      </c>
      <c r="I13" s="91">
        <f t="shared" si="5"/>
        <v>45770</v>
      </c>
    </row>
    <row r="14">
      <c r="A14" s="73"/>
      <c r="B14" s="87">
        <f>IF('Promedio salarial'!L17="","",'Promedio salarial'!L17)</f>
        <v>35886</v>
      </c>
      <c r="C14" s="87">
        <f>IF('Promedio salarial'!M17="","",'Promedio salarial'!M17)</f>
        <v>36745</v>
      </c>
      <c r="D14" s="88">
        <f>IF('Promedio salarial'!N17="","",'Promedio salarial'!N17)</f>
        <v>156.78</v>
      </c>
      <c r="E14" s="89">
        <f t="shared" si="1"/>
        <v>860</v>
      </c>
      <c r="F14" s="89">
        <f t="shared" si="2"/>
        <v>122.8571429</v>
      </c>
      <c r="G14" s="90">
        <f t="shared" si="3"/>
        <v>122.8571429</v>
      </c>
      <c r="H14" s="90">
        <f t="shared" si="4"/>
        <v>860</v>
      </c>
      <c r="I14" s="91">
        <f t="shared" si="5"/>
        <v>134830.8</v>
      </c>
    </row>
    <row r="15">
      <c r="A15" s="73"/>
      <c r="B15" s="87">
        <f>IF('Promedio salarial'!L18="","",'Promedio salarial'!L18)</f>
        <v>35400</v>
      </c>
      <c r="C15" s="87">
        <f>IF('Promedio salarial'!M18="","",'Promedio salarial'!M18)</f>
        <v>35886</v>
      </c>
      <c r="D15" s="88">
        <f>IF('Promedio salarial'!N18="","",'Promedio salarial'!N18)</f>
        <v>104.52</v>
      </c>
      <c r="E15" s="89">
        <f t="shared" si="1"/>
        <v>487</v>
      </c>
      <c r="F15" s="89">
        <f t="shared" si="2"/>
        <v>69.57142857</v>
      </c>
      <c r="G15" s="90">
        <f t="shared" si="3"/>
        <v>69.57142857</v>
      </c>
      <c r="H15" s="90">
        <f t="shared" si="4"/>
        <v>487</v>
      </c>
      <c r="I15" s="91">
        <f t="shared" si="5"/>
        <v>50901.24</v>
      </c>
    </row>
    <row r="16">
      <c r="A16" s="73"/>
      <c r="B16" s="87">
        <f>IF('Promedio salarial'!L19="","",'Promedio salarial'!L19)</f>
        <v>34912</v>
      </c>
      <c r="C16" s="87">
        <f>IF('Promedio salarial'!M19="","",'Promedio salarial'!M19)</f>
        <v>35400</v>
      </c>
      <c r="D16" s="88">
        <f>IF('Promedio salarial'!N19="","",'Promedio salarial'!N19)</f>
        <v>70</v>
      </c>
      <c r="E16" s="89">
        <f t="shared" si="1"/>
        <v>489</v>
      </c>
      <c r="F16" s="89">
        <f t="shared" si="2"/>
        <v>69.85714286</v>
      </c>
      <c r="G16" s="90">
        <f t="shared" si="3"/>
        <v>69.85714286</v>
      </c>
      <c r="H16" s="90">
        <f t="shared" si="4"/>
        <v>489</v>
      </c>
      <c r="I16" s="91">
        <f t="shared" si="5"/>
        <v>34230</v>
      </c>
    </row>
    <row r="17">
      <c r="A17" s="73"/>
      <c r="B17" s="87">
        <f>IF('Promedio salarial'!L20="","",'Promedio salarial'!L20)</f>
        <v>34127</v>
      </c>
      <c r="C17" s="87">
        <f>IF('Promedio salarial'!M20="","",'Promedio salarial'!M20)</f>
        <v>34145</v>
      </c>
      <c r="D17" s="88">
        <f>IF('Promedio salarial'!N20="","",'Promedio salarial'!N20)</f>
        <v>30.57</v>
      </c>
      <c r="E17" s="89">
        <f t="shared" si="1"/>
        <v>19</v>
      </c>
      <c r="F17" s="89">
        <f t="shared" si="2"/>
        <v>2.714285714</v>
      </c>
      <c r="G17" s="90">
        <f t="shared" si="3"/>
        <v>2.714285714</v>
      </c>
      <c r="H17" s="90">
        <f t="shared" si="4"/>
        <v>19</v>
      </c>
      <c r="I17" s="91">
        <f t="shared" si="5"/>
        <v>580.83</v>
      </c>
    </row>
    <row r="18">
      <c r="A18" s="73"/>
      <c r="B18" s="92" t="str">
        <f>IF('Promedio salarial'!L21="","",'Promedio salarial'!L21)</f>
        <v/>
      </c>
      <c r="C18" s="92" t="str">
        <f>IF('Promedio salarial'!M21="","",'Promedio salarial'!M21)</f>
        <v/>
      </c>
      <c r="D18" s="93" t="str">
        <f>IF('Promedio salarial'!N21="","",'Promedio salarial'!N21)</f>
        <v/>
      </c>
      <c r="E18" s="89">
        <f t="shared" si="1"/>
        <v>0</v>
      </c>
      <c r="F18" s="89">
        <f t="shared" si="2"/>
        <v>0</v>
      </c>
      <c r="G18" s="90">
        <f t="shared" si="3"/>
        <v>0</v>
      </c>
      <c r="H18" s="90">
        <f t="shared" si="4"/>
        <v>0</v>
      </c>
      <c r="I18" s="91">
        <f t="shared" si="5"/>
        <v>0</v>
      </c>
    </row>
    <row r="19">
      <c r="A19" s="73"/>
      <c r="B19" s="92" t="str">
        <f>IF('Promedio salarial'!L22="","",'Promedio salarial'!L22)</f>
        <v/>
      </c>
      <c r="C19" s="92" t="str">
        <f>IF('Promedio salarial'!M22="","",'Promedio salarial'!M22)</f>
        <v/>
      </c>
      <c r="D19" s="93" t="str">
        <f>IF('Promedio salarial'!N22="","",'Promedio salarial'!N22)</f>
        <v/>
      </c>
      <c r="E19" s="89">
        <f t="shared" si="1"/>
        <v>0</v>
      </c>
      <c r="F19" s="89">
        <f t="shared" si="2"/>
        <v>0</v>
      </c>
      <c r="G19" s="90">
        <f t="shared" si="3"/>
        <v>0</v>
      </c>
      <c r="H19" s="90">
        <f t="shared" si="4"/>
        <v>0</v>
      </c>
      <c r="I19" s="91">
        <f t="shared" si="5"/>
        <v>0</v>
      </c>
    </row>
    <row r="20">
      <c r="A20" s="73"/>
      <c r="B20" s="92" t="str">
        <f>IF('Promedio salarial'!L23="","",'Promedio salarial'!L23)</f>
        <v/>
      </c>
      <c r="C20" s="92" t="str">
        <f>IF('Promedio salarial'!M23="","",'Promedio salarial'!M23)</f>
        <v/>
      </c>
      <c r="D20" s="93" t="str">
        <f>IF('Promedio salarial'!N23="","",'Promedio salarial'!N23)</f>
        <v/>
      </c>
      <c r="E20" s="89">
        <f t="shared" si="1"/>
        <v>0</v>
      </c>
      <c r="F20" s="89">
        <f t="shared" si="2"/>
        <v>0</v>
      </c>
      <c r="G20" s="90">
        <f t="shared" si="3"/>
        <v>0</v>
      </c>
      <c r="H20" s="90">
        <f t="shared" si="4"/>
        <v>0</v>
      </c>
      <c r="I20" s="91">
        <f t="shared" si="5"/>
        <v>0</v>
      </c>
    </row>
    <row r="21">
      <c r="A21" s="73"/>
      <c r="B21" s="92" t="str">
        <f>IF('Promedio salarial'!L24="","",'Promedio salarial'!L24)</f>
        <v/>
      </c>
      <c r="C21" s="92" t="str">
        <f>IF('Promedio salarial'!M24="","",'Promedio salarial'!M24)</f>
        <v/>
      </c>
      <c r="D21" s="93" t="str">
        <f>IF('Promedio salarial'!N24="","",'Promedio salarial'!N24)</f>
        <v/>
      </c>
      <c r="E21" s="89">
        <f t="shared" si="1"/>
        <v>0</v>
      </c>
      <c r="F21" s="89">
        <f t="shared" si="2"/>
        <v>0</v>
      </c>
      <c r="G21" s="90">
        <f t="shared" si="3"/>
        <v>0</v>
      </c>
      <c r="H21" s="90">
        <f t="shared" si="4"/>
        <v>0</v>
      </c>
      <c r="I21" s="91">
        <f t="shared" si="5"/>
        <v>0</v>
      </c>
    </row>
    <row r="22">
      <c r="A22" s="73"/>
      <c r="B22" s="92" t="str">
        <f>IF('Promedio salarial'!L25="","",'Promedio salarial'!L25)</f>
        <v/>
      </c>
      <c r="C22" s="92" t="str">
        <f>IF('Promedio salarial'!M25="","",'Promedio salarial'!M25)</f>
        <v/>
      </c>
      <c r="D22" s="93" t="str">
        <f>IF('Promedio salarial'!N25="","",'Promedio salarial'!N25)</f>
        <v/>
      </c>
      <c r="E22" s="89">
        <f t="shared" si="1"/>
        <v>0</v>
      </c>
      <c r="F22" s="89">
        <f t="shared" si="2"/>
        <v>0</v>
      </c>
      <c r="G22" s="90">
        <f t="shared" si="3"/>
        <v>0</v>
      </c>
      <c r="H22" s="90">
        <f t="shared" si="4"/>
        <v>0</v>
      </c>
      <c r="I22" s="91">
        <f t="shared" si="5"/>
        <v>0</v>
      </c>
    </row>
    <row r="23">
      <c r="A23" s="73"/>
      <c r="B23" s="92" t="str">
        <f>IF('Promedio salarial'!L26="","",'Promedio salarial'!L26)</f>
        <v/>
      </c>
      <c r="C23" s="92" t="str">
        <f>IF('Promedio salarial'!M26="","",'Promedio salarial'!M26)</f>
        <v/>
      </c>
      <c r="D23" s="93" t="str">
        <f>IF('Promedio salarial'!N26="","",'Promedio salarial'!N26)</f>
        <v/>
      </c>
      <c r="E23" s="89">
        <f t="shared" si="1"/>
        <v>0</v>
      </c>
      <c r="F23" s="89">
        <f t="shared" si="2"/>
        <v>0</v>
      </c>
      <c r="G23" s="90">
        <f t="shared" si="3"/>
        <v>0</v>
      </c>
      <c r="H23" s="90">
        <f t="shared" si="4"/>
        <v>0</v>
      </c>
      <c r="I23" s="91">
        <f t="shared" si="5"/>
        <v>0</v>
      </c>
    </row>
    <row r="24">
      <c r="A24" s="73"/>
      <c r="B24" s="92" t="str">
        <f>IF('Promedio salarial'!L27="","",'Promedio salarial'!L27)</f>
        <v/>
      </c>
      <c r="C24" s="92" t="str">
        <f>IF('Promedio salarial'!M27="","",'Promedio salarial'!M27)</f>
        <v/>
      </c>
      <c r="D24" s="93" t="str">
        <f>IF('Promedio salarial'!N27="","",'Promedio salarial'!N27)</f>
        <v/>
      </c>
      <c r="E24" s="89">
        <f t="shared" si="1"/>
        <v>0</v>
      </c>
      <c r="F24" s="89">
        <f t="shared" si="2"/>
        <v>0</v>
      </c>
      <c r="G24" s="90">
        <f t="shared" si="3"/>
        <v>0</v>
      </c>
      <c r="H24" s="90">
        <f t="shared" si="4"/>
        <v>0</v>
      </c>
      <c r="I24" s="91">
        <f t="shared" si="5"/>
        <v>0</v>
      </c>
    </row>
    <row r="25">
      <c r="A25" s="73"/>
      <c r="B25" s="92" t="str">
        <f>IF('Promedio salarial'!L28="","",'Promedio salarial'!L28)</f>
        <v/>
      </c>
      <c r="C25" s="92" t="str">
        <f>IF('Promedio salarial'!M28="","",'Promedio salarial'!M28)</f>
        <v/>
      </c>
      <c r="D25" s="93" t="str">
        <f>IF('Promedio salarial'!N28="","",'Promedio salarial'!N28)</f>
        <v/>
      </c>
      <c r="E25" s="89">
        <f t="shared" si="1"/>
        <v>0</v>
      </c>
      <c r="F25" s="89">
        <f t="shared" si="2"/>
        <v>0</v>
      </c>
      <c r="G25" s="90">
        <f t="shared" si="3"/>
        <v>0</v>
      </c>
      <c r="H25" s="90">
        <f t="shared" si="4"/>
        <v>0</v>
      </c>
      <c r="I25" s="91">
        <f t="shared" si="5"/>
        <v>0</v>
      </c>
    </row>
    <row r="26">
      <c r="A26" s="73"/>
      <c r="B26" s="92" t="str">
        <f>IF('Promedio salarial'!L29="","",'Promedio salarial'!L29)</f>
        <v/>
      </c>
      <c r="C26" s="92" t="str">
        <f>IF('Promedio salarial'!M29="","",'Promedio salarial'!M29)</f>
        <v/>
      </c>
      <c r="D26" s="93" t="str">
        <f>IF('Promedio salarial'!N29="","",'Promedio salarial'!N29)</f>
        <v/>
      </c>
      <c r="E26" s="89">
        <f t="shared" si="1"/>
        <v>0</v>
      </c>
      <c r="F26" s="89">
        <f t="shared" si="2"/>
        <v>0</v>
      </c>
      <c r="G26" s="90">
        <f t="shared" si="3"/>
        <v>0</v>
      </c>
      <c r="H26" s="90">
        <f t="shared" si="4"/>
        <v>0</v>
      </c>
      <c r="I26" s="91">
        <f t="shared" si="5"/>
        <v>0</v>
      </c>
    </row>
    <row r="27">
      <c r="A27" s="73"/>
      <c r="B27" s="92" t="str">
        <f>IF('Promedio salarial'!L30="","",'Promedio salarial'!L30)</f>
        <v/>
      </c>
      <c r="C27" s="92" t="str">
        <f>IF('Promedio salarial'!M30="","",'Promedio salarial'!M30)</f>
        <v/>
      </c>
      <c r="D27" s="93" t="str">
        <f>IF('Promedio salarial'!N30="","",'Promedio salarial'!N30)</f>
        <v/>
      </c>
      <c r="E27" s="89">
        <f t="shared" si="1"/>
        <v>0</v>
      </c>
      <c r="F27" s="89">
        <f t="shared" si="2"/>
        <v>0</v>
      </c>
      <c r="G27" s="90">
        <f t="shared" si="3"/>
        <v>0</v>
      </c>
      <c r="H27" s="90">
        <f t="shared" si="4"/>
        <v>0</v>
      </c>
      <c r="I27" s="91">
        <f t="shared" si="5"/>
        <v>0</v>
      </c>
    </row>
    <row r="28">
      <c r="A28" s="73"/>
      <c r="B28" s="92" t="str">
        <f>IF('Promedio salarial'!L31="","",'Promedio salarial'!L31)</f>
        <v/>
      </c>
      <c r="C28" s="92" t="str">
        <f>IF('Promedio salarial'!M31="","",'Promedio salarial'!M31)</f>
        <v/>
      </c>
      <c r="D28" s="93" t="str">
        <f>IF('Promedio salarial'!N31="","",'Promedio salarial'!N31)</f>
        <v/>
      </c>
      <c r="E28" s="89">
        <f t="shared" si="1"/>
        <v>0</v>
      </c>
      <c r="F28" s="89">
        <f t="shared" si="2"/>
        <v>0</v>
      </c>
      <c r="G28" s="90">
        <f t="shared" si="3"/>
        <v>0</v>
      </c>
      <c r="H28" s="90">
        <f t="shared" si="4"/>
        <v>0</v>
      </c>
      <c r="I28" s="91">
        <f t="shared" si="5"/>
        <v>0</v>
      </c>
    </row>
    <row r="29">
      <c r="A29" s="73"/>
      <c r="B29" s="92" t="str">
        <f>IF('Promedio salarial'!L32="","",'Promedio salarial'!L32)</f>
        <v/>
      </c>
      <c r="C29" s="92" t="str">
        <f>IF('Promedio salarial'!M32="","",'Promedio salarial'!M32)</f>
        <v/>
      </c>
      <c r="D29" s="93" t="str">
        <f>IF('Promedio salarial'!N32="","",'Promedio salarial'!N32)</f>
        <v/>
      </c>
      <c r="E29" s="89">
        <f t="shared" si="1"/>
        <v>0</v>
      </c>
      <c r="F29" s="89">
        <f t="shared" si="2"/>
        <v>0</v>
      </c>
      <c r="G29" s="90">
        <f t="shared" si="3"/>
        <v>0</v>
      </c>
      <c r="H29" s="90">
        <f t="shared" si="4"/>
        <v>0</v>
      </c>
      <c r="I29" s="91">
        <f t="shared" si="5"/>
        <v>0</v>
      </c>
    </row>
    <row r="30">
      <c r="A30" s="73"/>
      <c r="B30" s="92" t="str">
        <f>IF('Promedio salarial'!L33="","",'Promedio salarial'!L33)</f>
        <v/>
      </c>
      <c r="C30" s="92" t="str">
        <f>IF('Promedio salarial'!M33="","",'Promedio salarial'!M33)</f>
        <v/>
      </c>
      <c r="D30" s="93" t="str">
        <f>IF('Promedio salarial'!N33="","",'Promedio salarial'!N33)</f>
        <v/>
      </c>
      <c r="E30" s="89">
        <f t="shared" si="1"/>
        <v>0</v>
      </c>
      <c r="F30" s="89">
        <f t="shared" si="2"/>
        <v>0</v>
      </c>
      <c r="G30" s="90">
        <f t="shared" si="3"/>
        <v>0</v>
      </c>
      <c r="H30" s="90">
        <f t="shared" si="4"/>
        <v>0</v>
      </c>
      <c r="I30" s="91">
        <f t="shared" si="5"/>
        <v>0</v>
      </c>
    </row>
    <row r="31">
      <c r="A31" s="73"/>
      <c r="B31" s="92" t="str">
        <f>IF('Promedio salarial'!L34="","",'Promedio salarial'!L34)</f>
        <v/>
      </c>
      <c r="C31" s="92" t="str">
        <f>IF('Promedio salarial'!M34="","",'Promedio salarial'!M34)</f>
        <v/>
      </c>
      <c r="D31" s="93" t="str">
        <f>IF('Promedio salarial'!N34="","",'Promedio salarial'!N34)</f>
        <v/>
      </c>
      <c r="E31" s="89">
        <f t="shared" si="1"/>
        <v>0</v>
      </c>
      <c r="F31" s="89">
        <f t="shared" si="2"/>
        <v>0</v>
      </c>
      <c r="G31" s="90">
        <f t="shared" si="3"/>
        <v>0</v>
      </c>
      <c r="H31" s="90">
        <f t="shared" si="4"/>
        <v>0</v>
      </c>
      <c r="I31" s="91">
        <f t="shared" si="5"/>
        <v>0</v>
      </c>
    </row>
    <row r="32">
      <c r="A32" s="73"/>
      <c r="B32" s="92" t="str">
        <f>IF('Promedio salarial'!L35="","",'Promedio salarial'!L35)</f>
        <v/>
      </c>
      <c r="C32" s="92" t="str">
        <f>IF('Promedio salarial'!M35="","",'Promedio salarial'!M35)</f>
        <v/>
      </c>
      <c r="D32" s="93" t="str">
        <f>IF('Promedio salarial'!N35="","",'Promedio salarial'!N35)</f>
        <v/>
      </c>
      <c r="E32" s="89">
        <f t="shared" si="1"/>
        <v>0</v>
      </c>
      <c r="F32" s="89">
        <f t="shared" si="2"/>
        <v>0</v>
      </c>
      <c r="G32" s="90">
        <f t="shared" si="3"/>
        <v>0</v>
      </c>
      <c r="H32" s="90">
        <f t="shared" si="4"/>
        <v>0</v>
      </c>
      <c r="I32" s="91">
        <f t="shared" si="5"/>
        <v>0</v>
      </c>
    </row>
    <row r="33">
      <c r="A33" s="73"/>
      <c r="B33" s="92" t="str">
        <f>IF('Promedio salarial'!L36="","",'Promedio salarial'!L36)</f>
        <v/>
      </c>
      <c r="C33" s="92" t="str">
        <f>IF('Promedio salarial'!M36="","",'Promedio salarial'!M36)</f>
        <v/>
      </c>
      <c r="D33" s="93" t="str">
        <f>IF('Promedio salarial'!N36="","",'Promedio salarial'!N36)</f>
        <v/>
      </c>
      <c r="E33" s="89">
        <f t="shared" si="1"/>
        <v>0</v>
      </c>
      <c r="F33" s="89">
        <f t="shared" si="2"/>
        <v>0</v>
      </c>
      <c r="G33" s="90">
        <f t="shared" si="3"/>
        <v>0</v>
      </c>
      <c r="H33" s="90">
        <f t="shared" si="4"/>
        <v>0</v>
      </c>
      <c r="I33" s="91">
        <f t="shared" si="5"/>
        <v>0</v>
      </c>
    </row>
    <row r="34">
      <c r="A34" s="73"/>
      <c r="B34" s="92" t="str">
        <f>IF('Promedio salarial'!L37="","",'Promedio salarial'!L37)</f>
        <v/>
      </c>
      <c r="C34" s="92" t="str">
        <f>IF('Promedio salarial'!M37="","",'Promedio salarial'!M37)</f>
        <v/>
      </c>
      <c r="D34" s="93" t="str">
        <f>IF('Promedio salarial'!N37="","",'Promedio salarial'!N37)</f>
        <v/>
      </c>
      <c r="E34" s="89">
        <f t="shared" si="1"/>
        <v>0</v>
      </c>
      <c r="F34" s="89">
        <f t="shared" si="2"/>
        <v>0</v>
      </c>
      <c r="G34" s="90">
        <f t="shared" si="3"/>
        <v>0</v>
      </c>
      <c r="H34" s="90">
        <f t="shared" si="4"/>
        <v>0</v>
      </c>
      <c r="I34" s="91">
        <f t="shared" si="5"/>
        <v>0</v>
      </c>
    </row>
    <row r="35">
      <c r="A35" s="73"/>
      <c r="B35" s="92" t="str">
        <f>IF('Promedio salarial'!L38="","",'Promedio salarial'!L38)</f>
        <v/>
      </c>
      <c r="C35" s="92" t="str">
        <f>IF('Promedio salarial'!M38="","",'Promedio salarial'!M38)</f>
        <v/>
      </c>
      <c r="D35" s="93" t="str">
        <f>IF('Promedio salarial'!N38="","",'Promedio salarial'!N38)</f>
        <v/>
      </c>
      <c r="E35" s="89">
        <f t="shared" si="1"/>
        <v>0</v>
      </c>
      <c r="F35" s="89">
        <f t="shared" si="2"/>
        <v>0</v>
      </c>
      <c r="G35" s="90">
        <f t="shared" si="3"/>
        <v>0</v>
      </c>
      <c r="H35" s="90">
        <f t="shared" si="4"/>
        <v>0</v>
      </c>
      <c r="I35" s="91">
        <f t="shared" si="5"/>
        <v>0</v>
      </c>
    </row>
    <row r="36">
      <c r="A36" s="73"/>
      <c r="B36" s="92" t="str">
        <f>IF('Promedio salarial'!L39="","",'Promedio salarial'!L39)</f>
        <v/>
      </c>
      <c r="C36" s="92" t="str">
        <f>IF('Promedio salarial'!M39="","",'Promedio salarial'!M39)</f>
        <v/>
      </c>
      <c r="D36" s="93" t="str">
        <f>IF('Promedio salarial'!N39="","",'Promedio salarial'!N39)</f>
        <v/>
      </c>
      <c r="E36" s="89">
        <f t="shared" si="1"/>
        <v>0</v>
      </c>
      <c r="F36" s="89">
        <f t="shared" si="2"/>
        <v>0</v>
      </c>
      <c r="G36" s="90">
        <f t="shared" si="3"/>
        <v>0</v>
      </c>
      <c r="H36" s="90">
        <f t="shared" si="4"/>
        <v>0</v>
      </c>
      <c r="I36" s="91">
        <f t="shared" si="5"/>
        <v>0</v>
      </c>
    </row>
    <row r="37">
      <c r="A37" s="73"/>
      <c r="B37" s="92" t="str">
        <f>IF('Promedio salarial'!L40="","",'Promedio salarial'!L40)</f>
        <v/>
      </c>
      <c r="C37" s="92" t="str">
        <f>IF('Promedio salarial'!M40="","",'Promedio salarial'!M40)</f>
        <v/>
      </c>
      <c r="D37" s="93" t="str">
        <f>IF('Promedio salarial'!N40="","",'Promedio salarial'!N40)</f>
        <v/>
      </c>
      <c r="E37" s="89">
        <f t="shared" si="1"/>
        <v>0</v>
      </c>
      <c r="F37" s="89">
        <f t="shared" si="2"/>
        <v>0</v>
      </c>
      <c r="G37" s="90">
        <f t="shared" si="3"/>
        <v>0</v>
      </c>
      <c r="H37" s="90">
        <f t="shared" si="4"/>
        <v>0</v>
      </c>
      <c r="I37" s="91">
        <f t="shared" si="5"/>
        <v>0</v>
      </c>
    </row>
    <row r="38">
      <c r="A38" s="73"/>
      <c r="B38" s="92" t="str">
        <f>IF('Promedio salarial'!L41="","",'Promedio salarial'!L41)</f>
        <v/>
      </c>
      <c r="C38" s="92" t="str">
        <f>IF('Promedio salarial'!M41="","",'Promedio salarial'!M41)</f>
        <v/>
      </c>
      <c r="D38" s="93" t="str">
        <f>IF('Promedio salarial'!N41="","",'Promedio salarial'!N41)</f>
        <v/>
      </c>
      <c r="E38" s="89">
        <f t="shared" si="1"/>
        <v>0</v>
      </c>
      <c r="F38" s="89">
        <f t="shared" si="2"/>
        <v>0</v>
      </c>
      <c r="G38" s="90">
        <f t="shared" si="3"/>
        <v>0</v>
      </c>
      <c r="H38" s="90">
        <f t="shared" si="4"/>
        <v>0</v>
      </c>
      <c r="I38" s="91">
        <f t="shared" si="5"/>
        <v>0</v>
      </c>
    </row>
    <row r="39">
      <c r="A39" s="73"/>
      <c r="B39" s="92" t="str">
        <f>IF('Promedio salarial'!L42="","",'Promedio salarial'!L42)</f>
        <v/>
      </c>
      <c r="C39" s="92" t="str">
        <f>IF('Promedio salarial'!M42="","",'Promedio salarial'!M42)</f>
        <v/>
      </c>
      <c r="D39" s="93" t="str">
        <f>IF('Promedio salarial'!N42="","",'Promedio salarial'!N42)</f>
        <v/>
      </c>
      <c r="E39" s="89">
        <f t="shared" si="1"/>
        <v>0</v>
      </c>
      <c r="F39" s="89">
        <f t="shared" si="2"/>
        <v>0</v>
      </c>
      <c r="G39" s="90">
        <f t="shared" si="3"/>
        <v>0</v>
      </c>
      <c r="H39" s="90">
        <f t="shared" si="4"/>
        <v>0</v>
      </c>
      <c r="I39" s="91">
        <f t="shared" si="5"/>
        <v>0</v>
      </c>
    </row>
    <row r="40">
      <c r="A40" s="73"/>
      <c r="B40" s="92" t="str">
        <f>IF('Promedio salarial'!L43="","",'Promedio salarial'!L43)</f>
        <v/>
      </c>
      <c r="C40" s="92" t="str">
        <f>IF('Promedio salarial'!M43="","",'Promedio salarial'!M43)</f>
        <v/>
      </c>
      <c r="D40" s="93" t="str">
        <f>IF('Promedio salarial'!N43="","",'Promedio salarial'!N43)</f>
        <v/>
      </c>
      <c r="E40" s="89">
        <f t="shared" si="1"/>
        <v>0</v>
      </c>
      <c r="F40" s="89">
        <f t="shared" si="2"/>
        <v>0</v>
      </c>
      <c r="G40" s="90">
        <f t="shared" si="3"/>
        <v>0</v>
      </c>
      <c r="H40" s="90">
        <f t="shared" si="4"/>
        <v>0</v>
      </c>
      <c r="I40" s="91">
        <f t="shared" si="5"/>
        <v>0</v>
      </c>
    </row>
    <row r="41">
      <c r="A41" s="73"/>
      <c r="B41" s="92" t="str">
        <f>IF('Promedio salarial'!L44="","",'Promedio salarial'!L44)</f>
        <v/>
      </c>
      <c r="C41" s="92" t="str">
        <f>IF('Promedio salarial'!M44="","",'Promedio salarial'!M44)</f>
        <v/>
      </c>
      <c r="D41" s="93" t="str">
        <f>IF('Promedio salarial'!N44="","",'Promedio salarial'!N44)</f>
        <v/>
      </c>
      <c r="E41" s="89">
        <f t="shared" si="1"/>
        <v>0</v>
      </c>
      <c r="F41" s="89">
        <f t="shared" si="2"/>
        <v>0</v>
      </c>
      <c r="G41" s="90">
        <f t="shared" si="3"/>
        <v>0</v>
      </c>
      <c r="H41" s="90">
        <f t="shared" si="4"/>
        <v>0</v>
      </c>
      <c r="I41" s="91">
        <f t="shared" si="5"/>
        <v>0</v>
      </c>
    </row>
    <row r="42">
      <c r="A42" s="73"/>
      <c r="B42" s="92" t="str">
        <f>IF('Promedio salarial'!L45="","",'Promedio salarial'!L45)</f>
        <v/>
      </c>
      <c r="C42" s="92" t="str">
        <f>IF('Promedio salarial'!M45="","",'Promedio salarial'!M45)</f>
        <v/>
      </c>
      <c r="D42" s="93" t="str">
        <f>IF('Promedio salarial'!N45="","",'Promedio salarial'!N45)</f>
        <v/>
      </c>
      <c r="E42" s="89">
        <f t="shared" si="1"/>
        <v>0</v>
      </c>
      <c r="F42" s="89">
        <f t="shared" si="2"/>
        <v>0</v>
      </c>
      <c r="G42" s="90">
        <f t="shared" si="3"/>
        <v>0</v>
      </c>
      <c r="H42" s="90">
        <f t="shared" si="4"/>
        <v>0</v>
      </c>
      <c r="I42" s="91">
        <f t="shared" si="5"/>
        <v>0</v>
      </c>
    </row>
    <row r="43">
      <c r="A43" s="73"/>
      <c r="B43" s="92" t="str">
        <f>IF('Promedio salarial'!L46="","",'Promedio salarial'!L46)</f>
        <v/>
      </c>
      <c r="C43" s="92" t="str">
        <f>IF('Promedio salarial'!M46="","",'Promedio salarial'!M46)</f>
        <v/>
      </c>
      <c r="D43" s="93" t="str">
        <f>IF('Promedio salarial'!N46="","",'Promedio salarial'!N46)</f>
        <v/>
      </c>
      <c r="E43" s="89">
        <f t="shared" si="1"/>
        <v>0</v>
      </c>
      <c r="F43" s="89">
        <f t="shared" si="2"/>
        <v>0</v>
      </c>
      <c r="G43" s="90">
        <f t="shared" si="3"/>
        <v>0</v>
      </c>
      <c r="H43" s="90">
        <f t="shared" si="4"/>
        <v>0</v>
      </c>
      <c r="I43" s="91">
        <f t="shared" si="5"/>
        <v>0</v>
      </c>
    </row>
    <row r="44">
      <c r="A44" s="73"/>
      <c r="B44" s="92" t="str">
        <f>IF('Promedio salarial'!L47="","",'Promedio salarial'!L47)</f>
        <v/>
      </c>
      <c r="C44" s="92" t="str">
        <f>IF('Promedio salarial'!M47="","",'Promedio salarial'!M47)</f>
        <v/>
      </c>
      <c r="D44" s="93" t="str">
        <f>IF('Promedio salarial'!N47="","",'Promedio salarial'!N47)</f>
        <v/>
      </c>
      <c r="E44" s="89">
        <f t="shared" si="1"/>
        <v>0</v>
      </c>
      <c r="F44" s="89">
        <f t="shared" si="2"/>
        <v>0</v>
      </c>
      <c r="G44" s="90">
        <f t="shared" si="3"/>
        <v>0</v>
      </c>
      <c r="H44" s="90">
        <f t="shared" si="4"/>
        <v>0</v>
      </c>
      <c r="I44" s="91">
        <f t="shared" si="5"/>
        <v>0</v>
      </c>
    </row>
    <row r="45">
      <c r="A45" s="73"/>
      <c r="B45" s="92" t="str">
        <f>IF('Promedio salarial'!L48="","",'Promedio salarial'!L48)</f>
        <v/>
      </c>
      <c r="C45" s="92" t="str">
        <f>IF('Promedio salarial'!M48="","",'Promedio salarial'!M48)</f>
        <v/>
      </c>
      <c r="D45" s="93" t="str">
        <f>IF('Promedio salarial'!N48="","",'Promedio salarial'!N48)</f>
        <v/>
      </c>
      <c r="E45" s="89">
        <f t="shared" si="1"/>
        <v>0</v>
      </c>
      <c r="F45" s="89">
        <f t="shared" si="2"/>
        <v>0</v>
      </c>
      <c r="G45" s="90">
        <f t="shared" si="3"/>
        <v>0</v>
      </c>
      <c r="H45" s="90">
        <f t="shared" si="4"/>
        <v>0</v>
      </c>
      <c r="I45" s="91">
        <f t="shared" si="5"/>
        <v>0</v>
      </c>
    </row>
    <row r="46">
      <c r="A46" s="73"/>
      <c r="B46" s="92" t="str">
        <f>IF('Promedio salarial'!L49="","",'Promedio salarial'!L49)</f>
        <v/>
      </c>
      <c r="C46" s="92" t="str">
        <f>IF('Promedio salarial'!M49="","",'Promedio salarial'!M49)</f>
        <v/>
      </c>
      <c r="D46" s="93" t="str">
        <f>IF('Promedio salarial'!N49="","",'Promedio salarial'!N49)</f>
        <v/>
      </c>
      <c r="E46" s="89">
        <f t="shared" si="1"/>
        <v>0</v>
      </c>
      <c r="F46" s="89">
        <f t="shared" si="2"/>
        <v>0</v>
      </c>
      <c r="G46" s="90">
        <f t="shared" si="3"/>
        <v>0</v>
      </c>
      <c r="H46" s="90">
        <f t="shared" si="4"/>
        <v>0</v>
      </c>
      <c r="I46" s="91">
        <f t="shared" si="5"/>
        <v>0</v>
      </c>
    </row>
    <row r="47">
      <c r="A47" s="73"/>
      <c r="B47" s="92" t="str">
        <f>IF('Promedio salarial'!L50="","",'Promedio salarial'!L50)</f>
        <v/>
      </c>
      <c r="C47" s="92" t="str">
        <f>IF('Promedio salarial'!M50="","",'Promedio salarial'!M50)</f>
        <v/>
      </c>
      <c r="D47" s="93" t="str">
        <f>IF('Promedio salarial'!N50="","",'Promedio salarial'!N50)</f>
        <v/>
      </c>
      <c r="E47" s="89">
        <f t="shared" si="1"/>
        <v>0</v>
      </c>
      <c r="F47" s="89">
        <f t="shared" si="2"/>
        <v>0</v>
      </c>
      <c r="G47" s="90">
        <f t="shared" si="3"/>
        <v>0</v>
      </c>
      <c r="H47" s="90">
        <f t="shared" si="4"/>
        <v>0</v>
      </c>
      <c r="I47" s="91">
        <f t="shared" si="5"/>
        <v>0</v>
      </c>
    </row>
    <row r="48">
      <c r="A48" s="73"/>
      <c r="B48" s="92" t="str">
        <f>IF('Promedio salarial'!L51="","",'Promedio salarial'!L51)</f>
        <v/>
      </c>
      <c r="C48" s="92" t="str">
        <f>IF('Promedio salarial'!M51="","",'Promedio salarial'!M51)</f>
        <v/>
      </c>
      <c r="D48" s="93" t="str">
        <f>IF('Promedio salarial'!N51="","",'Promedio salarial'!N51)</f>
        <v/>
      </c>
      <c r="E48" s="89">
        <f t="shared" si="1"/>
        <v>0</v>
      </c>
      <c r="F48" s="89">
        <f t="shared" si="2"/>
        <v>0</v>
      </c>
      <c r="G48" s="90">
        <f t="shared" si="3"/>
        <v>0</v>
      </c>
      <c r="H48" s="90">
        <f t="shared" si="4"/>
        <v>0</v>
      </c>
      <c r="I48" s="91">
        <f t="shared" si="5"/>
        <v>0</v>
      </c>
    </row>
    <row r="49">
      <c r="A49" s="73"/>
      <c r="B49" s="92" t="str">
        <f>IF('Promedio salarial'!L52="","",'Promedio salarial'!L52)</f>
        <v/>
      </c>
      <c r="C49" s="92" t="str">
        <f>IF('Promedio salarial'!M52="","",'Promedio salarial'!M52)</f>
        <v/>
      </c>
      <c r="D49" s="93" t="str">
        <f>IF('Promedio salarial'!N52="","",'Promedio salarial'!N52)</f>
        <v/>
      </c>
      <c r="E49" s="89">
        <f t="shared" si="1"/>
        <v>0</v>
      </c>
      <c r="F49" s="89">
        <f t="shared" si="2"/>
        <v>0</v>
      </c>
      <c r="G49" s="90">
        <f t="shared" si="3"/>
        <v>0</v>
      </c>
      <c r="H49" s="90">
        <f t="shared" si="4"/>
        <v>0</v>
      </c>
      <c r="I49" s="91">
        <f t="shared" si="5"/>
        <v>0</v>
      </c>
    </row>
    <row r="50">
      <c r="A50" s="73"/>
      <c r="B50" s="92" t="str">
        <f>IF('Promedio salarial'!L53="","",'Promedio salarial'!L53)</f>
        <v/>
      </c>
      <c r="C50" s="92" t="str">
        <f>IF('Promedio salarial'!M53="","",'Promedio salarial'!M53)</f>
        <v/>
      </c>
      <c r="D50" s="93" t="str">
        <f>IF('Promedio salarial'!N53="","",'Promedio salarial'!N53)</f>
        <v/>
      </c>
      <c r="E50" s="89">
        <f t="shared" si="1"/>
        <v>0</v>
      </c>
      <c r="F50" s="89">
        <f t="shared" si="2"/>
        <v>0</v>
      </c>
      <c r="G50" s="90">
        <f t="shared" si="3"/>
        <v>0</v>
      </c>
      <c r="H50" s="90">
        <f t="shared" si="4"/>
        <v>0</v>
      </c>
      <c r="I50" s="91">
        <f t="shared" si="5"/>
        <v>0</v>
      </c>
    </row>
    <row r="51">
      <c r="A51" s="73"/>
      <c r="B51" s="92" t="str">
        <f>IF('Promedio salarial'!L54="","",'Promedio salarial'!L54)</f>
        <v/>
      </c>
      <c r="C51" s="92" t="str">
        <f>IF('Promedio salarial'!M54="","",'Promedio salarial'!M54)</f>
        <v/>
      </c>
      <c r="D51" s="93" t="str">
        <f>IF('Promedio salarial'!N54="","",'Promedio salarial'!N54)</f>
        <v/>
      </c>
      <c r="E51" s="89">
        <f t="shared" si="1"/>
        <v>0</v>
      </c>
      <c r="F51" s="89">
        <f t="shared" si="2"/>
        <v>0</v>
      </c>
      <c r="G51" s="90">
        <f t="shared" si="3"/>
        <v>0</v>
      </c>
      <c r="H51" s="90">
        <f t="shared" si="4"/>
        <v>0</v>
      </c>
      <c r="I51" s="91">
        <f t="shared" si="5"/>
        <v>0</v>
      </c>
    </row>
    <row r="52">
      <c r="A52" s="73"/>
      <c r="B52" s="92" t="str">
        <f>IF('Promedio salarial'!L55="","",'Promedio salarial'!L55)</f>
        <v/>
      </c>
      <c r="C52" s="92" t="str">
        <f>IF('Promedio salarial'!M55="","",'Promedio salarial'!M55)</f>
        <v/>
      </c>
      <c r="D52" s="93" t="str">
        <f>IF('Promedio salarial'!N55="","",'Promedio salarial'!N55)</f>
        <v/>
      </c>
      <c r="E52" s="89">
        <f t="shared" si="1"/>
        <v>0</v>
      </c>
      <c r="F52" s="89">
        <f t="shared" si="2"/>
        <v>0</v>
      </c>
      <c r="G52" s="90">
        <f t="shared" si="3"/>
        <v>0</v>
      </c>
      <c r="H52" s="90">
        <f t="shared" si="4"/>
        <v>0</v>
      </c>
      <c r="I52" s="91">
        <f t="shared" si="5"/>
        <v>0</v>
      </c>
    </row>
    <row r="53">
      <c r="A53" s="73"/>
      <c r="B53" s="92" t="str">
        <f>IF('Promedio salarial'!L56="","",'Promedio salarial'!L56)</f>
        <v/>
      </c>
      <c r="C53" s="92" t="str">
        <f>IF('Promedio salarial'!M56="","",'Promedio salarial'!M56)</f>
        <v/>
      </c>
      <c r="D53" s="93" t="str">
        <f>IF('Promedio salarial'!N56="","",'Promedio salarial'!N56)</f>
        <v/>
      </c>
      <c r="E53" s="89">
        <f t="shared" si="1"/>
        <v>0</v>
      </c>
      <c r="F53" s="89">
        <f t="shared" si="2"/>
        <v>0</v>
      </c>
      <c r="G53" s="90">
        <f t="shared" si="3"/>
        <v>0</v>
      </c>
      <c r="H53" s="90">
        <f t="shared" si="4"/>
        <v>0</v>
      </c>
      <c r="I53" s="91">
        <f t="shared" si="5"/>
        <v>0</v>
      </c>
    </row>
    <row r="54">
      <c r="A54" s="73"/>
      <c r="B54" s="92" t="str">
        <f>IF('Promedio salarial'!L57="","",'Promedio salarial'!L57)</f>
        <v/>
      </c>
      <c r="C54" s="92" t="str">
        <f>IF('Promedio salarial'!M57="","",'Promedio salarial'!M57)</f>
        <v/>
      </c>
      <c r="D54" s="93" t="str">
        <f>IF('Promedio salarial'!N57="","",'Promedio salarial'!N57)</f>
        <v/>
      </c>
      <c r="E54" s="89">
        <f t="shared" si="1"/>
        <v>0</v>
      </c>
      <c r="F54" s="89">
        <f t="shared" si="2"/>
        <v>0</v>
      </c>
      <c r="G54" s="90">
        <f t="shared" si="3"/>
        <v>0</v>
      </c>
      <c r="H54" s="90">
        <f t="shared" si="4"/>
        <v>0</v>
      </c>
      <c r="I54" s="91">
        <f t="shared" si="5"/>
        <v>0</v>
      </c>
    </row>
    <row r="55">
      <c r="A55" s="73"/>
      <c r="B55" s="92" t="str">
        <f>IF('Promedio salarial'!L58="","",'Promedio salarial'!L58)</f>
        <v/>
      </c>
      <c r="C55" s="92" t="str">
        <f>IF('Promedio salarial'!M58="","",'Promedio salarial'!M58)</f>
        <v/>
      </c>
      <c r="D55" s="93" t="str">
        <f>IF('Promedio salarial'!N58="","",'Promedio salarial'!N58)</f>
        <v/>
      </c>
      <c r="E55" s="89">
        <f t="shared" si="1"/>
        <v>0</v>
      </c>
      <c r="F55" s="89">
        <f t="shared" si="2"/>
        <v>0</v>
      </c>
      <c r="G55" s="90">
        <f t="shared" si="3"/>
        <v>0</v>
      </c>
      <c r="H55" s="90">
        <f t="shared" si="4"/>
        <v>0</v>
      </c>
      <c r="I55" s="91">
        <f t="shared" si="5"/>
        <v>0</v>
      </c>
    </row>
    <row r="56">
      <c r="A56" s="73"/>
      <c r="B56" s="92" t="str">
        <f>IF('Promedio salarial'!L59="","",'Promedio salarial'!L59)</f>
        <v/>
      </c>
      <c r="C56" s="92" t="str">
        <f>IF('Promedio salarial'!M59="","",'Promedio salarial'!M59)</f>
        <v/>
      </c>
      <c r="D56" s="93" t="str">
        <f>IF('Promedio salarial'!N59="","",'Promedio salarial'!N59)</f>
        <v/>
      </c>
      <c r="E56" s="89">
        <f t="shared" si="1"/>
        <v>0</v>
      </c>
      <c r="F56" s="89">
        <f t="shared" si="2"/>
        <v>0</v>
      </c>
      <c r="G56" s="90">
        <f t="shared" si="3"/>
        <v>0</v>
      </c>
      <c r="H56" s="90">
        <f t="shared" si="4"/>
        <v>0</v>
      </c>
      <c r="I56" s="91">
        <f t="shared" si="5"/>
        <v>0</v>
      </c>
    </row>
    <row r="57">
      <c r="A57" s="73"/>
      <c r="B57" s="92" t="str">
        <f>IF('Promedio salarial'!L60="","",'Promedio salarial'!L60)</f>
        <v/>
      </c>
      <c r="C57" s="92" t="str">
        <f>IF('Promedio salarial'!M60="","",'Promedio salarial'!M60)</f>
        <v/>
      </c>
      <c r="D57" s="93" t="str">
        <f>IF('Promedio salarial'!N60="","",'Promedio salarial'!N60)</f>
        <v/>
      </c>
      <c r="E57" s="89">
        <f t="shared" si="1"/>
        <v>0</v>
      </c>
      <c r="F57" s="89">
        <f t="shared" si="2"/>
        <v>0</v>
      </c>
      <c r="G57" s="90">
        <f t="shared" si="3"/>
        <v>0</v>
      </c>
      <c r="H57" s="90">
        <f t="shared" si="4"/>
        <v>0</v>
      </c>
      <c r="I57" s="91">
        <f t="shared" si="5"/>
        <v>0</v>
      </c>
    </row>
    <row r="58">
      <c r="A58" s="73"/>
      <c r="B58" s="92" t="str">
        <f>IF('Promedio salarial'!L61="","",'Promedio salarial'!L61)</f>
        <v/>
      </c>
      <c r="C58" s="92" t="str">
        <f>IF('Promedio salarial'!M61="","",'Promedio salarial'!M61)</f>
        <v/>
      </c>
      <c r="D58" s="93" t="str">
        <f>IF('Promedio salarial'!N61="","",'Promedio salarial'!N61)</f>
        <v/>
      </c>
      <c r="E58" s="89">
        <f t="shared" si="1"/>
        <v>0</v>
      </c>
      <c r="F58" s="89">
        <f t="shared" si="2"/>
        <v>0</v>
      </c>
      <c r="G58" s="90">
        <f t="shared" si="3"/>
        <v>0</v>
      </c>
      <c r="H58" s="90">
        <f t="shared" si="4"/>
        <v>0</v>
      </c>
      <c r="I58" s="91">
        <f t="shared" si="5"/>
        <v>0</v>
      </c>
    </row>
    <row r="59">
      <c r="A59" s="73"/>
      <c r="B59" s="92" t="str">
        <f>IF('Promedio salarial'!L62="","",'Promedio salarial'!L62)</f>
        <v/>
      </c>
      <c r="C59" s="92" t="str">
        <f>IF('Promedio salarial'!M62="","",'Promedio salarial'!M62)</f>
        <v/>
      </c>
      <c r="D59" s="93" t="str">
        <f>IF('Promedio salarial'!N62="","",'Promedio salarial'!N62)</f>
        <v/>
      </c>
      <c r="E59" s="89">
        <f t="shared" si="1"/>
        <v>0</v>
      </c>
      <c r="F59" s="89">
        <f t="shared" si="2"/>
        <v>0</v>
      </c>
      <c r="G59" s="90">
        <f t="shared" si="3"/>
        <v>0</v>
      </c>
      <c r="H59" s="90">
        <f t="shared" si="4"/>
        <v>0</v>
      </c>
      <c r="I59" s="91">
        <f t="shared" si="5"/>
        <v>0</v>
      </c>
    </row>
    <row r="60">
      <c r="A60" s="73"/>
      <c r="B60" s="92" t="str">
        <f>IF('Promedio salarial'!L63="","",'Promedio salarial'!L63)</f>
        <v/>
      </c>
      <c r="C60" s="92" t="str">
        <f>IF('Promedio salarial'!M63="","",'Promedio salarial'!M63)</f>
        <v/>
      </c>
      <c r="D60" s="93" t="str">
        <f>IF('Promedio salarial'!N63="","",'Promedio salarial'!N63)</f>
        <v/>
      </c>
      <c r="E60" s="89">
        <f t="shared" si="1"/>
        <v>0</v>
      </c>
      <c r="F60" s="89">
        <f t="shared" si="2"/>
        <v>0</v>
      </c>
      <c r="G60" s="90">
        <f t="shared" si="3"/>
        <v>0</v>
      </c>
      <c r="H60" s="90">
        <f t="shared" si="4"/>
        <v>0</v>
      </c>
      <c r="I60" s="91">
        <f t="shared" si="5"/>
        <v>0</v>
      </c>
    </row>
    <row r="61">
      <c r="A61" s="73"/>
      <c r="B61" s="92" t="str">
        <f>IF('Promedio salarial'!L64="","",'Promedio salarial'!L64)</f>
        <v/>
      </c>
      <c r="C61" s="92" t="str">
        <f>IF('Promedio salarial'!M64="","",'Promedio salarial'!M64)</f>
        <v/>
      </c>
      <c r="D61" s="93" t="str">
        <f>IF('Promedio salarial'!N64="","",'Promedio salarial'!N64)</f>
        <v/>
      </c>
      <c r="E61" s="89">
        <f t="shared" si="1"/>
        <v>0</v>
      </c>
      <c r="F61" s="89">
        <f t="shared" si="2"/>
        <v>0</v>
      </c>
      <c r="G61" s="90">
        <f t="shared" si="3"/>
        <v>0</v>
      </c>
      <c r="H61" s="90">
        <f t="shared" si="4"/>
        <v>0</v>
      </c>
      <c r="I61" s="91">
        <f t="shared" si="5"/>
        <v>0</v>
      </c>
    </row>
    <row r="62">
      <c r="A62" s="73"/>
      <c r="B62" s="92" t="str">
        <f>IF('Promedio salarial'!L65="","",'Promedio salarial'!L65)</f>
        <v/>
      </c>
      <c r="C62" s="92" t="str">
        <f>IF('Promedio salarial'!M65="","",'Promedio salarial'!M65)</f>
        <v/>
      </c>
      <c r="D62" s="93" t="str">
        <f>IF('Promedio salarial'!N65="","",'Promedio salarial'!N65)</f>
        <v/>
      </c>
      <c r="E62" s="89">
        <f t="shared" si="1"/>
        <v>0</v>
      </c>
      <c r="F62" s="89">
        <f t="shared" si="2"/>
        <v>0</v>
      </c>
      <c r="G62" s="90">
        <f t="shared" si="3"/>
        <v>0</v>
      </c>
      <c r="H62" s="90">
        <f t="shared" si="4"/>
        <v>0</v>
      </c>
      <c r="I62" s="91">
        <f t="shared" si="5"/>
        <v>0</v>
      </c>
    </row>
    <row r="63">
      <c r="A63" s="73"/>
      <c r="B63" s="92" t="str">
        <f>IF('Promedio salarial'!L66="","",'Promedio salarial'!L66)</f>
        <v/>
      </c>
      <c r="C63" s="92" t="str">
        <f>IF('Promedio salarial'!M66="","",'Promedio salarial'!M66)</f>
        <v/>
      </c>
      <c r="D63" s="93" t="str">
        <f>IF('Promedio salarial'!N66="","",'Promedio salarial'!N66)</f>
        <v/>
      </c>
      <c r="E63" s="89">
        <f t="shared" si="1"/>
        <v>0</v>
      </c>
      <c r="F63" s="89">
        <f t="shared" si="2"/>
        <v>0</v>
      </c>
      <c r="G63" s="90">
        <f t="shared" si="3"/>
        <v>0</v>
      </c>
      <c r="H63" s="90">
        <f t="shared" si="4"/>
        <v>0</v>
      </c>
      <c r="I63" s="91">
        <f t="shared" si="5"/>
        <v>0</v>
      </c>
    </row>
    <row r="64">
      <c r="A64" s="73"/>
      <c r="B64" s="92" t="str">
        <f>IF('Promedio salarial'!L67="","",'Promedio salarial'!L67)</f>
        <v/>
      </c>
      <c r="C64" s="92" t="str">
        <f>IF('Promedio salarial'!M67="","",'Promedio salarial'!M67)</f>
        <v/>
      </c>
      <c r="D64" s="93" t="str">
        <f>IF('Promedio salarial'!N67="","",'Promedio salarial'!N67)</f>
        <v/>
      </c>
      <c r="E64" s="89">
        <f t="shared" si="1"/>
        <v>0</v>
      </c>
      <c r="F64" s="89">
        <f t="shared" si="2"/>
        <v>0</v>
      </c>
      <c r="G64" s="90">
        <f t="shared" si="3"/>
        <v>0</v>
      </c>
      <c r="H64" s="90">
        <f t="shared" si="4"/>
        <v>0</v>
      </c>
      <c r="I64" s="91">
        <f t="shared" si="5"/>
        <v>0</v>
      </c>
    </row>
    <row r="65">
      <c r="A65" s="73"/>
      <c r="B65" s="92" t="str">
        <f>IF('Promedio salarial'!L68="","",'Promedio salarial'!L68)</f>
        <v/>
      </c>
      <c r="C65" s="92" t="str">
        <f>IF('Promedio salarial'!M68="","",'Promedio salarial'!M68)</f>
        <v/>
      </c>
      <c r="D65" s="93" t="str">
        <f>IF('Promedio salarial'!N68="","",'Promedio salarial'!N68)</f>
        <v/>
      </c>
      <c r="E65" s="89">
        <f t="shared" si="1"/>
        <v>0</v>
      </c>
      <c r="F65" s="89">
        <f t="shared" si="2"/>
        <v>0</v>
      </c>
      <c r="G65" s="90">
        <f t="shared" si="3"/>
        <v>0</v>
      </c>
      <c r="H65" s="90">
        <f t="shared" si="4"/>
        <v>0</v>
      </c>
      <c r="I65" s="91">
        <f t="shared" si="5"/>
        <v>0</v>
      </c>
    </row>
    <row r="66">
      <c r="A66" s="73"/>
      <c r="B66" s="92" t="str">
        <f>IF('Promedio salarial'!L69="","",'Promedio salarial'!L69)</f>
        <v/>
      </c>
      <c r="C66" s="92" t="str">
        <f>IF('Promedio salarial'!M69="","",'Promedio salarial'!M69)</f>
        <v/>
      </c>
      <c r="D66" s="93" t="str">
        <f>IF('Promedio salarial'!N69="","",'Promedio salarial'!N69)</f>
        <v/>
      </c>
      <c r="E66" s="89">
        <f t="shared" si="1"/>
        <v>0</v>
      </c>
      <c r="F66" s="89">
        <f t="shared" si="2"/>
        <v>0</v>
      </c>
      <c r="G66" s="90">
        <f t="shared" si="3"/>
        <v>0</v>
      </c>
      <c r="H66" s="90">
        <f t="shared" si="4"/>
        <v>0</v>
      </c>
      <c r="I66" s="91">
        <f t="shared" si="5"/>
        <v>0</v>
      </c>
    </row>
    <row r="67">
      <c r="A67" s="73"/>
      <c r="B67" s="92" t="str">
        <f>IF('Promedio salarial'!L70="","",'Promedio salarial'!L70)</f>
        <v/>
      </c>
      <c r="C67" s="92" t="str">
        <f>IF('Promedio salarial'!M70="","",'Promedio salarial'!M70)</f>
        <v/>
      </c>
      <c r="D67" s="93" t="str">
        <f>IF('Promedio salarial'!N70="","",'Promedio salarial'!N70)</f>
        <v/>
      </c>
      <c r="E67" s="89">
        <f t="shared" si="1"/>
        <v>0</v>
      </c>
      <c r="F67" s="89">
        <f t="shared" si="2"/>
        <v>0</v>
      </c>
      <c r="G67" s="90">
        <f t="shared" si="3"/>
        <v>0</v>
      </c>
      <c r="H67" s="90">
        <f t="shared" si="4"/>
        <v>0</v>
      </c>
      <c r="I67" s="91">
        <f t="shared" si="5"/>
        <v>0</v>
      </c>
    </row>
    <row r="68">
      <c r="A68" s="73"/>
      <c r="B68" s="92" t="str">
        <f>IF('Promedio salarial'!L71="","",'Promedio salarial'!L71)</f>
        <v/>
      </c>
      <c r="C68" s="92" t="str">
        <f>IF('Promedio salarial'!M71="","",'Promedio salarial'!M71)</f>
        <v/>
      </c>
      <c r="D68" s="93" t="str">
        <f>IF('Promedio salarial'!N71="","",'Promedio salarial'!N71)</f>
        <v/>
      </c>
      <c r="E68" s="89">
        <f t="shared" si="1"/>
        <v>0</v>
      </c>
      <c r="F68" s="89">
        <f t="shared" si="2"/>
        <v>0</v>
      </c>
      <c r="G68" s="90">
        <f t="shared" si="3"/>
        <v>0</v>
      </c>
      <c r="H68" s="90">
        <f t="shared" si="4"/>
        <v>0</v>
      </c>
      <c r="I68" s="91">
        <f t="shared" si="5"/>
        <v>0</v>
      </c>
    </row>
    <row r="69">
      <c r="A69" s="73"/>
      <c r="B69" s="92" t="str">
        <f>IF('Promedio salarial'!L72="","",'Promedio salarial'!L72)</f>
        <v/>
      </c>
      <c r="C69" s="92" t="str">
        <f>IF('Promedio salarial'!M72="","",'Promedio salarial'!M72)</f>
        <v/>
      </c>
      <c r="D69" s="93" t="str">
        <f>IF('Promedio salarial'!N72="","",'Promedio salarial'!N72)</f>
        <v/>
      </c>
      <c r="E69" s="89">
        <f t="shared" si="1"/>
        <v>0</v>
      </c>
      <c r="F69" s="89">
        <f t="shared" si="2"/>
        <v>0</v>
      </c>
      <c r="G69" s="90">
        <f t="shared" si="3"/>
        <v>0</v>
      </c>
      <c r="H69" s="90">
        <f t="shared" si="4"/>
        <v>0</v>
      </c>
      <c r="I69" s="91">
        <f t="shared" si="5"/>
        <v>0</v>
      </c>
    </row>
    <row r="70">
      <c r="A70" s="73"/>
      <c r="B70" s="92" t="str">
        <f>IF('Promedio salarial'!L73="","",'Promedio salarial'!L73)</f>
        <v/>
      </c>
      <c r="C70" s="92" t="str">
        <f>IF('Promedio salarial'!M73="","",'Promedio salarial'!M73)</f>
        <v/>
      </c>
      <c r="D70" s="93" t="str">
        <f>IF('Promedio salarial'!N73="","",'Promedio salarial'!N73)</f>
        <v/>
      </c>
      <c r="E70" s="89">
        <f t="shared" si="1"/>
        <v>0</v>
      </c>
      <c r="F70" s="89">
        <f t="shared" si="2"/>
        <v>0</v>
      </c>
      <c r="G70" s="90">
        <f t="shared" si="3"/>
        <v>0</v>
      </c>
      <c r="H70" s="90">
        <f t="shared" si="4"/>
        <v>0</v>
      </c>
      <c r="I70" s="91">
        <f t="shared" si="5"/>
        <v>0</v>
      </c>
    </row>
    <row r="71">
      <c r="A71" s="73"/>
      <c r="B71" s="92" t="str">
        <f>IF('Promedio salarial'!L74="","",'Promedio salarial'!L74)</f>
        <v/>
      </c>
      <c r="C71" s="92" t="str">
        <f>IF('Promedio salarial'!M74="","",'Promedio salarial'!M74)</f>
        <v/>
      </c>
      <c r="D71" s="93" t="str">
        <f>IF('Promedio salarial'!N74="","",'Promedio salarial'!N74)</f>
        <v/>
      </c>
      <c r="E71" s="89">
        <f t="shared" si="1"/>
        <v>0</v>
      </c>
      <c r="F71" s="89">
        <f t="shared" si="2"/>
        <v>0</v>
      </c>
      <c r="G71" s="90">
        <f t="shared" si="3"/>
        <v>0</v>
      </c>
      <c r="H71" s="90">
        <f t="shared" si="4"/>
        <v>0</v>
      </c>
      <c r="I71" s="91">
        <f t="shared" si="5"/>
        <v>0</v>
      </c>
    </row>
    <row r="72">
      <c r="A72" s="73"/>
      <c r="B72" s="92" t="str">
        <f>IF('Promedio salarial'!L75="","",'Promedio salarial'!L75)</f>
        <v/>
      </c>
      <c r="C72" s="92" t="str">
        <f>IF('Promedio salarial'!M75="","",'Promedio salarial'!M75)</f>
        <v/>
      </c>
      <c r="D72" s="93" t="str">
        <f>IF('Promedio salarial'!N75="","",'Promedio salarial'!N75)</f>
        <v/>
      </c>
      <c r="E72" s="89">
        <f t="shared" si="1"/>
        <v>0</v>
      </c>
      <c r="F72" s="89">
        <f t="shared" si="2"/>
        <v>0</v>
      </c>
      <c r="G72" s="90">
        <f t="shared" si="3"/>
        <v>0</v>
      </c>
      <c r="H72" s="90">
        <f t="shared" si="4"/>
        <v>0</v>
      </c>
      <c r="I72" s="91">
        <f t="shared" si="5"/>
        <v>0</v>
      </c>
    </row>
    <row r="73">
      <c r="A73" s="73"/>
      <c r="B73" s="92" t="str">
        <f>IF('Promedio salarial'!L76="","",'Promedio salarial'!L76)</f>
        <v/>
      </c>
      <c r="C73" s="92" t="str">
        <f>IF('Promedio salarial'!M76="","",'Promedio salarial'!M76)</f>
        <v/>
      </c>
      <c r="D73" s="93" t="str">
        <f>IF('Promedio salarial'!N76="","",'Promedio salarial'!N76)</f>
        <v/>
      </c>
      <c r="E73" s="89">
        <f t="shared" si="1"/>
        <v>0</v>
      </c>
      <c r="F73" s="89">
        <f t="shared" si="2"/>
        <v>0</v>
      </c>
      <c r="G73" s="90">
        <f t="shared" si="3"/>
        <v>0</v>
      </c>
      <c r="H73" s="90">
        <f t="shared" si="4"/>
        <v>0</v>
      </c>
      <c r="I73" s="91">
        <f t="shared" si="5"/>
        <v>0</v>
      </c>
    </row>
    <row r="74">
      <c r="A74" s="73"/>
      <c r="B74" s="92" t="str">
        <f>IF('Promedio salarial'!L77="","",'Promedio salarial'!L77)</f>
        <v/>
      </c>
      <c r="C74" s="92" t="str">
        <f>IF('Promedio salarial'!M77="","",'Promedio salarial'!M77)</f>
        <v/>
      </c>
      <c r="D74" s="93" t="str">
        <f>IF('Promedio salarial'!N77="","",'Promedio salarial'!N77)</f>
        <v/>
      </c>
      <c r="E74" s="89">
        <f t="shared" si="1"/>
        <v>0</v>
      </c>
      <c r="F74" s="89">
        <f t="shared" si="2"/>
        <v>0</v>
      </c>
      <c r="G74" s="90">
        <f t="shared" si="3"/>
        <v>0</v>
      </c>
      <c r="H74" s="90">
        <f t="shared" si="4"/>
        <v>0</v>
      </c>
      <c r="I74" s="91">
        <f t="shared" si="5"/>
        <v>0</v>
      </c>
    </row>
    <row r="75">
      <c r="A75" s="73"/>
      <c r="B75" s="92" t="str">
        <f>IF('Promedio salarial'!L78="","",'Promedio salarial'!L78)</f>
        <v/>
      </c>
      <c r="C75" s="92" t="str">
        <f>IF('Promedio salarial'!M78="","",'Promedio salarial'!M78)</f>
        <v/>
      </c>
      <c r="D75" s="93" t="str">
        <f>IF('Promedio salarial'!N78="","",'Promedio salarial'!N78)</f>
        <v/>
      </c>
      <c r="E75" s="89">
        <f t="shared" si="1"/>
        <v>0</v>
      </c>
      <c r="F75" s="89">
        <f t="shared" si="2"/>
        <v>0</v>
      </c>
      <c r="G75" s="90">
        <f t="shared" si="3"/>
        <v>0</v>
      </c>
      <c r="H75" s="90">
        <f t="shared" si="4"/>
        <v>0</v>
      </c>
      <c r="I75" s="91">
        <f t="shared" si="5"/>
        <v>0</v>
      </c>
    </row>
    <row r="76">
      <c r="A76" s="73"/>
      <c r="B76" s="92" t="str">
        <f>IF('Promedio salarial'!L79="","",'Promedio salarial'!L79)</f>
        <v/>
      </c>
      <c r="C76" s="92" t="str">
        <f>IF('Promedio salarial'!M79="","",'Promedio salarial'!M79)</f>
        <v/>
      </c>
      <c r="D76" s="93" t="str">
        <f>IF('Promedio salarial'!N79="","",'Promedio salarial'!N79)</f>
        <v/>
      </c>
      <c r="E76" s="89">
        <f t="shared" si="1"/>
        <v>0</v>
      </c>
      <c r="F76" s="89">
        <f t="shared" si="2"/>
        <v>0</v>
      </c>
      <c r="G76" s="90">
        <f t="shared" si="3"/>
        <v>0</v>
      </c>
      <c r="H76" s="90">
        <f t="shared" si="4"/>
        <v>0</v>
      </c>
      <c r="I76" s="91">
        <f t="shared" si="5"/>
        <v>0</v>
      </c>
    </row>
    <row r="77">
      <c r="A77" s="73"/>
      <c r="B77" s="92" t="str">
        <f>IF('Promedio salarial'!L80="","",'Promedio salarial'!L80)</f>
        <v/>
      </c>
      <c r="C77" s="92" t="str">
        <f>IF('Promedio salarial'!M80="","",'Promedio salarial'!M80)</f>
        <v/>
      </c>
      <c r="D77" s="93" t="str">
        <f>IF('Promedio salarial'!N80="","",'Promedio salarial'!N80)</f>
        <v/>
      </c>
      <c r="E77" s="89">
        <f t="shared" si="1"/>
        <v>0</v>
      </c>
      <c r="F77" s="89">
        <f t="shared" si="2"/>
        <v>0</v>
      </c>
      <c r="G77" s="90">
        <f t="shared" si="3"/>
        <v>0</v>
      </c>
      <c r="H77" s="90">
        <f t="shared" si="4"/>
        <v>0</v>
      </c>
      <c r="I77" s="91">
        <f t="shared" si="5"/>
        <v>0</v>
      </c>
    </row>
    <row r="78">
      <c r="A78" s="73"/>
      <c r="B78" s="92" t="str">
        <f>IF('Promedio salarial'!L81="","",'Promedio salarial'!L81)</f>
        <v/>
      </c>
      <c r="C78" s="92" t="str">
        <f>IF('Promedio salarial'!M81="","",'Promedio salarial'!M81)</f>
        <v/>
      </c>
      <c r="D78" s="93" t="str">
        <f>IF('Promedio salarial'!N81="","",'Promedio salarial'!N81)</f>
        <v/>
      </c>
      <c r="E78" s="89">
        <f t="shared" si="1"/>
        <v>0</v>
      </c>
      <c r="F78" s="89">
        <f t="shared" si="2"/>
        <v>0</v>
      </c>
      <c r="G78" s="90">
        <f t="shared" si="3"/>
        <v>0</v>
      </c>
      <c r="H78" s="90">
        <f t="shared" si="4"/>
        <v>0</v>
      </c>
      <c r="I78" s="91">
        <f t="shared" si="5"/>
        <v>0</v>
      </c>
    </row>
    <row r="79">
      <c r="A79" s="73"/>
      <c r="B79" s="92" t="str">
        <f>IF('Promedio salarial'!L82="","",'Promedio salarial'!L82)</f>
        <v/>
      </c>
      <c r="C79" s="92" t="str">
        <f>IF('Promedio salarial'!M82="","",'Promedio salarial'!M82)</f>
        <v/>
      </c>
      <c r="D79" s="93" t="str">
        <f>IF('Promedio salarial'!N82="","",'Promedio salarial'!N82)</f>
        <v/>
      </c>
      <c r="E79" s="89">
        <f t="shared" si="1"/>
        <v>0</v>
      </c>
      <c r="F79" s="89">
        <f t="shared" si="2"/>
        <v>0</v>
      </c>
      <c r="G79" s="90">
        <f t="shared" si="3"/>
        <v>0</v>
      </c>
      <c r="H79" s="90">
        <f t="shared" si="4"/>
        <v>0</v>
      </c>
      <c r="I79" s="91">
        <f t="shared" si="5"/>
        <v>0</v>
      </c>
    </row>
    <row r="80">
      <c r="A80" s="73"/>
      <c r="B80" s="92" t="str">
        <f>IF('Promedio salarial'!L83="","",'Promedio salarial'!L83)</f>
        <v/>
      </c>
      <c r="C80" s="92" t="str">
        <f>IF('Promedio salarial'!M83="","",'Promedio salarial'!M83)</f>
        <v/>
      </c>
      <c r="D80" s="93" t="str">
        <f>IF('Promedio salarial'!N83="","",'Promedio salarial'!N83)</f>
        <v/>
      </c>
      <c r="E80" s="89">
        <f t="shared" si="1"/>
        <v>0</v>
      </c>
      <c r="F80" s="89">
        <f t="shared" si="2"/>
        <v>0</v>
      </c>
      <c r="G80" s="90">
        <f t="shared" si="3"/>
        <v>0</v>
      </c>
      <c r="H80" s="90">
        <f t="shared" si="4"/>
        <v>0</v>
      </c>
      <c r="I80" s="91">
        <f t="shared" si="5"/>
        <v>0</v>
      </c>
    </row>
    <row r="81">
      <c r="A81" s="73"/>
      <c r="B81" s="92" t="str">
        <f>IF('Promedio salarial'!L84="","",'Promedio salarial'!L84)</f>
        <v/>
      </c>
      <c r="C81" s="92" t="str">
        <f>IF('Promedio salarial'!M84="","",'Promedio salarial'!M84)</f>
        <v/>
      </c>
      <c r="D81" s="93" t="str">
        <f>IF('Promedio salarial'!N84="","",'Promedio salarial'!N84)</f>
        <v/>
      </c>
      <c r="E81" s="89">
        <f t="shared" si="1"/>
        <v>0</v>
      </c>
      <c r="F81" s="89">
        <f t="shared" si="2"/>
        <v>0</v>
      </c>
      <c r="G81" s="90">
        <f t="shared" si="3"/>
        <v>0</v>
      </c>
      <c r="H81" s="90">
        <f t="shared" si="4"/>
        <v>0</v>
      </c>
      <c r="I81" s="91">
        <f t="shared" si="5"/>
        <v>0</v>
      </c>
    </row>
    <row r="82">
      <c r="A82" s="73"/>
      <c r="B82" s="92" t="str">
        <f>IF('Promedio salarial'!L85="","",'Promedio salarial'!L85)</f>
        <v/>
      </c>
      <c r="C82" s="92" t="str">
        <f>IF('Promedio salarial'!M85="","",'Promedio salarial'!M85)</f>
        <v/>
      </c>
      <c r="D82" s="93" t="str">
        <f>IF('Promedio salarial'!N85="","",'Promedio salarial'!N85)</f>
        <v/>
      </c>
      <c r="E82" s="89">
        <f t="shared" si="1"/>
        <v>0</v>
      </c>
      <c r="F82" s="89">
        <f t="shared" si="2"/>
        <v>0</v>
      </c>
      <c r="G82" s="90">
        <f t="shared" si="3"/>
        <v>0</v>
      </c>
      <c r="H82" s="90">
        <f t="shared" si="4"/>
        <v>0</v>
      </c>
      <c r="I82" s="91">
        <f t="shared" si="5"/>
        <v>0</v>
      </c>
    </row>
    <row r="83">
      <c r="A83" s="73"/>
      <c r="B83" s="92" t="str">
        <f>IF('Promedio salarial'!L86="","",'Promedio salarial'!L86)</f>
        <v/>
      </c>
      <c r="C83" s="92" t="str">
        <f>IF('Promedio salarial'!M86="","",'Promedio salarial'!M86)</f>
        <v/>
      </c>
      <c r="D83" s="93" t="str">
        <f>IF('Promedio salarial'!N86="","",'Promedio salarial'!N86)</f>
        <v/>
      </c>
      <c r="E83" s="89">
        <f t="shared" si="1"/>
        <v>0</v>
      </c>
      <c r="F83" s="89">
        <f t="shared" si="2"/>
        <v>0</v>
      </c>
      <c r="G83" s="90">
        <f t="shared" si="3"/>
        <v>0</v>
      </c>
      <c r="H83" s="90">
        <f t="shared" si="4"/>
        <v>0</v>
      </c>
      <c r="I83" s="91">
        <f t="shared" si="5"/>
        <v>0</v>
      </c>
    </row>
    <row r="84">
      <c r="A84" s="73"/>
      <c r="B84" s="92" t="str">
        <f>IF('Promedio salarial'!L87="","",'Promedio salarial'!L87)</f>
        <v/>
      </c>
      <c r="C84" s="92" t="str">
        <f>IF('Promedio salarial'!M87="","",'Promedio salarial'!M87)</f>
        <v/>
      </c>
      <c r="D84" s="93" t="str">
        <f>IF('Promedio salarial'!N87="","",'Promedio salarial'!N87)</f>
        <v/>
      </c>
      <c r="E84" s="89">
        <f t="shared" si="1"/>
        <v>0</v>
      </c>
      <c r="F84" s="89">
        <f t="shared" si="2"/>
        <v>0</v>
      </c>
      <c r="G84" s="90">
        <f t="shared" si="3"/>
        <v>0</v>
      </c>
      <c r="H84" s="90">
        <f t="shared" si="4"/>
        <v>0</v>
      </c>
      <c r="I84" s="91">
        <f t="shared" si="5"/>
        <v>0</v>
      </c>
    </row>
    <row r="85">
      <c r="A85" s="73"/>
      <c r="B85" s="92" t="str">
        <f>IF('Promedio salarial'!L88="","",'Promedio salarial'!L88)</f>
        <v/>
      </c>
      <c r="C85" s="92" t="str">
        <f>IF('Promedio salarial'!M88="","",'Promedio salarial'!M88)</f>
        <v/>
      </c>
      <c r="D85" s="93" t="str">
        <f>IF('Promedio salarial'!N88="","",'Promedio salarial'!N88)</f>
        <v/>
      </c>
      <c r="E85" s="89">
        <f t="shared" si="1"/>
        <v>0</v>
      </c>
      <c r="F85" s="89">
        <f t="shared" si="2"/>
        <v>0</v>
      </c>
      <c r="G85" s="90">
        <f t="shared" si="3"/>
        <v>0</v>
      </c>
      <c r="H85" s="90">
        <f t="shared" si="4"/>
        <v>0</v>
      </c>
      <c r="I85" s="91">
        <f t="shared" si="5"/>
        <v>0</v>
      </c>
    </row>
    <row r="86">
      <c r="A86" s="73"/>
      <c r="B86" s="92" t="str">
        <f>IF('Promedio salarial'!L89="","",'Promedio salarial'!L89)</f>
        <v/>
      </c>
      <c r="C86" s="92" t="str">
        <f>IF('Promedio salarial'!M89="","",'Promedio salarial'!M89)</f>
        <v/>
      </c>
      <c r="D86" s="93" t="str">
        <f>IF('Promedio salarial'!N89="","",'Promedio salarial'!N89)</f>
        <v/>
      </c>
      <c r="E86" s="89">
        <f t="shared" si="1"/>
        <v>0</v>
      </c>
      <c r="F86" s="89">
        <f t="shared" si="2"/>
        <v>0</v>
      </c>
      <c r="G86" s="90">
        <f t="shared" si="3"/>
        <v>0</v>
      </c>
      <c r="H86" s="90">
        <f t="shared" si="4"/>
        <v>0</v>
      </c>
      <c r="I86" s="91">
        <f t="shared" si="5"/>
        <v>0</v>
      </c>
    </row>
    <row r="87">
      <c r="A87" s="73"/>
      <c r="B87" s="92" t="str">
        <f>IF('Promedio salarial'!L90="","",'Promedio salarial'!L90)</f>
        <v/>
      </c>
      <c r="C87" s="92" t="str">
        <f>IF('Promedio salarial'!M90="","",'Promedio salarial'!M90)</f>
        <v/>
      </c>
      <c r="D87" s="93" t="str">
        <f>IF('Promedio salarial'!N90="","",'Promedio salarial'!N90)</f>
        <v/>
      </c>
      <c r="E87" s="89">
        <f t="shared" si="1"/>
        <v>0</v>
      </c>
      <c r="F87" s="89">
        <f t="shared" si="2"/>
        <v>0</v>
      </c>
      <c r="G87" s="90">
        <f t="shared" si="3"/>
        <v>0</v>
      </c>
      <c r="H87" s="90">
        <f t="shared" si="4"/>
        <v>0</v>
      </c>
      <c r="I87" s="91">
        <f t="shared" si="5"/>
        <v>0</v>
      </c>
    </row>
    <row r="88">
      <c r="A88" s="73"/>
      <c r="B88" s="92" t="str">
        <f>IF('Promedio salarial'!L91="","",'Promedio salarial'!L91)</f>
        <v/>
      </c>
      <c r="C88" s="92" t="str">
        <f>IF('Promedio salarial'!M91="","",'Promedio salarial'!M91)</f>
        <v/>
      </c>
      <c r="D88" s="93" t="str">
        <f>IF('Promedio salarial'!N91="","",'Promedio salarial'!N91)</f>
        <v/>
      </c>
      <c r="E88" s="89">
        <f t="shared" si="1"/>
        <v>0</v>
      </c>
      <c r="F88" s="89">
        <f t="shared" si="2"/>
        <v>0</v>
      </c>
      <c r="G88" s="90">
        <f t="shared" si="3"/>
        <v>0</v>
      </c>
      <c r="H88" s="90">
        <f t="shared" si="4"/>
        <v>0</v>
      </c>
      <c r="I88" s="91">
        <f t="shared" si="5"/>
        <v>0</v>
      </c>
    </row>
    <row r="89">
      <c r="A89" s="73"/>
      <c r="B89" s="92" t="str">
        <f>IF('Promedio salarial'!L92="","",'Promedio salarial'!L92)</f>
        <v/>
      </c>
      <c r="C89" s="92" t="str">
        <f>IF('Promedio salarial'!M92="","",'Promedio salarial'!M92)</f>
        <v/>
      </c>
      <c r="D89" s="93" t="str">
        <f>IF('Promedio salarial'!N92="","",'Promedio salarial'!N92)</f>
        <v/>
      </c>
      <c r="E89" s="89">
        <f t="shared" si="1"/>
        <v>0</v>
      </c>
      <c r="F89" s="89">
        <f t="shared" si="2"/>
        <v>0</v>
      </c>
      <c r="G89" s="90">
        <f t="shared" si="3"/>
        <v>0</v>
      </c>
      <c r="H89" s="90">
        <f t="shared" si="4"/>
        <v>0</v>
      </c>
      <c r="I89" s="91">
        <f t="shared" si="5"/>
        <v>0</v>
      </c>
    </row>
    <row r="90">
      <c r="A90" s="73"/>
      <c r="B90" s="92" t="str">
        <f>IF('Promedio salarial'!L93="","",'Promedio salarial'!L93)</f>
        <v/>
      </c>
      <c r="C90" s="92" t="str">
        <f>IF('Promedio salarial'!M93="","",'Promedio salarial'!M93)</f>
        <v/>
      </c>
      <c r="D90" s="93" t="str">
        <f>IF('Promedio salarial'!N93="","",'Promedio salarial'!N93)</f>
        <v/>
      </c>
      <c r="E90" s="89">
        <f t="shared" si="1"/>
        <v>0</v>
      </c>
      <c r="F90" s="89">
        <f t="shared" si="2"/>
        <v>0</v>
      </c>
      <c r="G90" s="90">
        <f t="shared" si="3"/>
        <v>0</v>
      </c>
      <c r="H90" s="90">
        <f t="shared" si="4"/>
        <v>0</v>
      </c>
      <c r="I90" s="91">
        <f t="shared" si="5"/>
        <v>0</v>
      </c>
    </row>
    <row r="91">
      <c r="A91" s="73"/>
      <c r="B91" s="92" t="str">
        <f>IF('Promedio salarial'!L94="","",'Promedio salarial'!L94)</f>
        <v/>
      </c>
      <c r="C91" s="92" t="str">
        <f>IF('Promedio salarial'!M94="","",'Promedio salarial'!M94)</f>
        <v/>
      </c>
      <c r="D91" s="93" t="str">
        <f>IF('Promedio salarial'!N94="","",'Promedio salarial'!N94)</f>
        <v/>
      </c>
      <c r="E91" s="89">
        <f t="shared" si="1"/>
        <v>0</v>
      </c>
      <c r="F91" s="89">
        <f t="shared" si="2"/>
        <v>0</v>
      </c>
      <c r="G91" s="90">
        <f t="shared" si="3"/>
        <v>0</v>
      </c>
      <c r="H91" s="90">
        <f t="shared" si="4"/>
        <v>0</v>
      </c>
      <c r="I91" s="91">
        <f t="shared" si="5"/>
        <v>0</v>
      </c>
    </row>
    <row r="92">
      <c r="A92" s="73"/>
      <c r="B92" s="92" t="str">
        <f>IF('Promedio salarial'!L95="","",'Promedio salarial'!L95)</f>
        <v/>
      </c>
      <c r="C92" s="92" t="str">
        <f>IF('Promedio salarial'!M95="","",'Promedio salarial'!M95)</f>
        <v/>
      </c>
      <c r="D92" s="93" t="str">
        <f>IF('Promedio salarial'!N95="","",'Promedio salarial'!N95)</f>
        <v/>
      </c>
      <c r="E92" s="89">
        <f t="shared" si="1"/>
        <v>0</v>
      </c>
      <c r="F92" s="89">
        <f t="shared" si="2"/>
        <v>0</v>
      </c>
      <c r="G92" s="90">
        <f t="shared" si="3"/>
        <v>0</v>
      </c>
      <c r="H92" s="90">
        <f t="shared" si="4"/>
        <v>0</v>
      </c>
      <c r="I92" s="91">
        <f t="shared" si="5"/>
        <v>0</v>
      </c>
    </row>
    <row r="93">
      <c r="A93" s="73"/>
      <c r="B93" s="92" t="str">
        <f>IF('Promedio salarial'!L96="","",'Promedio salarial'!L96)</f>
        <v/>
      </c>
      <c r="C93" s="92" t="str">
        <f>IF('Promedio salarial'!M96="","",'Promedio salarial'!M96)</f>
        <v/>
      </c>
      <c r="D93" s="93" t="str">
        <f>IF('Promedio salarial'!N96="","",'Promedio salarial'!N96)</f>
        <v/>
      </c>
      <c r="E93" s="89">
        <f t="shared" si="1"/>
        <v>0</v>
      </c>
      <c r="F93" s="89">
        <f t="shared" si="2"/>
        <v>0</v>
      </c>
      <c r="G93" s="90">
        <f t="shared" si="3"/>
        <v>0</v>
      </c>
      <c r="H93" s="90">
        <f t="shared" si="4"/>
        <v>0</v>
      </c>
      <c r="I93" s="91">
        <f t="shared" si="5"/>
        <v>0</v>
      </c>
    </row>
    <row r="94">
      <c r="A94" s="73"/>
      <c r="B94" s="92" t="str">
        <f>IF('Promedio salarial'!L97="","",'Promedio salarial'!L97)</f>
        <v/>
      </c>
      <c r="C94" s="92" t="str">
        <f>IF('Promedio salarial'!M97="","",'Promedio salarial'!M97)</f>
        <v/>
      </c>
      <c r="D94" s="93" t="str">
        <f>IF('Promedio salarial'!N97="","",'Promedio salarial'!N97)</f>
        <v/>
      </c>
      <c r="E94" s="89">
        <f t="shared" si="1"/>
        <v>0</v>
      </c>
      <c r="F94" s="89">
        <f t="shared" si="2"/>
        <v>0</v>
      </c>
      <c r="G94" s="90">
        <f t="shared" si="3"/>
        <v>0</v>
      </c>
      <c r="H94" s="90">
        <f t="shared" si="4"/>
        <v>0</v>
      </c>
      <c r="I94" s="91">
        <f t="shared" si="5"/>
        <v>0</v>
      </c>
    </row>
    <row r="95">
      <c r="A95" s="73"/>
      <c r="B95" s="92" t="str">
        <f>IF('Promedio salarial'!L98="","",'Promedio salarial'!L98)</f>
        <v/>
      </c>
      <c r="C95" s="92" t="str">
        <f>IF('Promedio salarial'!M98="","",'Promedio salarial'!M98)</f>
        <v/>
      </c>
      <c r="D95" s="93" t="str">
        <f>IF('Promedio salarial'!N98="","",'Promedio salarial'!N98)</f>
        <v/>
      </c>
      <c r="E95" s="89">
        <f t="shared" si="1"/>
        <v>0</v>
      </c>
      <c r="F95" s="89">
        <f t="shared" si="2"/>
        <v>0</v>
      </c>
      <c r="G95" s="90">
        <f t="shared" si="3"/>
        <v>0</v>
      </c>
      <c r="H95" s="90">
        <f t="shared" si="4"/>
        <v>0</v>
      </c>
      <c r="I95" s="91">
        <f t="shared" si="5"/>
        <v>0</v>
      </c>
    </row>
    <row r="96">
      <c r="A96" s="73"/>
      <c r="B96" s="92" t="str">
        <f>IF('Promedio salarial'!L99="","",'Promedio salarial'!L99)</f>
        <v/>
      </c>
      <c r="C96" s="92" t="str">
        <f>IF('Promedio salarial'!M99="","",'Promedio salarial'!M99)</f>
        <v/>
      </c>
      <c r="D96" s="93" t="str">
        <f>IF('Promedio salarial'!N99="","",'Promedio salarial'!N99)</f>
        <v/>
      </c>
      <c r="E96" s="89">
        <f t="shared" si="1"/>
        <v>0</v>
      </c>
      <c r="F96" s="89">
        <f t="shared" si="2"/>
        <v>0</v>
      </c>
      <c r="G96" s="90">
        <f t="shared" si="3"/>
        <v>0</v>
      </c>
      <c r="H96" s="90">
        <f t="shared" si="4"/>
        <v>0</v>
      </c>
      <c r="I96" s="91">
        <f t="shared" si="5"/>
        <v>0</v>
      </c>
    </row>
    <row r="97">
      <c r="A97" s="73"/>
      <c r="B97" s="92" t="str">
        <f>IF('Promedio salarial'!L100="","",'Promedio salarial'!L100)</f>
        <v/>
      </c>
      <c r="C97" s="92" t="str">
        <f>IF('Promedio salarial'!M100="","",'Promedio salarial'!M100)</f>
        <v/>
      </c>
      <c r="D97" s="93" t="str">
        <f>IF('Promedio salarial'!N100="","",'Promedio salarial'!N100)</f>
        <v/>
      </c>
      <c r="E97" s="89">
        <f t="shared" si="1"/>
        <v>0</v>
      </c>
      <c r="F97" s="89">
        <f t="shared" si="2"/>
        <v>0</v>
      </c>
      <c r="G97" s="90">
        <f t="shared" si="3"/>
        <v>0</v>
      </c>
      <c r="H97" s="90">
        <f t="shared" si="4"/>
        <v>0</v>
      </c>
      <c r="I97" s="91">
        <f t="shared" si="5"/>
        <v>0</v>
      </c>
    </row>
    <row r="98">
      <c r="A98" s="73"/>
      <c r="B98" s="92" t="str">
        <f>IF('Promedio salarial'!L101="","",'Promedio salarial'!L101)</f>
        <v/>
      </c>
      <c r="C98" s="92" t="str">
        <f>IF('Promedio salarial'!M101="","",'Promedio salarial'!M101)</f>
        <v/>
      </c>
      <c r="D98" s="93" t="str">
        <f>IF('Promedio salarial'!N101="","",'Promedio salarial'!N101)</f>
        <v/>
      </c>
      <c r="E98" s="89">
        <f t="shared" si="1"/>
        <v>0</v>
      </c>
      <c r="F98" s="89">
        <f t="shared" si="2"/>
        <v>0</v>
      </c>
      <c r="G98" s="90">
        <f t="shared" si="3"/>
        <v>0</v>
      </c>
      <c r="H98" s="90">
        <f t="shared" si="4"/>
        <v>0</v>
      </c>
      <c r="I98" s="91">
        <f t="shared" si="5"/>
        <v>0</v>
      </c>
    </row>
    <row r="99">
      <c r="A99" s="73"/>
      <c r="B99" s="92" t="str">
        <f>IF('Promedio salarial'!L102="","",'Promedio salarial'!L102)</f>
        <v/>
      </c>
      <c r="C99" s="92" t="str">
        <f>IF('Promedio salarial'!M102="","",'Promedio salarial'!M102)</f>
        <v/>
      </c>
      <c r="D99" s="93" t="str">
        <f>IF('Promedio salarial'!N102="","",'Promedio salarial'!N102)</f>
        <v/>
      </c>
      <c r="E99" s="89">
        <f t="shared" si="1"/>
        <v>0</v>
      </c>
      <c r="F99" s="89">
        <f t="shared" si="2"/>
        <v>0</v>
      </c>
      <c r="G99" s="90">
        <f t="shared" si="3"/>
        <v>0</v>
      </c>
      <c r="H99" s="90">
        <f t="shared" si="4"/>
        <v>0</v>
      </c>
      <c r="I99" s="91">
        <f t="shared" si="5"/>
        <v>0</v>
      </c>
    </row>
    <row r="100">
      <c r="A100" s="73"/>
      <c r="B100" s="92" t="str">
        <f>IF('Promedio salarial'!L103="","",'Promedio salarial'!L103)</f>
        <v/>
      </c>
      <c r="C100" s="92" t="str">
        <f>IF('Promedio salarial'!M103="","",'Promedio salarial'!M103)</f>
        <v/>
      </c>
      <c r="D100" s="93" t="str">
        <f>IF('Promedio salarial'!N103="","",'Promedio salarial'!N103)</f>
        <v/>
      </c>
      <c r="E100" s="89">
        <f t="shared" si="1"/>
        <v>0</v>
      </c>
      <c r="F100" s="89">
        <f t="shared" si="2"/>
        <v>0</v>
      </c>
      <c r="G100" s="90">
        <f t="shared" si="3"/>
        <v>0</v>
      </c>
      <c r="H100" s="90">
        <f t="shared" si="4"/>
        <v>0</v>
      </c>
      <c r="I100" s="91">
        <f t="shared" si="5"/>
        <v>0</v>
      </c>
    </row>
    <row r="101">
      <c r="A101" s="73"/>
      <c r="B101" s="92" t="str">
        <f>IF('Promedio salarial'!L104="","",'Promedio salarial'!L104)</f>
        <v/>
      </c>
      <c r="C101" s="92" t="str">
        <f>IF('Promedio salarial'!M104="","",'Promedio salarial'!M104)</f>
        <v/>
      </c>
      <c r="D101" s="93" t="str">
        <f>IF('Promedio salarial'!N104="","",'Promedio salarial'!N104)</f>
        <v/>
      </c>
      <c r="E101" s="89">
        <f t="shared" si="1"/>
        <v>0</v>
      </c>
      <c r="F101" s="89">
        <f t="shared" si="2"/>
        <v>0</v>
      </c>
      <c r="G101" s="90">
        <f t="shared" si="3"/>
        <v>0</v>
      </c>
      <c r="H101" s="90">
        <f t="shared" si="4"/>
        <v>0</v>
      </c>
      <c r="I101" s="91">
        <f t="shared" si="5"/>
        <v>0</v>
      </c>
    </row>
    <row r="102">
      <c r="A102" s="73"/>
      <c r="B102" s="92" t="str">
        <f>IF('Promedio salarial'!L105="","",'Promedio salarial'!L105)</f>
        <v/>
      </c>
      <c r="C102" s="92" t="str">
        <f>IF('Promedio salarial'!M105="","",'Promedio salarial'!M105)</f>
        <v/>
      </c>
      <c r="D102" s="93" t="str">
        <f>IF('Promedio salarial'!N105="","",'Promedio salarial'!N105)</f>
        <v/>
      </c>
      <c r="E102" s="89">
        <f t="shared" si="1"/>
        <v>0</v>
      </c>
      <c r="F102" s="89">
        <f t="shared" si="2"/>
        <v>0</v>
      </c>
      <c r="G102" s="90">
        <f t="shared" si="3"/>
        <v>0</v>
      </c>
      <c r="H102" s="90">
        <f t="shared" si="4"/>
        <v>0</v>
      </c>
      <c r="I102" s="91">
        <f t="shared" si="5"/>
        <v>0</v>
      </c>
    </row>
    <row r="103">
      <c r="A103" s="73"/>
      <c r="B103" s="92" t="str">
        <f>IF('Promedio salarial'!L106="","",'Promedio salarial'!L106)</f>
        <v/>
      </c>
      <c r="C103" s="92" t="str">
        <f>IF('Promedio salarial'!M106="","",'Promedio salarial'!M106)</f>
        <v/>
      </c>
      <c r="D103" s="93" t="str">
        <f>IF('Promedio salarial'!N106="","",'Promedio salarial'!N106)</f>
        <v/>
      </c>
      <c r="E103" s="89">
        <f t="shared" si="1"/>
        <v>0</v>
      </c>
      <c r="F103" s="89">
        <f t="shared" si="2"/>
        <v>0</v>
      </c>
      <c r="G103" s="90">
        <f t="shared" si="3"/>
        <v>0</v>
      </c>
      <c r="H103" s="90">
        <f t="shared" si="4"/>
        <v>0</v>
      </c>
      <c r="I103" s="91">
        <f t="shared" si="5"/>
        <v>0</v>
      </c>
    </row>
    <row r="104">
      <c r="A104" s="73"/>
      <c r="B104" s="92" t="str">
        <f>IF('Promedio salarial'!L107="","",'Promedio salarial'!L107)</f>
        <v/>
      </c>
      <c r="C104" s="92" t="str">
        <f>IF('Promedio salarial'!M107="","",'Promedio salarial'!M107)</f>
        <v/>
      </c>
      <c r="D104" s="93" t="str">
        <f>IF('Promedio salarial'!N107="","",'Promedio salarial'!N107)</f>
        <v/>
      </c>
      <c r="E104" s="89">
        <f t="shared" si="1"/>
        <v>0</v>
      </c>
      <c r="F104" s="89">
        <f t="shared" si="2"/>
        <v>0</v>
      </c>
      <c r="G104" s="90">
        <f t="shared" si="3"/>
        <v>0</v>
      </c>
      <c r="H104" s="90">
        <f t="shared" si="4"/>
        <v>0</v>
      </c>
      <c r="I104" s="91">
        <f t="shared" si="5"/>
        <v>0</v>
      </c>
    </row>
    <row r="105">
      <c r="A105" s="73"/>
      <c r="B105" s="92" t="str">
        <f>IF('Promedio salarial'!L108="","",'Promedio salarial'!L108)</f>
        <v/>
      </c>
      <c r="C105" s="92" t="str">
        <f>IF('Promedio salarial'!M108="","",'Promedio salarial'!M108)</f>
        <v/>
      </c>
      <c r="D105" s="93" t="str">
        <f>IF('Promedio salarial'!N108="","",'Promedio salarial'!N108)</f>
        <v/>
      </c>
      <c r="E105" s="89">
        <f t="shared" si="1"/>
        <v>0</v>
      </c>
      <c r="F105" s="89">
        <f t="shared" si="2"/>
        <v>0</v>
      </c>
      <c r="G105" s="90">
        <f t="shared" si="3"/>
        <v>0</v>
      </c>
      <c r="H105" s="90">
        <f t="shared" si="4"/>
        <v>0</v>
      </c>
      <c r="I105" s="91">
        <f t="shared" si="5"/>
        <v>0</v>
      </c>
    </row>
    <row r="106">
      <c r="A106" s="73"/>
      <c r="B106" s="92" t="str">
        <f>IF('Promedio salarial'!L109="","",'Promedio salarial'!L109)</f>
        <v/>
      </c>
      <c r="C106" s="92" t="str">
        <f>IF('Promedio salarial'!M109="","",'Promedio salarial'!M109)</f>
        <v/>
      </c>
      <c r="D106" s="93" t="str">
        <f>IF('Promedio salarial'!N109="","",'Promedio salarial'!N109)</f>
        <v/>
      </c>
      <c r="E106" s="89">
        <f t="shared" si="1"/>
        <v>0</v>
      </c>
      <c r="F106" s="89">
        <f t="shared" si="2"/>
        <v>0</v>
      </c>
      <c r="G106" s="90">
        <f t="shared" si="3"/>
        <v>0</v>
      </c>
      <c r="H106" s="90">
        <f t="shared" si="4"/>
        <v>0</v>
      </c>
      <c r="I106" s="91">
        <f t="shared" si="5"/>
        <v>0</v>
      </c>
    </row>
    <row r="107">
      <c r="A107" s="73"/>
      <c r="B107" s="92" t="str">
        <f>IF('Promedio salarial'!L110="","",'Promedio salarial'!L110)</f>
        <v/>
      </c>
      <c r="C107" s="92" t="str">
        <f>IF('Promedio salarial'!M110="","",'Promedio salarial'!M110)</f>
        <v/>
      </c>
      <c r="D107" s="93" t="str">
        <f>IF('Promedio salarial'!N110="","",'Promedio salarial'!N110)</f>
        <v/>
      </c>
      <c r="E107" s="89">
        <f t="shared" si="1"/>
        <v>0</v>
      </c>
      <c r="F107" s="89">
        <f t="shared" si="2"/>
        <v>0</v>
      </c>
      <c r="G107" s="90">
        <f t="shared" si="3"/>
        <v>0</v>
      </c>
      <c r="H107" s="90">
        <f t="shared" si="4"/>
        <v>0</v>
      </c>
      <c r="I107" s="91">
        <f t="shared" si="5"/>
        <v>0</v>
      </c>
    </row>
    <row r="108">
      <c r="A108" s="73"/>
      <c r="B108" s="92" t="str">
        <f>IF('Promedio salarial'!L111="","",'Promedio salarial'!L111)</f>
        <v/>
      </c>
      <c r="C108" s="92" t="str">
        <f>IF('Promedio salarial'!M111="","",'Promedio salarial'!M111)</f>
        <v/>
      </c>
      <c r="D108" s="93" t="str">
        <f>IF('Promedio salarial'!N111="","",'Promedio salarial'!N111)</f>
        <v/>
      </c>
      <c r="E108" s="89">
        <f t="shared" si="1"/>
        <v>0</v>
      </c>
      <c r="F108" s="89">
        <f t="shared" si="2"/>
        <v>0</v>
      </c>
      <c r="G108" s="90">
        <f t="shared" si="3"/>
        <v>0</v>
      </c>
      <c r="H108" s="90">
        <f t="shared" si="4"/>
        <v>0</v>
      </c>
      <c r="I108" s="91">
        <f t="shared" si="5"/>
        <v>0</v>
      </c>
    </row>
    <row r="109">
      <c r="A109" s="73"/>
      <c r="B109" s="92" t="str">
        <f>IF('Promedio salarial'!L112="","",'Promedio salarial'!L112)</f>
        <v/>
      </c>
      <c r="C109" s="92" t="str">
        <f>IF('Promedio salarial'!M112="","",'Promedio salarial'!M112)</f>
        <v/>
      </c>
      <c r="D109" s="93" t="str">
        <f>IF('Promedio salarial'!N112="","",'Promedio salarial'!N112)</f>
        <v/>
      </c>
      <c r="E109" s="89">
        <f t="shared" si="1"/>
        <v>0</v>
      </c>
      <c r="F109" s="89">
        <f t="shared" si="2"/>
        <v>0</v>
      </c>
      <c r="G109" s="90">
        <f t="shared" si="3"/>
        <v>0</v>
      </c>
      <c r="H109" s="90">
        <f t="shared" si="4"/>
        <v>0</v>
      </c>
      <c r="I109" s="91">
        <f t="shared" si="5"/>
        <v>0</v>
      </c>
    </row>
    <row r="110">
      <c r="A110" s="73"/>
      <c r="B110" s="92" t="str">
        <f>IF('Promedio salarial'!L113="","",'Promedio salarial'!L113)</f>
        <v/>
      </c>
      <c r="C110" s="92" t="str">
        <f>IF('Promedio salarial'!M113="","",'Promedio salarial'!M113)</f>
        <v/>
      </c>
      <c r="D110" s="93" t="str">
        <f>IF('Promedio salarial'!N113="","",'Promedio salarial'!N113)</f>
        <v/>
      </c>
      <c r="E110" s="89">
        <f t="shared" si="1"/>
        <v>0</v>
      </c>
      <c r="F110" s="89">
        <f t="shared" si="2"/>
        <v>0</v>
      </c>
      <c r="G110" s="90">
        <f t="shared" si="3"/>
        <v>0</v>
      </c>
      <c r="H110" s="90">
        <f t="shared" si="4"/>
        <v>0</v>
      </c>
      <c r="I110" s="91">
        <f t="shared" si="5"/>
        <v>0</v>
      </c>
    </row>
    <row r="111">
      <c r="A111" s="73"/>
      <c r="B111" s="92" t="str">
        <f>IF('Promedio salarial'!L114="","",'Promedio salarial'!L114)</f>
        <v/>
      </c>
      <c r="C111" s="92" t="str">
        <f>IF('Promedio salarial'!M114="","",'Promedio salarial'!M114)</f>
        <v/>
      </c>
      <c r="D111" s="93" t="str">
        <f>IF('Promedio salarial'!N114="","",'Promedio salarial'!N114)</f>
        <v/>
      </c>
      <c r="E111" s="89">
        <f t="shared" si="1"/>
        <v>0</v>
      </c>
      <c r="F111" s="89">
        <f t="shared" si="2"/>
        <v>0</v>
      </c>
      <c r="G111" s="90">
        <f t="shared" si="3"/>
        <v>0</v>
      </c>
      <c r="H111" s="90">
        <f t="shared" si="4"/>
        <v>0</v>
      </c>
      <c r="I111" s="91">
        <f t="shared" si="5"/>
        <v>0</v>
      </c>
    </row>
    <row r="112">
      <c r="A112" s="73"/>
      <c r="B112" s="92" t="str">
        <f>IF('Promedio salarial'!L115="","",'Promedio salarial'!L115)</f>
        <v/>
      </c>
      <c r="C112" s="92" t="str">
        <f>IF('Promedio salarial'!M115="","",'Promedio salarial'!M115)</f>
        <v/>
      </c>
      <c r="D112" s="93" t="str">
        <f>IF('Promedio salarial'!N115="","",'Promedio salarial'!N115)</f>
        <v/>
      </c>
      <c r="E112" s="89">
        <f t="shared" si="1"/>
        <v>0</v>
      </c>
      <c r="F112" s="89">
        <f t="shared" si="2"/>
        <v>0</v>
      </c>
      <c r="G112" s="90">
        <f t="shared" si="3"/>
        <v>0</v>
      </c>
      <c r="H112" s="90">
        <f t="shared" si="4"/>
        <v>0</v>
      </c>
      <c r="I112" s="91">
        <f t="shared" si="5"/>
        <v>0</v>
      </c>
    </row>
    <row r="113">
      <c r="A113" s="73"/>
      <c r="B113" s="92" t="str">
        <f>IF('Promedio salarial'!L116="","",'Promedio salarial'!L116)</f>
        <v/>
      </c>
      <c r="C113" s="92" t="str">
        <f>IF('Promedio salarial'!M116="","",'Promedio salarial'!M116)</f>
        <v/>
      </c>
      <c r="D113" s="93" t="str">
        <f>IF('Promedio salarial'!N116="","",'Promedio salarial'!N116)</f>
        <v/>
      </c>
      <c r="E113" s="89">
        <f t="shared" si="1"/>
        <v>0</v>
      </c>
      <c r="F113" s="89">
        <f t="shared" si="2"/>
        <v>0</v>
      </c>
      <c r="G113" s="90">
        <f t="shared" si="3"/>
        <v>0</v>
      </c>
      <c r="H113" s="90">
        <f t="shared" si="4"/>
        <v>0</v>
      </c>
      <c r="I113" s="91">
        <f t="shared" si="5"/>
        <v>0</v>
      </c>
    </row>
    <row r="114">
      <c r="A114" s="73"/>
      <c r="B114" s="92" t="str">
        <f>IF('Promedio salarial'!L117="","",'Promedio salarial'!L117)</f>
        <v/>
      </c>
      <c r="C114" s="92" t="str">
        <f>IF('Promedio salarial'!M117="","",'Promedio salarial'!M117)</f>
        <v/>
      </c>
      <c r="D114" s="93" t="str">
        <f>IF('Promedio salarial'!N117="","",'Promedio salarial'!N117)</f>
        <v/>
      </c>
      <c r="E114" s="89">
        <f t="shared" si="1"/>
        <v>0</v>
      </c>
      <c r="F114" s="89">
        <f t="shared" si="2"/>
        <v>0</v>
      </c>
      <c r="G114" s="90">
        <f t="shared" si="3"/>
        <v>0</v>
      </c>
      <c r="H114" s="90">
        <f t="shared" si="4"/>
        <v>0</v>
      </c>
      <c r="I114" s="91">
        <f t="shared" si="5"/>
        <v>0</v>
      </c>
    </row>
    <row r="115">
      <c r="A115" s="73"/>
      <c r="B115" s="92" t="str">
        <f>IF('Promedio salarial'!L118="","",'Promedio salarial'!L118)</f>
        <v/>
      </c>
      <c r="C115" s="92" t="str">
        <f>IF('Promedio salarial'!M118="","",'Promedio salarial'!M118)</f>
        <v/>
      </c>
      <c r="D115" s="93" t="str">
        <f>IF('Promedio salarial'!N118="","",'Promedio salarial'!N118)</f>
        <v/>
      </c>
      <c r="E115" s="89">
        <f t="shared" si="1"/>
        <v>0</v>
      </c>
      <c r="F115" s="89">
        <f t="shared" si="2"/>
        <v>0</v>
      </c>
      <c r="G115" s="90">
        <f t="shared" si="3"/>
        <v>0</v>
      </c>
      <c r="H115" s="90">
        <f t="shared" si="4"/>
        <v>0</v>
      </c>
      <c r="I115" s="91">
        <f t="shared" si="5"/>
        <v>0</v>
      </c>
    </row>
    <row r="116">
      <c r="A116" s="73"/>
      <c r="B116" s="92" t="str">
        <f>IF('Promedio salarial'!L119="","",'Promedio salarial'!L119)</f>
        <v/>
      </c>
      <c r="C116" s="92" t="str">
        <f>IF('Promedio salarial'!M119="","",'Promedio salarial'!M119)</f>
        <v/>
      </c>
      <c r="D116" s="93" t="str">
        <f>IF('Promedio salarial'!N119="","",'Promedio salarial'!N119)</f>
        <v/>
      </c>
      <c r="E116" s="89">
        <f t="shared" si="1"/>
        <v>0</v>
      </c>
      <c r="F116" s="89">
        <f t="shared" si="2"/>
        <v>0</v>
      </c>
      <c r="G116" s="90">
        <f t="shared" si="3"/>
        <v>0</v>
      </c>
      <c r="H116" s="90">
        <f t="shared" si="4"/>
        <v>0</v>
      </c>
      <c r="I116" s="91">
        <f t="shared" si="5"/>
        <v>0</v>
      </c>
    </row>
    <row r="117">
      <c r="A117" s="73"/>
      <c r="B117" s="92" t="str">
        <f>IF('Promedio salarial'!L120="","",'Promedio salarial'!L120)</f>
        <v/>
      </c>
      <c r="C117" s="92" t="str">
        <f>IF('Promedio salarial'!M120="","",'Promedio salarial'!M120)</f>
        <v/>
      </c>
      <c r="D117" s="93" t="str">
        <f>IF('Promedio salarial'!N120="","",'Promedio salarial'!N120)</f>
        <v/>
      </c>
      <c r="E117" s="89">
        <f t="shared" si="1"/>
        <v>0</v>
      </c>
      <c r="F117" s="89">
        <f t="shared" si="2"/>
        <v>0</v>
      </c>
      <c r="G117" s="90">
        <f t="shared" si="3"/>
        <v>0</v>
      </c>
      <c r="H117" s="90">
        <f t="shared" si="4"/>
        <v>0</v>
      </c>
      <c r="I117" s="91">
        <f t="shared" si="5"/>
        <v>0</v>
      </c>
    </row>
    <row r="118">
      <c r="A118" s="73"/>
      <c r="B118" s="92" t="str">
        <f>IF('Promedio salarial'!L121="","",'Promedio salarial'!L121)</f>
        <v/>
      </c>
      <c r="C118" s="92" t="str">
        <f>IF('Promedio salarial'!M121="","",'Promedio salarial'!M121)</f>
        <v/>
      </c>
      <c r="D118" s="93" t="str">
        <f>IF('Promedio salarial'!N121="","",'Promedio salarial'!N121)</f>
        <v/>
      </c>
      <c r="E118" s="89">
        <f t="shared" si="1"/>
        <v>0</v>
      </c>
      <c r="F118" s="89">
        <f t="shared" si="2"/>
        <v>0</v>
      </c>
      <c r="G118" s="90">
        <f t="shared" si="3"/>
        <v>0</v>
      </c>
      <c r="H118" s="90">
        <f t="shared" si="4"/>
        <v>0</v>
      </c>
      <c r="I118" s="91">
        <f t="shared" si="5"/>
        <v>0</v>
      </c>
    </row>
    <row r="119">
      <c r="A119" s="73"/>
      <c r="B119" s="92" t="str">
        <f>IF('Promedio salarial'!L122="","",'Promedio salarial'!L122)</f>
        <v/>
      </c>
      <c r="C119" s="92" t="str">
        <f>IF('Promedio salarial'!M122="","",'Promedio salarial'!M122)</f>
        <v/>
      </c>
      <c r="D119" s="93" t="str">
        <f>IF('Promedio salarial'!N122="","",'Promedio salarial'!N122)</f>
        <v/>
      </c>
      <c r="E119" s="89">
        <f t="shared" si="1"/>
        <v>0</v>
      </c>
      <c r="F119" s="89">
        <f t="shared" si="2"/>
        <v>0</v>
      </c>
      <c r="G119" s="90">
        <f t="shared" si="3"/>
        <v>0</v>
      </c>
      <c r="H119" s="90">
        <f t="shared" si="4"/>
        <v>0</v>
      </c>
      <c r="I119" s="91">
        <f t="shared" si="5"/>
        <v>0</v>
      </c>
    </row>
    <row r="120">
      <c r="A120" s="73"/>
      <c r="B120" s="92" t="str">
        <f>IF('Promedio salarial'!L123="","",'Promedio salarial'!L123)</f>
        <v/>
      </c>
      <c r="C120" s="92" t="str">
        <f>IF('Promedio salarial'!M123="","",'Promedio salarial'!M123)</f>
        <v/>
      </c>
      <c r="D120" s="93" t="str">
        <f>IF('Promedio salarial'!N123="","",'Promedio salarial'!N123)</f>
        <v/>
      </c>
      <c r="E120" s="89">
        <f t="shared" si="1"/>
        <v>0</v>
      </c>
      <c r="F120" s="89">
        <f t="shared" si="2"/>
        <v>0</v>
      </c>
      <c r="G120" s="90">
        <f t="shared" si="3"/>
        <v>0</v>
      </c>
      <c r="H120" s="90">
        <f t="shared" si="4"/>
        <v>0</v>
      </c>
      <c r="I120" s="91">
        <f t="shared" si="5"/>
        <v>0</v>
      </c>
    </row>
    <row r="121">
      <c r="A121" s="73"/>
      <c r="B121" s="92" t="str">
        <f>IF('Promedio salarial'!L124="","",'Promedio salarial'!L124)</f>
        <v/>
      </c>
      <c r="C121" s="92" t="str">
        <f>IF('Promedio salarial'!M124="","",'Promedio salarial'!M124)</f>
        <v/>
      </c>
      <c r="D121" s="93" t="str">
        <f>IF('Promedio salarial'!N124="","",'Promedio salarial'!N124)</f>
        <v/>
      </c>
      <c r="E121" s="89">
        <f t="shared" si="1"/>
        <v>0</v>
      </c>
      <c r="F121" s="89">
        <f t="shared" si="2"/>
        <v>0</v>
      </c>
      <c r="G121" s="90">
        <f t="shared" si="3"/>
        <v>0</v>
      </c>
      <c r="H121" s="90">
        <f t="shared" si="4"/>
        <v>0</v>
      </c>
      <c r="I121" s="91">
        <f t="shared" si="5"/>
        <v>0</v>
      </c>
    </row>
    <row r="122">
      <c r="A122" s="73"/>
      <c r="B122" s="92" t="str">
        <f>IF('Promedio salarial'!L125="","",'Promedio salarial'!L125)</f>
        <v/>
      </c>
      <c r="C122" s="92" t="str">
        <f>IF('Promedio salarial'!M125="","",'Promedio salarial'!M125)</f>
        <v/>
      </c>
      <c r="D122" s="93" t="str">
        <f>IF('Promedio salarial'!N125="","",'Promedio salarial'!N125)</f>
        <v/>
      </c>
      <c r="E122" s="89">
        <f t="shared" si="1"/>
        <v>0</v>
      </c>
      <c r="F122" s="89">
        <f t="shared" si="2"/>
        <v>0</v>
      </c>
      <c r="G122" s="90">
        <f t="shared" si="3"/>
        <v>0</v>
      </c>
      <c r="H122" s="90">
        <f t="shared" si="4"/>
        <v>0</v>
      </c>
      <c r="I122" s="91">
        <f t="shared" si="5"/>
        <v>0</v>
      </c>
    </row>
    <row r="123">
      <c r="A123" s="73"/>
      <c r="B123" s="92" t="str">
        <f>IF('Promedio salarial'!L126="","",'Promedio salarial'!L126)</f>
        <v/>
      </c>
      <c r="C123" s="92" t="str">
        <f>IF('Promedio salarial'!M126="","",'Promedio salarial'!M126)</f>
        <v/>
      </c>
      <c r="D123" s="93" t="str">
        <f>IF('Promedio salarial'!N126="","",'Promedio salarial'!N126)</f>
        <v/>
      </c>
      <c r="E123" s="89">
        <f t="shared" si="1"/>
        <v>0</v>
      </c>
      <c r="F123" s="89">
        <f t="shared" si="2"/>
        <v>0</v>
      </c>
      <c r="G123" s="90">
        <f t="shared" si="3"/>
        <v>0</v>
      </c>
      <c r="H123" s="90">
        <f t="shared" si="4"/>
        <v>0</v>
      </c>
      <c r="I123" s="91">
        <f t="shared" si="5"/>
        <v>0</v>
      </c>
    </row>
    <row r="124">
      <c r="A124" s="73"/>
      <c r="B124" s="92" t="str">
        <f>IF('Promedio salarial'!L127="","",'Promedio salarial'!L127)</f>
        <v/>
      </c>
      <c r="C124" s="92" t="str">
        <f>IF('Promedio salarial'!M127="","",'Promedio salarial'!M127)</f>
        <v/>
      </c>
      <c r="D124" s="93" t="str">
        <f>IF('Promedio salarial'!N127="","",'Promedio salarial'!N127)</f>
        <v/>
      </c>
      <c r="E124" s="89">
        <f t="shared" si="1"/>
        <v>0</v>
      </c>
      <c r="F124" s="89">
        <f t="shared" si="2"/>
        <v>0</v>
      </c>
      <c r="G124" s="90">
        <f t="shared" si="3"/>
        <v>0</v>
      </c>
      <c r="H124" s="90">
        <f t="shared" si="4"/>
        <v>0</v>
      </c>
      <c r="I124" s="91">
        <f t="shared" si="5"/>
        <v>0</v>
      </c>
    </row>
    <row r="125">
      <c r="A125" s="73"/>
      <c r="B125" s="92" t="str">
        <f>IF('Promedio salarial'!L128="","",'Promedio salarial'!L128)</f>
        <v/>
      </c>
      <c r="C125" s="92" t="str">
        <f>IF('Promedio salarial'!M128="","",'Promedio salarial'!M128)</f>
        <v/>
      </c>
      <c r="D125" s="93" t="str">
        <f>IF('Promedio salarial'!N128="","",'Promedio salarial'!N128)</f>
        <v/>
      </c>
      <c r="E125" s="89">
        <f t="shared" si="1"/>
        <v>0</v>
      </c>
      <c r="F125" s="89">
        <f t="shared" si="2"/>
        <v>0</v>
      </c>
      <c r="G125" s="90">
        <f t="shared" si="3"/>
        <v>0</v>
      </c>
      <c r="H125" s="90">
        <f t="shared" si="4"/>
        <v>0</v>
      </c>
      <c r="I125" s="91">
        <f t="shared" si="5"/>
        <v>0</v>
      </c>
    </row>
    <row r="126">
      <c r="A126" s="73"/>
      <c r="B126" s="92" t="str">
        <f>IF('Promedio salarial'!L129="","",'Promedio salarial'!L129)</f>
        <v/>
      </c>
      <c r="C126" s="92" t="str">
        <f>IF('Promedio salarial'!M129="","",'Promedio salarial'!M129)</f>
        <v/>
      </c>
      <c r="D126" s="93" t="str">
        <f>IF('Promedio salarial'!N129="","",'Promedio salarial'!N129)</f>
        <v/>
      </c>
      <c r="E126" s="89">
        <f t="shared" si="1"/>
        <v>0</v>
      </c>
      <c r="F126" s="89">
        <f t="shared" si="2"/>
        <v>0</v>
      </c>
      <c r="G126" s="90">
        <f t="shared" si="3"/>
        <v>0</v>
      </c>
      <c r="H126" s="90">
        <f t="shared" si="4"/>
        <v>0</v>
      </c>
      <c r="I126" s="91">
        <f t="shared" si="5"/>
        <v>0</v>
      </c>
    </row>
    <row r="127">
      <c r="A127" s="73"/>
      <c r="B127" s="92" t="str">
        <f>IF('Promedio salarial'!L130="","",'Promedio salarial'!L130)</f>
        <v/>
      </c>
      <c r="C127" s="92" t="str">
        <f>IF('Promedio salarial'!M130="","",'Promedio salarial'!M130)</f>
        <v/>
      </c>
      <c r="D127" s="93" t="str">
        <f>IF('Promedio salarial'!N130="","",'Promedio salarial'!N130)</f>
        <v/>
      </c>
      <c r="E127" s="89">
        <f t="shared" si="1"/>
        <v>0</v>
      </c>
      <c r="F127" s="89">
        <f t="shared" si="2"/>
        <v>0</v>
      </c>
      <c r="G127" s="90">
        <f t="shared" si="3"/>
        <v>0</v>
      </c>
      <c r="H127" s="90">
        <f t="shared" si="4"/>
        <v>0</v>
      </c>
      <c r="I127" s="91">
        <f t="shared" si="5"/>
        <v>0</v>
      </c>
    </row>
    <row r="128">
      <c r="A128" s="73"/>
      <c r="B128" s="92" t="str">
        <f>IF('Promedio salarial'!L131="","",'Promedio salarial'!L131)</f>
        <v/>
      </c>
      <c r="C128" s="92" t="str">
        <f>IF('Promedio salarial'!M131="","",'Promedio salarial'!M131)</f>
        <v/>
      </c>
      <c r="D128" s="93" t="str">
        <f>IF('Promedio salarial'!N131="","",'Promedio salarial'!N131)</f>
        <v/>
      </c>
      <c r="E128" s="89">
        <f t="shared" si="1"/>
        <v>0</v>
      </c>
      <c r="F128" s="89">
        <f t="shared" si="2"/>
        <v>0</v>
      </c>
      <c r="G128" s="90">
        <f t="shared" si="3"/>
        <v>0</v>
      </c>
      <c r="H128" s="90">
        <f t="shared" si="4"/>
        <v>0</v>
      </c>
      <c r="I128" s="91">
        <f t="shared" si="5"/>
        <v>0</v>
      </c>
    </row>
    <row r="129">
      <c r="A129" s="73"/>
      <c r="B129" s="92" t="str">
        <f>IF('Promedio salarial'!L132="","",'Promedio salarial'!L132)</f>
        <v/>
      </c>
      <c r="C129" s="92" t="str">
        <f>IF('Promedio salarial'!M132="","",'Promedio salarial'!M132)</f>
        <v/>
      </c>
      <c r="D129" s="93" t="str">
        <f>IF('Promedio salarial'!N132="","",'Promedio salarial'!N132)</f>
        <v/>
      </c>
      <c r="E129" s="89">
        <f t="shared" si="1"/>
        <v>0</v>
      </c>
      <c r="F129" s="89">
        <f t="shared" si="2"/>
        <v>0</v>
      </c>
      <c r="G129" s="90">
        <f t="shared" si="3"/>
        <v>0</v>
      </c>
      <c r="H129" s="90">
        <f t="shared" si="4"/>
        <v>0</v>
      </c>
      <c r="I129" s="91">
        <f t="shared" si="5"/>
        <v>0</v>
      </c>
    </row>
    <row r="130">
      <c r="A130" s="73"/>
      <c r="B130" s="92" t="str">
        <f>IF('Promedio salarial'!L133="","",'Promedio salarial'!L133)</f>
        <v/>
      </c>
      <c r="C130" s="92" t="str">
        <f>IF('Promedio salarial'!M133="","",'Promedio salarial'!M133)</f>
        <v/>
      </c>
      <c r="D130" s="93" t="str">
        <f>IF('Promedio salarial'!N133="","",'Promedio salarial'!N133)</f>
        <v/>
      </c>
      <c r="E130" s="89">
        <f t="shared" si="1"/>
        <v>0</v>
      </c>
      <c r="F130" s="89">
        <f t="shared" si="2"/>
        <v>0</v>
      </c>
      <c r="G130" s="90">
        <f t="shared" si="3"/>
        <v>0</v>
      </c>
      <c r="H130" s="90">
        <f t="shared" si="4"/>
        <v>0</v>
      </c>
      <c r="I130" s="91">
        <f t="shared" si="5"/>
        <v>0</v>
      </c>
    </row>
    <row r="131">
      <c r="A131" s="73"/>
      <c r="B131" s="92" t="str">
        <f>IF('Promedio salarial'!L134="","",'Promedio salarial'!L134)</f>
        <v/>
      </c>
      <c r="C131" s="92" t="str">
        <f>IF('Promedio salarial'!M134="","",'Promedio salarial'!M134)</f>
        <v/>
      </c>
      <c r="D131" s="93" t="str">
        <f>IF('Promedio salarial'!N134="","",'Promedio salarial'!N134)</f>
        <v/>
      </c>
      <c r="E131" s="89">
        <f t="shared" si="1"/>
        <v>0</v>
      </c>
      <c r="F131" s="89">
        <f t="shared" si="2"/>
        <v>0</v>
      </c>
      <c r="G131" s="90">
        <f t="shared" si="3"/>
        <v>0</v>
      </c>
      <c r="H131" s="90">
        <f t="shared" si="4"/>
        <v>0</v>
      </c>
      <c r="I131" s="91">
        <f t="shared" si="5"/>
        <v>0</v>
      </c>
    </row>
    <row r="132">
      <c r="A132" s="73"/>
      <c r="B132" s="92" t="str">
        <f>IF('Promedio salarial'!L135="","",'Promedio salarial'!L135)</f>
        <v/>
      </c>
      <c r="C132" s="92" t="str">
        <f>IF('Promedio salarial'!M135="","",'Promedio salarial'!M135)</f>
        <v/>
      </c>
      <c r="D132" s="93" t="str">
        <f>IF('Promedio salarial'!N135="","",'Promedio salarial'!N135)</f>
        <v/>
      </c>
      <c r="E132" s="89">
        <f t="shared" si="1"/>
        <v>0</v>
      </c>
      <c r="F132" s="89">
        <f t="shared" si="2"/>
        <v>0</v>
      </c>
      <c r="G132" s="90">
        <f t="shared" si="3"/>
        <v>0</v>
      </c>
      <c r="H132" s="90">
        <f t="shared" si="4"/>
        <v>0</v>
      </c>
      <c r="I132" s="91">
        <f t="shared" si="5"/>
        <v>0</v>
      </c>
    </row>
    <row r="133">
      <c r="A133" s="73"/>
      <c r="B133" s="92" t="str">
        <f>IF('Promedio salarial'!L136="","",'Promedio salarial'!L136)</f>
        <v/>
      </c>
      <c r="C133" s="92" t="str">
        <f>IF('Promedio salarial'!M136="","",'Promedio salarial'!M136)</f>
        <v/>
      </c>
      <c r="D133" s="93" t="str">
        <f>IF('Promedio salarial'!N136="","",'Promedio salarial'!N136)</f>
        <v/>
      </c>
      <c r="E133" s="89">
        <f t="shared" si="1"/>
        <v>0</v>
      </c>
      <c r="F133" s="89">
        <f t="shared" si="2"/>
        <v>0</v>
      </c>
      <c r="G133" s="90">
        <f t="shared" si="3"/>
        <v>0</v>
      </c>
      <c r="H133" s="90">
        <f t="shared" si="4"/>
        <v>0</v>
      </c>
      <c r="I133" s="91">
        <f t="shared" si="5"/>
        <v>0</v>
      </c>
    </row>
    <row r="134">
      <c r="A134" s="73"/>
      <c r="B134" s="92" t="str">
        <f>IF('Promedio salarial'!L137="","",'Promedio salarial'!L137)</f>
        <v/>
      </c>
      <c r="C134" s="92" t="str">
        <f>IF('Promedio salarial'!M137="","",'Promedio salarial'!M137)</f>
        <v/>
      </c>
      <c r="D134" s="93" t="str">
        <f>IF('Promedio salarial'!N137="","",'Promedio salarial'!N137)</f>
        <v/>
      </c>
      <c r="E134" s="89">
        <f t="shared" si="1"/>
        <v>0</v>
      </c>
      <c r="F134" s="89">
        <f t="shared" si="2"/>
        <v>0</v>
      </c>
      <c r="G134" s="90">
        <f t="shared" si="3"/>
        <v>0</v>
      </c>
      <c r="H134" s="90">
        <f t="shared" si="4"/>
        <v>0</v>
      </c>
      <c r="I134" s="91">
        <f t="shared" si="5"/>
        <v>0</v>
      </c>
    </row>
    <row r="135">
      <c r="A135" s="73"/>
      <c r="B135" s="92" t="str">
        <f>IF('Promedio salarial'!L138="","",'Promedio salarial'!L138)</f>
        <v/>
      </c>
      <c r="C135" s="92" t="str">
        <f>IF('Promedio salarial'!M138="","",'Promedio salarial'!M138)</f>
        <v/>
      </c>
      <c r="D135" s="93" t="str">
        <f>IF('Promedio salarial'!N138="","",'Promedio salarial'!N138)</f>
        <v/>
      </c>
      <c r="E135" s="89">
        <f t="shared" si="1"/>
        <v>0</v>
      </c>
      <c r="F135" s="89">
        <f t="shared" si="2"/>
        <v>0</v>
      </c>
      <c r="G135" s="90">
        <f t="shared" si="3"/>
        <v>0</v>
      </c>
      <c r="H135" s="90">
        <f t="shared" si="4"/>
        <v>0</v>
      </c>
      <c r="I135" s="91">
        <f t="shared" si="5"/>
        <v>0</v>
      </c>
    </row>
    <row r="136">
      <c r="A136" s="73"/>
      <c r="B136" s="92" t="str">
        <f>IF('Promedio salarial'!L139="","",'Promedio salarial'!L139)</f>
        <v/>
      </c>
      <c r="C136" s="92" t="str">
        <f>IF('Promedio salarial'!M139="","",'Promedio salarial'!M139)</f>
        <v/>
      </c>
      <c r="D136" s="93" t="str">
        <f>IF('Promedio salarial'!N139="","",'Promedio salarial'!N139)</f>
        <v/>
      </c>
      <c r="E136" s="89">
        <f t="shared" si="1"/>
        <v>0</v>
      </c>
      <c r="F136" s="89">
        <f t="shared" si="2"/>
        <v>0</v>
      </c>
      <c r="G136" s="90">
        <f t="shared" si="3"/>
        <v>0</v>
      </c>
      <c r="H136" s="90">
        <f t="shared" si="4"/>
        <v>0</v>
      </c>
      <c r="I136" s="91">
        <f t="shared" si="5"/>
        <v>0</v>
      </c>
    </row>
    <row r="137">
      <c r="A137" s="73"/>
      <c r="B137" s="92" t="str">
        <f>IF('Promedio salarial'!L140="","",'Promedio salarial'!L140)</f>
        <v/>
      </c>
      <c r="C137" s="92" t="str">
        <f>IF('Promedio salarial'!M140="","",'Promedio salarial'!M140)</f>
        <v/>
      </c>
      <c r="D137" s="93" t="str">
        <f>IF('Promedio salarial'!N140="","",'Promedio salarial'!N140)</f>
        <v/>
      </c>
      <c r="E137" s="89">
        <f t="shared" si="1"/>
        <v>0</v>
      </c>
      <c r="F137" s="89">
        <f t="shared" si="2"/>
        <v>0</v>
      </c>
      <c r="G137" s="90">
        <f t="shared" si="3"/>
        <v>0</v>
      </c>
      <c r="H137" s="90">
        <f t="shared" si="4"/>
        <v>0</v>
      </c>
      <c r="I137" s="91">
        <f t="shared" si="5"/>
        <v>0</v>
      </c>
    </row>
    <row r="138">
      <c r="A138" s="73"/>
      <c r="B138" s="92" t="str">
        <f>IF('Promedio salarial'!L141="","",'Promedio salarial'!L141)</f>
        <v/>
      </c>
      <c r="C138" s="92" t="str">
        <f>IF('Promedio salarial'!M141="","",'Promedio salarial'!M141)</f>
        <v/>
      </c>
      <c r="D138" s="93" t="str">
        <f>IF('Promedio salarial'!N141="","",'Promedio salarial'!N141)</f>
        <v/>
      </c>
      <c r="E138" s="89">
        <f t="shared" si="1"/>
        <v>0</v>
      </c>
      <c r="F138" s="89">
        <f t="shared" si="2"/>
        <v>0</v>
      </c>
      <c r="G138" s="90">
        <f t="shared" si="3"/>
        <v>0</v>
      </c>
      <c r="H138" s="90">
        <f t="shared" si="4"/>
        <v>0</v>
      </c>
      <c r="I138" s="91">
        <f t="shared" si="5"/>
        <v>0</v>
      </c>
    </row>
    <row r="139">
      <c r="A139" s="73"/>
      <c r="B139" s="92" t="str">
        <f>IF('Promedio salarial'!L142="","",'Promedio salarial'!L142)</f>
        <v/>
      </c>
      <c r="C139" s="92" t="str">
        <f>IF('Promedio salarial'!M142="","",'Promedio salarial'!M142)</f>
        <v/>
      </c>
      <c r="D139" s="93" t="str">
        <f>IF('Promedio salarial'!N142="","",'Promedio salarial'!N142)</f>
        <v/>
      </c>
      <c r="E139" s="89">
        <f t="shared" si="1"/>
        <v>0</v>
      </c>
      <c r="F139" s="89">
        <f t="shared" si="2"/>
        <v>0</v>
      </c>
      <c r="G139" s="90">
        <f t="shared" si="3"/>
        <v>0</v>
      </c>
      <c r="H139" s="90">
        <f t="shared" si="4"/>
        <v>0</v>
      </c>
      <c r="I139" s="91">
        <f t="shared" si="5"/>
        <v>0</v>
      </c>
    </row>
    <row r="140">
      <c r="A140" s="73"/>
      <c r="B140" s="92" t="str">
        <f>IF('Promedio salarial'!L143="","",'Promedio salarial'!L143)</f>
        <v/>
      </c>
      <c r="C140" s="92" t="str">
        <f>IF('Promedio salarial'!M143="","",'Promedio salarial'!M143)</f>
        <v/>
      </c>
      <c r="D140" s="93" t="str">
        <f>IF('Promedio salarial'!N143="","",'Promedio salarial'!N143)</f>
        <v/>
      </c>
      <c r="E140" s="89">
        <f t="shared" si="1"/>
        <v>0</v>
      </c>
      <c r="F140" s="89">
        <f t="shared" si="2"/>
        <v>0</v>
      </c>
      <c r="G140" s="90">
        <f t="shared" si="3"/>
        <v>0</v>
      </c>
      <c r="H140" s="90">
        <f t="shared" si="4"/>
        <v>0</v>
      </c>
      <c r="I140" s="91">
        <f t="shared" si="5"/>
        <v>0</v>
      </c>
    </row>
    <row r="141">
      <c r="A141" s="73"/>
      <c r="B141" s="92" t="str">
        <f>IF('Promedio salarial'!L144="","",'Promedio salarial'!L144)</f>
        <v/>
      </c>
      <c r="C141" s="92" t="str">
        <f>IF('Promedio salarial'!M144="","",'Promedio salarial'!M144)</f>
        <v/>
      </c>
      <c r="D141" s="93" t="str">
        <f>IF('Promedio salarial'!N144="","",'Promedio salarial'!N144)</f>
        <v/>
      </c>
      <c r="E141" s="89">
        <f t="shared" si="1"/>
        <v>0</v>
      </c>
      <c r="F141" s="89">
        <f t="shared" si="2"/>
        <v>0</v>
      </c>
      <c r="G141" s="90">
        <f t="shared" si="3"/>
        <v>0</v>
      </c>
      <c r="H141" s="90">
        <f t="shared" si="4"/>
        <v>0</v>
      </c>
      <c r="I141" s="91">
        <f t="shared" si="5"/>
        <v>0</v>
      </c>
    </row>
    <row r="142">
      <c r="A142" s="73"/>
      <c r="B142" s="92" t="str">
        <f>IF('Promedio salarial'!L145="","",'Promedio salarial'!L145)</f>
        <v/>
      </c>
      <c r="C142" s="92" t="str">
        <f>IF('Promedio salarial'!M145="","",'Promedio salarial'!M145)</f>
        <v/>
      </c>
      <c r="D142" s="93" t="str">
        <f>IF('Promedio salarial'!N145="","",'Promedio salarial'!N145)</f>
        <v/>
      </c>
      <c r="E142" s="89">
        <f t="shared" si="1"/>
        <v>0</v>
      </c>
      <c r="F142" s="89">
        <f t="shared" si="2"/>
        <v>0</v>
      </c>
      <c r="G142" s="90">
        <f t="shared" si="3"/>
        <v>0</v>
      </c>
      <c r="H142" s="90">
        <f t="shared" si="4"/>
        <v>0</v>
      </c>
      <c r="I142" s="91">
        <f t="shared" si="5"/>
        <v>0</v>
      </c>
    </row>
    <row r="143">
      <c r="A143" s="73"/>
      <c r="B143" s="92" t="str">
        <f>IF('Promedio salarial'!L146="","",'Promedio salarial'!L146)</f>
        <v/>
      </c>
      <c r="C143" s="92" t="str">
        <f>IF('Promedio salarial'!M146="","",'Promedio salarial'!M146)</f>
        <v/>
      </c>
      <c r="D143" s="93" t="str">
        <f>IF('Promedio salarial'!N146="","",'Promedio salarial'!N146)</f>
        <v/>
      </c>
      <c r="E143" s="89">
        <f t="shared" si="1"/>
        <v>0</v>
      </c>
      <c r="F143" s="89">
        <f t="shared" si="2"/>
        <v>0</v>
      </c>
      <c r="G143" s="90">
        <f t="shared" si="3"/>
        <v>0</v>
      </c>
      <c r="H143" s="90">
        <f t="shared" si="4"/>
        <v>0</v>
      </c>
      <c r="I143" s="91">
        <f t="shared" si="5"/>
        <v>0</v>
      </c>
    </row>
    <row r="144">
      <c r="A144" s="73"/>
      <c r="B144" s="92" t="str">
        <f>IF('Promedio salarial'!L147="","",'Promedio salarial'!L147)</f>
        <v/>
      </c>
      <c r="C144" s="92" t="str">
        <f>IF('Promedio salarial'!M147="","",'Promedio salarial'!M147)</f>
        <v/>
      </c>
      <c r="D144" s="93" t="str">
        <f>IF('Promedio salarial'!N147="","",'Promedio salarial'!N147)</f>
        <v/>
      </c>
      <c r="E144" s="89">
        <f t="shared" si="1"/>
        <v>0</v>
      </c>
      <c r="F144" s="89">
        <f t="shared" si="2"/>
        <v>0</v>
      </c>
      <c r="G144" s="90">
        <f t="shared" si="3"/>
        <v>0</v>
      </c>
      <c r="H144" s="90">
        <f t="shared" si="4"/>
        <v>0</v>
      </c>
      <c r="I144" s="91">
        <f t="shared" si="5"/>
        <v>0</v>
      </c>
    </row>
    <row r="145">
      <c r="A145" s="73"/>
      <c r="B145" s="92" t="str">
        <f>IF('Promedio salarial'!L148="","",'Promedio salarial'!L148)</f>
        <v/>
      </c>
      <c r="C145" s="92" t="str">
        <f>IF('Promedio salarial'!M148="","",'Promedio salarial'!M148)</f>
        <v/>
      </c>
      <c r="D145" s="93" t="str">
        <f>IF('Promedio salarial'!N148="","",'Promedio salarial'!N148)</f>
        <v/>
      </c>
      <c r="E145" s="89">
        <f t="shared" si="1"/>
        <v>0</v>
      </c>
      <c r="F145" s="89">
        <f t="shared" si="2"/>
        <v>0</v>
      </c>
      <c r="G145" s="90">
        <f t="shared" si="3"/>
        <v>0</v>
      </c>
      <c r="H145" s="90">
        <f t="shared" si="4"/>
        <v>0</v>
      </c>
      <c r="I145" s="91">
        <f t="shared" si="5"/>
        <v>0</v>
      </c>
    </row>
    <row r="146">
      <c r="A146" s="73"/>
      <c r="B146" s="92" t="str">
        <f>IF('Promedio salarial'!L149="","",'Promedio salarial'!L149)</f>
        <v/>
      </c>
      <c r="C146" s="92" t="str">
        <f>IF('Promedio salarial'!M149="","",'Promedio salarial'!M149)</f>
        <v/>
      </c>
      <c r="D146" s="93" t="str">
        <f>IF('Promedio salarial'!N149="","",'Promedio salarial'!N149)</f>
        <v/>
      </c>
      <c r="E146" s="89">
        <f t="shared" si="1"/>
        <v>0</v>
      </c>
      <c r="F146" s="89">
        <f t="shared" si="2"/>
        <v>0</v>
      </c>
      <c r="G146" s="90">
        <f t="shared" si="3"/>
        <v>0</v>
      </c>
      <c r="H146" s="90">
        <f t="shared" si="4"/>
        <v>0</v>
      </c>
      <c r="I146" s="91">
        <f t="shared" si="5"/>
        <v>0</v>
      </c>
    </row>
    <row r="147">
      <c r="A147" s="73"/>
      <c r="B147" s="92" t="str">
        <f>IF('Promedio salarial'!L150="","",'Promedio salarial'!L150)</f>
        <v/>
      </c>
      <c r="C147" s="92" t="str">
        <f>IF('Promedio salarial'!M150="","",'Promedio salarial'!M150)</f>
        <v/>
      </c>
      <c r="D147" s="93" t="str">
        <f>IF('Promedio salarial'!N150="","",'Promedio salarial'!N150)</f>
        <v/>
      </c>
      <c r="E147" s="89">
        <f t="shared" si="1"/>
        <v>0</v>
      </c>
      <c r="F147" s="89">
        <f t="shared" si="2"/>
        <v>0</v>
      </c>
      <c r="G147" s="90">
        <f t="shared" si="3"/>
        <v>0</v>
      </c>
      <c r="H147" s="90">
        <f t="shared" si="4"/>
        <v>0</v>
      </c>
      <c r="I147" s="91">
        <f t="shared" si="5"/>
        <v>0</v>
      </c>
    </row>
    <row r="148">
      <c r="A148" s="73"/>
      <c r="B148" s="92" t="str">
        <f>IF('Promedio salarial'!L151="","",'Promedio salarial'!L151)</f>
        <v/>
      </c>
      <c r="C148" s="92" t="str">
        <f>IF('Promedio salarial'!M151="","",'Promedio salarial'!M151)</f>
        <v/>
      </c>
      <c r="D148" s="93" t="str">
        <f>IF('Promedio salarial'!N151="","",'Promedio salarial'!N151)</f>
        <v/>
      </c>
      <c r="E148" s="89">
        <f t="shared" si="1"/>
        <v>0</v>
      </c>
      <c r="F148" s="89">
        <f t="shared" si="2"/>
        <v>0</v>
      </c>
      <c r="G148" s="90">
        <f t="shared" si="3"/>
        <v>0</v>
      </c>
      <c r="H148" s="90">
        <f t="shared" si="4"/>
        <v>0</v>
      </c>
      <c r="I148" s="91">
        <f t="shared" si="5"/>
        <v>0</v>
      </c>
    </row>
    <row r="149">
      <c r="A149" s="73"/>
      <c r="B149" s="92" t="str">
        <f>IF('Promedio salarial'!L152="","",'Promedio salarial'!L152)</f>
        <v/>
      </c>
      <c r="C149" s="92" t="str">
        <f>IF('Promedio salarial'!M152="","",'Promedio salarial'!M152)</f>
        <v/>
      </c>
      <c r="D149" s="93" t="str">
        <f>IF('Promedio salarial'!N152="","",'Promedio salarial'!N152)</f>
        <v/>
      </c>
      <c r="E149" s="89">
        <f t="shared" si="1"/>
        <v>0</v>
      </c>
      <c r="F149" s="89">
        <f t="shared" si="2"/>
        <v>0</v>
      </c>
      <c r="G149" s="90">
        <f t="shared" si="3"/>
        <v>0</v>
      </c>
      <c r="H149" s="90">
        <f t="shared" si="4"/>
        <v>0</v>
      </c>
      <c r="I149" s="91">
        <f t="shared" si="5"/>
        <v>0</v>
      </c>
    </row>
    <row r="150">
      <c r="A150" s="73"/>
      <c r="B150" s="92" t="str">
        <f>IF('Promedio salarial'!L153="","",'Promedio salarial'!L153)</f>
        <v/>
      </c>
      <c r="C150" s="92" t="str">
        <f>IF('Promedio salarial'!M153="","",'Promedio salarial'!M153)</f>
        <v/>
      </c>
      <c r="D150" s="93" t="str">
        <f>IF('Promedio salarial'!N153="","",'Promedio salarial'!N153)</f>
        <v/>
      </c>
      <c r="E150" s="89">
        <f t="shared" si="1"/>
        <v>0</v>
      </c>
      <c r="F150" s="89">
        <f t="shared" si="2"/>
        <v>0</v>
      </c>
      <c r="G150" s="90">
        <f t="shared" si="3"/>
        <v>0</v>
      </c>
      <c r="H150" s="90">
        <f t="shared" si="4"/>
        <v>0</v>
      </c>
      <c r="I150" s="91">
        <f t="shared" si="5"/>
        <v>0</v>
      </c>
    </row>
    <row r="151">
      <c r="A151" s="73"/>
      <c r="B151" s="92" t="str">
        <f>IF('Promedio salarial'!L154="","",'Promedio salarial'!L154)</f>
        <v/>
      </c>
      <c r="C151" s="92" t="str">
        <f>IF('Promedio salarial'!M154="","",'Promedio salarial'!M154)</f>
        <v/>
      </c>
      <c r="D151" s="93" t="str">
        <f>IF('Promedio salarial'!N154="","",'Promedio salarial'!N154)</f>
        <v/>
      </c>
      <c r="E151" s="89">
        <f t="shared" si="1"/>
        <v>0</v>
      </c>
      <c r="F151" s="89">
        <f t="shared" si="2"/>
        <v>0</v>
      </c>
      <c r="G151" s="90">
        <f t="shared" si="3"/>
        <v>0</v>
      </c>
      <c r="H151" s="90">
        <f t="shared" si="4"/>
        <v>0</v>
      </c>
      <c r="I151" s="91">
        <f t="shared" si="5"/>
        <v>0</v>
      </c>
    </row>
    <row r="152">
      <c r="A152" s="73"/>
      <c r="B152" s="92" t="str">
        <f>IF('Promedio salarial'!L155="","",'Promedio salarial'!L155)</f>
        <v/>
      </c>
      <c r="C152" s="92" t="str">
        <f>IF('Promedio salarial'!M155="","",'Promedio salarial'!M155)</f>
        <v/>
      </c>
      <c r="D152" s="93" t="str">
        <f>IF('Promedio salarial'!N155="","",'Promedio salarial'!N155)</f>
        <v/>
      </c>
      <c r="E152" s="89">
        <f t="shared" si="1"/>
        <v>0</v>
      </c>
      <c r="F152" s="89">
        <f t="shared" si="2"/>
        <v>0</v>
      </c>
      <c r="G152" s="90">
        <f t="shared" si="3"/>
        <v>0</v>
      </c>
      <c r="H152" s="90">
        <f t="shared" si="4"/>
        <v>0</v>
      </c>
      <c r="I152" s="91">
        <f t="shared" si="5"/>
        <v>0</v>
      </c>
    </row>
    <row r="153">
      <c r="A153" s="73"/>
      <c r="B153" s="92" t="str">
        <f>IF('Promedio salarial'!L156="","",'Promedio salarial'!L156)</f>
        <v/>
      </c>
      <c r="C153" s="92" t="str">
        <f>IF('Promedio salarial'!M156="","",'Promedio salarial'!M156)</f>
        <v/>
      </c>
      <c r="D153" s="93" t="str">
        <f>IF('Promedio salarial'!N156="","",'Promedio salarial'!N156)</f>
        <v/>
      </c>
      <c r="E153" s="89">
        <f t="shared" si="1"/>
        <v>0</v>
      </c>
      <c r="F153" s="89">
        <f t="shared" si="2"/>
        <v>0</v>
      </c>
      <c r="G153" s="90">
        <f t="shared" si="3"/>
        <v>0</v>
      </c>
      <c r="H153" s="90">
        <f t="shared" si="4"/>
        <v>0</v>
      </c>
      <c r="I153" s="91">
        <f t="shared" si="5"/>
        <v>0</v>
      </c>
    </row>
    <row r="154">
      <c r="A154" s="73"/>
      <c r="B154" s="92" t="str">
        <f>IF('Promedio salarial'!L157="","",'Promedio salarial'!L157)</f>
        <v/>
      </c>
      <c r="C154" s="92" t="str">
        <f>IF('Promedio salarial'!M157="","",'Promedio salarial'!M157)</f>
        <v/>
      </c>
      <c r="D154" s="93" t="str">
        <f>IF('Promedio salarial'!N157="","",'Promedio salarial'!N157)</f>
        <v/>
      </c>
      <c r="E154" s="89">
        <f t="shared" si="1"/>
        <v>0</v>
      </c>
      <c r="F154" s="89">
        <f t="shared" si="2"/>
        <v>0</v>
      </c>
      <c r="G154" s="90">
        <f t="shared" si="3"/>
        <v>0</v>
      </c>
      <c r="H154" s="90">
        <f t="shared" si="4"/>
        <v>0</v>
      </c>
      <c r="I154" s="91">
        <f t="shared" si="5"/>
        <v>0</v>
      </c>
    </row>
    <row r="155">
      <c r="A155" s="73"/>
      <c r="B155" s="92" t="str">
        <f>IF('Promedio salarial'!L158="","",'Promedio salarial'!L158)</f>
        <v/>
      </c>
      <c r="C155" s="92" t="str">
        <f>IF('Promedio salarial'!M158="","",'Promedio salarial'!M158)</f>
        <v/>
      </c>
      <c r="D155" s="93" t="str">
        <f>IF('Promedio salarial'!N158="","",'Promedio salarial'!N158)</f>
        <v/>
      </c>
      <c r="E155" s="89">
        <f t="shared" si="1"/>
        <v>0</v>
      </c>
      <c r="F155" s="89">
        <f t="shared" si="2"/>
        <v>0</v>
      </c>
      <c r="G155" s="90">
        <f t="shared" si="3"/>
        <v>0</v>
      </c>
      <c r="H155" s="90">
        <f t="shared" si="4"/>
        <v>0</v>
      </c>
      <c r="I155" s="91">
        <f t="shared" si="5"/>
        <v>0</v>
      </c>
    </row>
    <row r="156">
      <c r="A156" s="73"/>
      <c r="B156" s="92" t="str">
        <f>IF('Promedio salarial'!L159="","",'Promedio salarial'!L159)</f>
        <v/>
      </c>
      <c r="C156" s="92" t="str">
        <f>IF('Promedio salarial'!M159="","",'Promedio salarial'!M159)</f>
        <v/>
      </c>
      <c r="D156" s="93" t="str">
        <f>IF('Promedio salarial'!N159="","",'Promedio salarial'!N159)</f>
        <v/>
      </c>
      <c r="E156" s="89">
        <f t="shared" si="1"/>
        <v>0</v>
      </c>
      <c r="F156" s="89">
        <f t="shared" si="2"/>
        <v>0</v>
      </c>
      <c r="G156" s="90">
        <f t="shared" si="3"/>
        <v>0</v>
      </c>
      <c r="H156" s="90">
        <f t="shared" si="4"/>
        <v>0</v>
      </c>
      <c r="I156" s="91">
        <f t="shared" si="5"/>
        <v>0</v>
      </c>
    </row>
    <row r="157">
      <c r="A157" s="73"/>
      <c r="B157" s="92" t="str">
        <f>IF('Promedio salarial'!L160="","",'Promedio salarial'!L160)</f>
        <v/>
      </c>
      <c r="C157" s="92" t="str">
        <f>IF('Promedio salarial'!M160="","",'Promedio salarial'!M160)</f>
        <v/>
      </c>
      <c r="D157" s="93" t="str">
        <f>IF('Promedio salarial'!N160="","",'Promedio salarial'!N160)</f>
        <v/>
      </c>
      <c r="E157" s="89">
        <f t="shared" si="1"/>
        <v>0</v>
      </c>
      <c r="F157" s="89">
        <f t="shared" si="2"/>
        <v>0</v>
      </c>
      <c r="G157" s="90">
        <f t="shared" si="3"/>
        <v>0</v>
      </c>
      <c r="H157" s="90">
        <f t="shared" si="4"/>
        <v>0</v>
      </c>
      <c r="I157" s="91">
        <f t="shared" si="5"/>
        <v>0</v>
      </c>
    </row>
    <row r="158">
      <c r="A158" s="73"/>
      <c r="B158" s="92" t="str">
        <f>IF('Promedio salarial'!L161="","",'Promedio salarial'!L161)</f>
        <v/>
      </c>
      <c r="C158" s="92" t="str">
        <f>IF('Promedio salarial'!M161="","",'Promedio salarial'!M161)</f>
        <v/>
      </c>
      <c r="D158" s="93" t="str">
        <f>IF('Promedio salarial'!N161="","",'Promedio salarial'!N161)</f>
        <v/>
      </c>
      <c r="E158" s="89">
        <f t="shared" si="1"/>
        <v>0</v>
      </c>
      <c r="F158" s="89">
        <f t="shared" si="2"/>
        <v>0</v>
      </c>
      <c r="G158" s="90">
        <f t="shared" si="3"/>
        <v>0</v>
      </c>
      <c r="H158" s="90">
        <f t="shared" si="4"/>
        <v>0</v>
      </c>
      <c r="I158" s="91">
        <f t="shared" si="5"/>
        <v>0</v>
      </c>
    </row>
    <row r="159">
      <c r="A159" s="73"/>
      <c r="B159" s="92" t="str">
        <f>IF('Promedio salarial'!L162="","",'Promedio salarial'!L162)</f>
        <v/>
      </c>
      <c r="C159" s="92" t="str">
        <f>IF('Promedio salarial'!M162="","",'Promedio salarial'!M162)</f>
        <v/>
      </c>
      <c r="D159" s="93" t="str">
        <f>IF('Promedio salarial'!N162="","",'Promedio salarial'!N162)</f>
        <v/>
      </c>
      <c r="E159" s="89">
        <f t="shared" si="1"/>
        <v>0</v>
      </c>
      <c r="F159" s="89">
        <f t="shared" si="2"/>
        <v>0</v>
      </c>
      <c r="G159" s="90">
        <f t="shared" si="3"/>
        <v>0</v>
      </c>
      <c r="H159" s="90">
        <f t="shared" si="4"/>
        <v>0</v>
      </c>
      <c r="I159" s="91">
        <f t="shared" si="5"/>
        <v>0</v>
      </c>
    </row>
    <row r="160">
      <c r="A160" s="73"/>
      <c r="B160" s="92" t="str">
        <f>IF('Promedio salarial'!L163="","",'Promedio salarial'!L163)</f>
        <v/>
      </c>
      <c r="C160" s="92" t="str">
        <f>IF('Promedio salarial'!M163="","",'Promedio salarial'!M163)</f>
        <v/>
      </c>
      <c r="D160" s="93" t="str">
        <f>IF('Promedio salarial'!N163="","",'Promedio salarial'!N163)</f>
        <v/>
      </c>
      <c r="E160" s="89">
        <f t="shared" si="1"/>
        <v>0</v>
      </c>
      <c r="F160" s="89">
        <f t="shared" si="2"/>
        <v>0</v>
      </c>
      <c r="G160" s="90">
        <f t="shared" si="3"/>
        <v>0</v>
      </c>
      <c r="H160" s="90">
        <f t="shared" si="4"/>
        <v>0</v>
      </c>
      <c r="I160" s="91">
        <f t="shared" si="5"/>
        <v>0</v>
      </c>
    </row>
    <row r="161">
      <c r="A161" s="73"/>
      <c r="B161" s="92" t="str">
        <f>IF('Promedio salarial'!L164="","",'Promedio salarial'!L164)</f>
        <v/>
      </c>
      <c r="C161" s="92" t="str">
        <f>IF('Promedio salarial'!M164="","",'Promedio salarial'!M164)</f>
        <v/>
      </c>
      <c r="D161" s="93" t="str">
        <f>IF('Promedio salarial'!N164="","",'Promedio salarial'!N164)</f>
        <v/>
      </c>
      <c r="E161" s="89">
        <f t="shared" si="1"/>
        <v>0</v>
      </c>
      <c r="F161" s="89">
        <f t="shared" si="2"/>
        <v>0</v>
      </c>
      <c r="G161" s="90">
        <f t="shared" si="3"/>
        <v>0</v>
      </c>
      <c r="H161" s="90">
        <f t="shared" si="4"/>
        <v>0</v>
      </c>
      <c r="I161" s="91">
        <f t="shared" si="5"/>
        <v>0</v>
      </c>
    </row>
    <row r="162">
      <c r="A162" s="73"/>
      <c r="B162" s="92" t="str">
        <f>IF('Promedio salarial'!L165="","",'Promedio salarial'!L165)</f>
        <v/>
      </c>
      <c r="C162" s="92" t="str">
        <f>IF('Promedio salarial'!M165="","",'Promedio salarial'!M165)</f>
        <v/>
      </c>
      <c r="D162" s="93" t="str">
        <f>IF('Promedio salarial'!N165="","",'Promedio salarial'!N165)</f>
        <v/>
      </c>
      <c r="E162" s="89">
        <f t="shared" si="1"/>
        <v>0</v>
      </c>
      <c r="F162" s="89">
        <f t="shared" si="2"/>
        <v>0</v>
      </c>
      <c r="G162" s="90">
        <f t="shared" si="3"/>
        <v>0</v>
      </c>
      <c r="H162" s="90">
        <f t="shared" si="4"/>
        <v>0</v>
      </c>
      <c r="I162" s="91">
        <f t="shared" si="5"/>
        <v>0</v>
      </c>
    </row>
    <row r="163">
      <c r="A163" s="73"/>
      <c r="B163" s="92" t="str">
        <f>IF('Promedio salarial'!L166="","",'Promedio salarial'!L166)</f>
        <v/>
      </c>
      <c r="C163" s="92" t="str">
        <f>IF('Promedio salarial'!M166="","",'Promedio salarial'!M166)</f>
        <v/>
      </c>
      <c r="D163" s="93" t="str">
        <f>IF('Promedio salarial'!N166="","",'Promedio salarial'!N166)</f>
        <v/>
      </c>
      <c r="E163" s="89">
        <f t="shared" si="1"/>
        <v>0</v>
      </c>
      <c r="F163" s="89">
        <f t="shared" si="2"/>
        <v>0</v>
      </c>
      <c r="G163" s="90">
        <f t="shared" si="3"/>
        <v>0</v>
      </c>
      <c r="H163" s="90">
        <f t="shared" si="4"/>
        <v>0</v>
      </c>
      <c r="I163" s="91">
        <f t="shared" si="5"/>
        <v>0</v>
      </c>
    </row>
    <row r="164">
      <c r="A164" s="73"/>
      <c r="B164" s="92" t="str">
        <f>IF('Promedio salarial'!L167="","",'Promedio salarial'!L167)</f>
        <v/>
      </c>
      <c r="C164" s="92" t="str">
        <f>IF('Promedio salarial'!M167="","",'Promedio salarial'!M167)</f>
        <v/>
      </c>
      <c r="D164" s="93" t="str">
        <f>IF('Promedio salarial'!N167="","",'Promedio salarial'!N167)</f>
        <v/>
      </c>
      <c r="E164" s="89">
        <f t="shared" si="1"/>
        <v>0</v>
      </c>
      <c r="F164" s="89">
        <f t="shared" si="2"/>
        <v>0</v>
      </c>
      <c r="G164" s="90">
        <f t="shared" si="3"/>
        <v>0</v>
      </c>
      <c r="H164" s="90">
        <f t="shared" si="4"/>
        <v>0</v>
      </c>
      <c r="I164" s="91">
        <f t="shared" si="5"/>
        <v>0</v>
      </c>
    </row>
    <row r="165">
      <c r="A165" s="73"/>
      <c r="B165" s="92" t="str">
        <f>IF('Promedio salarial'!L168="","",'Promedio salarial'!L168)</f>
        <v/>
      </c>
      <c r="C165" s="92" t="str">
        <f>IF('Promedio salarial'!M168="","",'Promedio salarial'!M168)</f>
        <v/>
      </c>
      <c r="D165" s="93" t="str">
        <f>IF('Promedio salarial'!N168="","",'Promedio salarial'!N168)</f>
        <v/>
      </c>
      <c r="E165" s="89">
        <f t="shared" si="1"/>
        <v>0</v>
      </c>
      <c r="F165" s="89">
        <f t="shared" si="2"/>
        <v>0</v>
      </c>
      <c r="G165" s="90">
        <f t="shared" si="3"/>
        <v>0</v>
      </c>
      <c r="H165" s="90">
        <f t="shared" si="4"/>
        <v>0</v>
      </c>
      <c r="I165" s="91">
        <f t="shared" si="5"/>
        <v>0</v>
      </c>
    </row>
    <row r="166">
      <c r="A166" s="73"/>
      <c r="B166" s="92" t="str">
        <f>IF('Promedio salarial'!L169="","",'Promedio salarial'!L169)</f>
        <v/>
      </c>
      <c r="C166" s="92" t="str">
        <f>IF('Promedio salarial'!M169="","",'Promedio salarial'!M169)</f>
        <v/>
      </c>
      <c r="D166" s="93" t="str">
        <f>IF('Promedio salarial'!N169="","",'Promedio salarial'!N169)</f>
        <v/>
      </c>
      <c r="E166" s="89">
        <f t="shared" si="1"/>
        <v>0</v>
      </c>
      <c r="F166" s="89">
        <f t="shared" si="2"/>
        <v>0</v>
      </c>
      <c r="G166" s="90">
        <f t="shared" si="3"/>
        <v>0</v>
      </c>
      <c r="H166" s="90">
        <f t="shared" si="4"/>
        <v>0</v>
      </c>
      <c r="I166" s="91">
        <f t="shared" si="5"/>
        <v>0</v>
      </c>
    </row>
    <row r="167">
      <c r="A167" s="73"/>
      <c r="B167" s="92" t="str">
        <f>IF('Promedio salarial'!L170="","",'Promedio salarial'!L170)</f>
        <v/>
      </c>
      <c r="C167" s="92" t="str">
        <f>IF('Promedio salarial'!M170="","",'Promedio salarial'!M170)</f>
        <v/>
      </c>
      <c r="D167" s="93" t="str">
        <f>IF('Promedio salarial'!N170="","",'Promedio salarial'!N170)</f>
        <v/>
      </c>
      <c r="E167" s="89">
        <f t="shared" si="1"/>
        <v>0</v>
      </c>
      <c r="F167" s="89">
        <f t="shared" si="2"/>
        <v>0</v>
      </c>
      <c r="G167" s="90">
        <f t="shared" si="3"/>
        <v>0</v>
      </c>
      <c r="H167" s="90">
        <f t="shared" si="4"/>
        <v>0</v>
      </c>
      <c r="I167" s="91">
        <f t="shared" si="5"/>
        <v>0</v>
      </c>
    </row>
    <row r="168">
      <c r="A168" s="73"/>
      <c r="B168" s="92" t="str">
        <f>IF('Promedio salarial'!L171="","",'Promedio salarial'!L171)</f>
        <v/>
      </c>
      <c r="C168" s="92" t="str">
        <f>IF('Promedio salarial'!M171="","",'Promedio salarial'!M171)</f>
        <v/>
      </c>
      <c r="D168" s="93" t="str">
        <f>IF('Promedio salarial'!N171="","",'Promedio salarial'!N171)</f>
        <v/>
      </c>
      <c r="E168" s="89">
        <f t="shared" si="1"/>
        <v>0</v>
      </c>
      <c r="F168" s="89">
        <f t="shared" si="2"/>
        <v>0</v>
      </c>
      <c r="G168" s="90">
        <f t="shared" si="3"/>
        <v>0</v>
      </c>
      <c r="H168" s="90">
        <f t="shared" si="4"/>
        <v>0</v>
      </c>
      <c r="I168" s="91">
        <f t="shared" si="5"/>
        <v>0</v>
      </c>
    </row>
    <row r="169">
      <c r="A169" s="73"/>
      <c r="B169" s="92" t="str">
        <f>IF('Promedio salarial'!L172="","",'Promedio salarial'!L172)</f>
        <v/>
      </c>
      <c r="C169" s="92" t="str">
        <f>IF('Promedio salarial'!M172="","",'Promedio salarial'!M172)</f>
        <v/>
      </c>
      <c r="D169" s="93" t="str">
        <f>IF('Promedio salarial'!N172="","",'Promedio salarial'!N172)</f>
        <v/>
      </c>
      <c r="E169" s="89">
        <f t="shared" si="1"/>
        <v>0</v>
      </c>
      <c r="F169" s="89">
        <f t="shared" si="2"/>
        <v>0</v>
      </c>
      <c r="G169" s="90">
        <f t="shared" si="3"/>
        <v>0</v>
      </c>
      <c r="H169" s="90">
        <f t="shared" si="4"/>
        <v>0</v>
      </c>
      <c r="I169" s="91">
        <f t="shared" si="5"/>
        <v>0</v>
      </c>
    </row>
    <row r="170">
      <c r="A170" s="73"/>
      <c r="B170" s="92" t="str">
        <f>IF('Promedio salarial'!L173="","",'Promedio salarial'!L173)</f>
        <v/>
      </c>
      <c r="C170" s="92" t="str">
        <f>IF('Promedio salarial'!M173="","",'Promedio salarial'!M173)</f>
        <v/>
      </c>
      <c r="D170" s="93" t="str">
        <f>IF('Promedio salarial'!N173="","",'Promedio salarial'!N173)</f>
        <v/>
      </c>
      <c r="E170" s="89">
        <f t="shared" si="1"/>
        <v>0</v>
      </c>
      <c r="F170" s="89">
        <f t="shared" si="2"/>
        <v>0</v>
      </c>
      <c r="G170" s="90">
        <f t="shared" si="3"/>
        <v>0</v>
      </c>
      <c r="H170" s="90">
        <f t="shared" si="4"/>
        <v>0</v>
      </c>
      <c r="I170" s="91">
        <f t="shared" si="5"/>
        <v>0</v>
      </c>
    </row>
    <row r="171">
      <c r="A171" s="73"/>
      <c r="B171" s="92" t="str">
        <f>IF('Promedio salarial'!L174="","",'Promedio salarial'!L174)</f>
        <v/>
      </c>
      <c r="C171" s="92" t="str">
        <f>IF('Promedio salarial'!M174="","",'Promedio salarial'!M174)</f>
        <v/>
      </c>
      <c r="D171" s="93" t="str">
        <f>IF('Promedio salarial'!N174="","",'Promedio salarial'!N174)</f>
        <v/>
      </c>
      <c r="E171" s="89">
        <f t="shared" si="1"/>
        <v>0</v>
      </c>
      <c r="F171" s="89">
        <f t="shared" si="2"/>
        <v>0</v>
      </c>
      <c r="G171" s="90">
        <f t="shared" si="3"/>
        <v>0</v>
      </c>
      <c r="H171" s="90">
        <f t="shared" si="4"/>
        <v>0</v>
      </c>
      <c r="I171" s="91">
        <f t="shared" si="5"/>
        <v>0</v>
      </c>
    </row>
    <row r="172">
      <c r="A172" s="73"/>
      <c r="B172" s="92" t="str">
        <f>IF('Promedio salarial'!L175="","",'Promedio salarial'!L175)</f>
        <v/>
      </c>
      <c r="C172" s="92" t="str">
        <f>IF('Promedio salarial'!M175="","",'Promedio salarial'!M175)</f>
        <v/>
      </c>
      <c r="D172" s="93" t="str">
        <f>IF('Promedio salarial'!N175="","",'Promedio salarial'!N175)</f>
        <v/>
      </c>
      <c r="E172" s="89">
        <f t="shared" si="1"/>
        <v>0</v>
      </c>
      <c r="F172" s="89">
        <f t="shared" si="2"/>
        <v>0</v>
      </c>
      <c r="G172" s="90">
        <f t="shared" si="3"/>
        <v>0</v>
      </c>
      <c r="H172" s="90">
        <f t="shared" si="4"/>
        <v>0</v>
      </c>
      <c r="I172" s="91">
        <f t="shared" si="5"/>
        <v>0</v>
      </c>
    </row>
    <row r="173">
      <c r="A173" s="73"/>
      <c r="B173" s="92" t="str">
        <f>IF('Promedio salarial'!L176="","",'Promedio salarial'!L176)</f>
        <v/>
      </c>
      <c r="C173" s="92" t="str">
        <f>IF('Promedio salarial'!M176="","",'Promedio salarial'!M176)</f>
        <v/>
      </c>
      <c r="D173" s="93" t="str">
        <f>IF('Promedio salarial'!N176="","",'Promedio salarial'!N176)</f>
        <v/>
      </c>
      <c r="E173" s="89">
        <f t="shared" si="1"/>
        <v>0</v>
      </c>
      <c r="F173" s="89">
        <f t="shared" si="2"/>
        <v>0</v>
      </c>
      <c r="G173" s="90">
        <f t="shared" si="3"/>
        <v>0</v>
      </c>
      <c r="H173" s="90">
        <f t="shared" si="4"/>
        <v>0</v>
      </c>
      <c r="I173" s="91">
        <f t="shared" si="5"/>
        <v>0</v>
      </c>
    </row>
    <row r="174">
      <c r="A174" s="73"/>
      <c r="B174" s="92" t="str">
        <f>IF('Promedio salarial'!L177="","",'Promedio salarial'!L177)</f>
        <v/>
      </c>
      <c r="C174" s="92" t="str">
        <f>IF('Promedio salarial'!M177="","",'Promedio salarial'!M177)</f>
        <v/>
      </c>
      <c r="D174" s="93" t="str">
        <f>IF('Promedio salarial'!N177="","",'Promedio salarial'!N177)</f>
        <v/>
      </c>
      <c r="E174" s="89">
        <f t="shared" si="1"/>
        <v>0</v>
      </c>
      <c r="F174" s="89">
        <f t="shared" si="2"/>
        <v>0</v>
      </c>
      <c r="G174" s="90">
        <f t="shared" si="3"/>
        <v>0</v>
      </c>
      <c r="H174" s="90">
        <f t="shared" si="4"/>
        <v>0</v>
      </c>
      <c r="I174" s="91">
        <f t="shared" si="5"/>
        <v>0</v>
      </c>
    </row>
    <row r="175">
      <c r="A175" s="73"/>
      <c r="B175" s="92" t="str">
        <f>IF('Promedio salarial'!L178="","",'Promedio salarial'!L178)</f>
        <v/>
      </c>
      <c r="C175" s="92" t="str">
        <f>IF('Promedio salarial'!M178="","",'Promedio salarial'!M178)</f>
        <v/>
      </c>
      <c r="D175" s="93" t="str">
        <f>IF('Promedio salarial'!N178="","",'Promedio salarial'!N178)</f>
        <v/>
      </c>
      <c r="E175" s="89">
        <f t="shared" si="1"/>
        <v>0</v>
      </c>
      <c r="F175" s="89">
        <f t="shared" si="2"/>
        <v>0</v>
      </c>
      <c r="G175" s="90">
        <f t="shared" si="3"/>
        <v>0</v>
      </c>
      <c r="H175" s="90">
        <f t="shared" si="4"/>
        <v>0</v>
      </c>
      <c r="I175" s="91">
        <f t="shared" si="5"/>
        <v>0</v>
      </c>
    </row>
    <row r="176">
      <c r="A176" s="73"/>
      <c r="B176" s="92" t="str">
        <f>IF('Promedio salarial'!L179="","",'Promedio salarial'!L179)</f>
        <v/>
      </c>
      <c r="C176" s="92" t="str">
        <f>IF('Promedio salarial'!M179="","",'Promedio salarial'!M179)</f>
        <v/>
      </c>
      <c r="D176" s="93" t="str">
        <f>IF('Promedio salarial'!N179="","",'Promedio salarial'!N179)</f>
        <v/>
      </c>
      <c r="E176" s="89">
        <f t="shared" si="1"/>
        <v>0</v>
      </c>
      <c r="F176" s="89">
        <f t="shared" si="2"/>
        <v>0</v>
      </c>
      <c r="G176" s="90">
        <f t="shared" si="3"/>
        <v>0</v>
      </c>
      <c r="H176" s="90">
        <f t="shared" si="4"/>
        <v>0</v>
      </c>
      <c r="I176" s="91">
        <f t="shared" si="5"/>
        <v>0</v>
      </c>
    </row>
    <row r="177">
      <c r="A177" s="73"/>
      <c r="B177" s="92" t="str">
        <f>IF('Promedio salarial'!L180="","",'Promedio salarial'!L180)</f>
        <v/>
      </c>
      <c r="C177" s="92" t="str">
        <f>IF('Promedio salarial'!M180="","",'Promedio salarial'!M180)</f>
        <v/>
      </c>
      <c r="D177" s="93" t="str">
        <f>IF('Promedio salarial'!N180="","",'Promedio salarial'!N180)</f>
        <v/>
      </c>
      <c r="E177" s="89">
        <f t="shared" si="1"/>
        <v>0</v>
      </c>
      <c r="F177" s="89">
        <f t="shared" si="2"/>
        <v>0</v>
      </c>
      <c r="G177" s="90">
        <f t="shared" si="3"/>
        <v>0</v>
      </c>
      <c r="H177" s="90">
        <f t="shared" si="4"/>
        <v>0</v>
      </c>
      <c r="I177" s="91">
        <f t="shared" si="5"/>
        <v>0</v>
      </c>
    </row>
    <row r="178">
      <c r="A178" s="73"/>
      <c r="B178" s="92" t="str">
        <f>IF('Promedio salarial'!L181="","",'Promedio salarial'!L181)</f>
        <v/>
      </c>
      <c r="C178" s="92" t="str">
        <f>IF('Promedio salarial'!M181="","",'Promedio salarial'!M181)</f>
        <v/>
      </c>
      <c r="D178" s="93" t="str">
        <f>IF('Promedio salarial'!N181="","",'Promedio salarial'!N181)</f>
        <v/>
      </c>
      <c r="E178" s="89">
        <f t="shared" si="1"/>
        <v>0</v>
      </c>
      <c r="F178" s="89">
        <f t="shared" si="2"/>
        <v>0</v>
      </c>
      <c r="G178" s="90">
        <f t="shared" si="3"/>
        <v>0</v>
      </c>
      <c r="H178" s="90">
        <f t="shared" si="4"/>
        <v>0</v>
      </c>
      <c r="I178" s="91">
        <f t="shared" si="5"/>
        <v>0</v>
      </c>
    </row>
    <row r="179">
      <c r="A179" s="73"/>
      <c r="B179" s="92" t="str">
        <f>IF('Promedio salarial'!L182="","",'Promedio salarial'!L182)</f>
        <v/>
      </c>
      <c r="C179" s="92" t="str">
        <f>IF('Promedio salarial'!M182="","",'Promedio salarial'!M182)</f>
        <v/>
      </c>
      <c r="D179" s="93" t="str">
        <f>IF('Promedio salarial'!N182="","",'Promedio salarial'!N182)</f>
        <v/>
      </c>
      <c r="E179" s="89">
        <f t="shared" si="1"/>
        <v>0</v>
      </c>
      <c r="F179" s="89">
        <f t="shared" si="2"/>
        <v>0</v>
      </c>
      <c r="G179" s="90">
        <f t="shared" si="3"/>
        <v>0</v>
      </c>
      <c r="H179" s="90">
        <f t="shared" si="4"/>
        <v>0</v>
      </c>
      <c r="I179" s="91">
        <f t="shared" si="5"/>
        <v>0</v>
      </c>
    </row>
    <row r="180">
      <c r="A180" s="73"/>
      <c r="B180" s="92" t="str">
        <f>IF('Promedio salarial'!L183="","",'Promedio salarial'!L183)</f>
        <v/>
      </c>
      <c r="C180" s="92" t="str">
        <f>IF('Promedio salarial'!M183="","",'Promedio salarial'!M183)</f>
        <v/>
      </c>
      <c r="D180" s="93" t="str">
        <f>IF('Promedio salarial'!N183="","",'Promedio salarial'!N183)</f>
        <v/>
      </c>
      <c r="E180" s="89">
        <f t="shared" si="1"/>
        <v>0</v>
      </c>
      <c r="F180" s="89">
        <f t="shared" si="2"/>
        <v>0</v>
      </c>
      <c r="G180" s="90">
        <f t="shared" si="3"/>
        <v>0</v>
      </c>
      <c r="H180" s="90">
        <f t="shared" si="4"/>
        <v>0</v>
      </c>
      <c r="I180" s="91">
        <f t="shared" si="5"/>
        <v>0</v>
      </c>
    </row>
    <row r="181">
      <c r="A181" s="73"/>
      <c r="B181" s="92" t="str">
        <f>IF('Promedio salarial'!L184="","",'Promedio salarial'!L184)</f>
        <v/>
      </c>
      <c r="C181" s="92" t="str">
        <f>IF('Promedio salarial'!M184="","",'Promedio salarial'!M184)</f>
        <v/>
      </c>
      <c r="D181" s="93" t="str">
        <f>IF('Promedio salarial'!N184="","",'Promedio salarial'!N184)</f>
        <v/>
      </c>
      <c r="E181" s="89">
        <f t="shared" si="1"/>
        <v>0</v>
      </c>
      <c r="F181" s="89">
        <f t="shared" si="2"/>
        <v>0</v>
      </c>
      <c r="G181" s="90">
        <f t="shared" si="3"/>
        <v>0</v>
      </c>
      <c r="H181" s="90">
        <f t="shared" si="4"/>
        <v>0</v>
      </c>
      <c r="I181" s="91">
        <f t="shared" si="5"/>
        <v>0</v>
      </c>
    </row>
    <row r="182">
      <c r="A182" s="73"/>
      <c r="B182" s="92" t="str">
        <f>IF('Promedio salarial'!L185="","",'Promedio salarial'!L185)</f>
        <v/>
      </c>
      <c r="C182" s="92" t="str">
        <f>IF('Promedio salarial'!M185="","",'Promedio salarial'!M185)</f>
        <v/>
      </c>
      <c r="D182" s="93" t="str">
        <f>IF('Promedio salarial'!N185="","",'Promedio salarial'!N185)</f>
        <v/>
      </c>
      <c r="E182" s="89">
        <f t="shared" si="1"/>
        <v>0</v>
      </c>
      <c r="F182" s="89">
        <f t="shared" si="2"/>
        <v>0</v>
      </c>
      <c r="G182" s="90">
        <f t="shared" si="3"/>
        <v>0</v>
      </c>
      <c r="H182" s="90">
        <f t="shared" si="4"/>
        <v>0</v>
      </c>
      <c r="I182" s="91">
        <f t="shared" si="5"/>
        <v>0</v>
      </c>
    </row>
    <row r="183">
      <c r="A183" s="73"/>
      <c r="B183" s="92" t="str">
        <f>IF('Promedio salarial'!L186="","",'Promedio salarial'!L186)</f>
        <v/>
      </c>
      <c r="C183" s="92" t="str">
        <f>IF('Promedio salarial'!M186="","",'Promedio salarial'!M186)</f>
        <v/>
      </c>
      <c r="D183" s="93" t="str">
        <f>IF('Promedio salarial'!N186="","",'Promedio salarial'!N186)</f>
        <v/>
      </c>
      <c r="E183" s="89">
        <f t="shared" si="1"/>
        <v>0</v>
      </c>
      <c r="F183" s="89">
        <f t="shared" si="2"/>
        <v>0</v>
      </c>
      <c r="G183" s="90">
        <f t="shared" si="3"/>
        <v>0</v>
      </c>
      <c r="H183" s="90">
        <f t="shared" si="4"/>
        <v>0</v>
      </c>
      <c r="I183" s="91">
        <f t="shared" si="5"/>
        <v>0</v>
      </c>
    </row>
    <row r="184">
      <c r="A184" s="73"/>
      <c r="B184" s="92" t="str">
        <f>IF('Promedio salarial'!L187="","",'Promedio salarial'!L187)</f>
        <v/>
      </c>
      <c r="C184" s="92" t="str">
        <f>IF('Promedio salarial'!M187="","",'Promedio salarial'!M187)</f>
        <v/>
      </c>
      <c r="D184" s="93" t="str">
        <f>IF('Promedio salarial'!N187="","",'Promedio salarial'!N187)</f>
        <v/>
      </c>
      <c r="E184" s="89">
        <f t="shared" si="1"/>
        <v>0</v>
      </c>
      <c r="F184" s="89">
        <f t="shared" si="2"/>
        <v>0</v>
      </c>
      <c r="G184" s="90">
        <f t="shared" si="3"/>
        <v>0</v>
      </c>
      <c r="H184" s="90">
        <f t="shared" si="4"/>
        <v>0</v>
      </c>
      <c r="I184" s="91">
        <f t="shared" si="5"/>
        <v>0</v>
      </c>
    </row>
    <row r="185">
      <c r="A185" s="73"/>
      <c r="B185" s="92" t="str">
        <f>IF('Promedio salarial'!L188="","",'Promedio salarial'!L188)</f>
        <v/>
      </c>
      <c r="C185" s="92" t="str">
        <f>IF('Promedio salarial'!M188="","",'Promedio salarial'!M188)</f>
        <v/>
      </c>
      <c r="D185" s="93" t="str">
        <f>IF('Promedio salarial'!N188="","",'Promedio salarial'!N188)</f>
        <v/>
      </c>
      <c r="E185" s="89">
        <f t="shared" si="1"/>
        <v>0</v>
      </c>
      <c r="F185" s="89">
        <f t="shared" si="2"/>
        <v>0</v>
      </c>
      <c r="G185" s="90">
        <f t="shared" si="3"/>
        <v>0</v>
      </c>
      <c r="H185" s="90">
        <f t="shared" si="4"/>
        <v>0</v>
      </c>
      <c r="I185" s="91">
        <f t="shared" si="5"/>
        <v>0</v>
      </c>
    </row>
    <row r="186">
      <c r="A186" s="73"/>
      <c r="B186" s="92" t="str">
        <f>IF('Promedio salarial'!L189="","",'Promedio salarial'!L189)</f>
        <v/>
      </c>
      <c r="C186" s="92" t="str">
        <f>IF('Promedio salarial'!M189="","",'Promedio salarial'!M189)</f>
        <v/>
      </c>
      <c r="D186" s="93" t="str">
        <f>IF('Promedio salarial'!N189="","",'Promedio salarial'!N189)</f>
        <v/>
      </c>
      <c r="E186" s="89">
        <f t="shared" si="1"/>
        <v>0</v>
      </c>
      <c r="F186" s="89">
        <f t="shared" si="2"/>
        <v>0</v>
      </c>
      <c r="G186" s="90">
        <f t="shared" si="3"/>
        <v>0</v>
      </c>
      <c r="H186" s="90">
        <f t="shared" si="4"/>
        <v>0</v>
      </c>
      <c r="I186" s="91">
        <f t="shared" si="5"/>
        <v>0</v>
      </c>
    </row>
    <row r="187">
      <c r="A187" s="73"/>
      <c r="B187" s="92" t="str">
        <f>IF('Promedio salarial'!L190="","",'Promedio salarial'!L190)</f>
        <v/>
      </c>
      <c r="C187" s="92" t="str">
        <f>IF('Promedio salarial'!M190="","",'Promedio salarial'!M190)</f>
        <v/>
      </c>
      <c r="D187" s="93" t="str">
        <f>IF('Promedio salarial'!N190="","",'Promedio salarial'!N190)</f>
        <v/>
      </c>
      <c r="E187" s="89">
        <f t="shared" si="1"/>
        <v>0</v>
      </c>
      <c r="F187" s="89">
        <f t="shared" si="2"/>
        <v>0</v>
      </c>
      <c r="G187" s="90">
        <f t="shared" si="3"/>
        <v>0</v>
      </c>
      <c r="H187" s="90">
        <f t="shared" si="4"/>
        <v>0</v>
      </c>
      <c r="I187" s="91">
        <f t="shared" si="5"/>
        <v>0</v>
      </c>
    </row>
    <row r="188">
      <c r="A188" s="73"/>
      <c r="B188" s="92" t="str">
        <f>IF('Promedio salarial'!L191="","",'Promedio salarial'!L191)</f>
        <v/>
      </c>
      <c r="C188" s="92" t="str">
        <f>IF('Promedio salarial'!M191="","",'Promedio salarial'!M191)</f>
        <v/>
      </c>
      <c r="D188" s="93" t="str">
        <f>IF('Promedio salarial'!N191="","",'Promedio salarial'!N191)</f>
        <v/>
      </c>
      <c r="E188" s="89">
        <f t="shared" si="1"/>
        <v>0</v>
      </c>
      <c r="F188" s="89">
        <f t="shared" si="2"/>
        <v>0</v>
      </c>
      <c r="G188" s="90">
        <f t="shared" si="3"/>
        <v>0</v>
      </c>
      <c r="H188" s="90">
        <f t="shared" si="4"/>
        <v>0</v>
      </c>
      <c r="I188" s="91">
        <f t="shared" si="5"/>
        <v>0</v>
      </c>
    </row>
    <row r="189">
      <c r="A189" s="73"/>
      <c r="B189" s="92" t="str">
        <f>IF('Promedio salarial'!L192="","",'Promedio salarial'!L192)</f>
        <v/>
      </c>
      <c r="C189" s="92" t="str">
        <f>IF('Promedio salarial'!M192="","",'Promedio salarial'!M192)</f>
        <v/>
      </c>
      <c r="D189" s="93" t="str">
        <f>IF('Promedio salarial'!N192="","",'Promedio salarial'!N192)</f>
        <v/>
      </c>
      <c r="E189" s="89">
        <f t="shared" si="1"/>
        <v>0</v>
      </c>
      <c r="F189" s="89">
        <f t="shared" si="2"/>
        <v>0</v>
      </c>
      <c r="G189" s="90">
        <f t="shared" si="3"/>
        <v>0</v>
      </c>
      <c r="H189" s="90">
        <f t="shared" si="4"/>
        <v>0</v>
      </c>
      <c r="I189" s="91">
        <f t="shared" si="5"/>
        <v>0</v>
      </c>
    </row>
    <row r="190">
      <c r="A190" s="73"/>
      <c r="B190" s="92" t="str">
        <f>IF('Promedio salarial'!L193="","",'Promedio salarial'!L193)</f>
        <v/>
      </c>
      <c r="C190" s="92" t="str">
        <f>IF('Promedio salarial'!M193="","",'Promedio salarial'!M193)</f>
        <v/>
      </c>
      <c r="D190" s="93" t="str">
        <f>IF('Promedio salarial'!N193="","",'Promedio salarial'!N193)</f>
        <v/>
      </c>
      <c r="E190" s="89">
        <f t="shared" si="1"/>
        <v>0</v>
      </c>
      <c r="F190" s="89">
        <f t="shared" si="2"/>
        <v>0</v>
      </c>
      <c r="G190" s="90">
        <f t="shared" si="3"/>
        <v>0</v>
      </c>
      <c r="H190" s="90">
        <f t="shared" si="4"/>
        <v>0</v>
      </c>
      <c r="I190" s="91">
        <f t="shared" si="5"/>
        <v>0</v>
      </c>
    </row>
    <row r="191">
      <c r="A191" s="73"/>
      <c r="B191" s="92" t="str">
        <f>IF('Promedio salarial'!L194="","",'Promedio salarial'!L194)</f>
        <v/>
      </c>
      <c r="C191" s="92" t="str">
        <f>IF('Promedio salarial'!M194="","",'Promedio salarial'!M194)</f>
        <v/>
      </c>
      <c r="D191" s="93" t="str">
        <f>IF('Promedio salarial'!N194="","",'Promedio salarial'!N194)</f>
        <v/>
      </c>
      <c r="E191" s="89">
        <f t="shared" si="1"/>
        <v>0</v>
      </c>
      <c r="F191" s="89">
        <f t="shared" si="2"/>
        <v>0</v>
      </c>
      <c r="G191" s="90">
        <f t="shared" si="3"/>
        <v>0</v>
      </c>
      <c r="H191" s="90">
        <f t="shared" si="4"/>
        <v>0</v>
      </c>
      <c r="I191" s="91">
        <f t="shared" si="5"/>
        <v>0</v>
      </c>
    </row>
    <row r="192">
      <c r="A192" s="73"/>
      <c r="B192" s="92" t="str">
        <f>IF('Promedio salarial'!L195="","",'Promedio salarial'!L195)</f>
        <v/>
      </c>
      <c r="C192" s="92" t="str">
        <f>IF('Promedio salarial'!M195="","",'Promedio salarial'!M195)</f>
        <v/>
      </c>
      <c r="D192" s="93" t="str">
        <f>IF('Promedio salarial'!N195="","",'Promedio salarial'!N195)</f>
        <v/>
      </c>
      <c r="E192" s="89">
        <f t="shared" si="1"/>
        <v>0</v>
      </c>
      <c r="F192" s="89">
        <f t="shared" si="2"/>
        <v>0</v>
      </c>
      <c r="G192" s="90">
        <f t="shared" si="3"/>
        <v>0</v>
      </c>
      <c r="H192" s="90">
        <f t="shared" si="4"/>
        <v>0</v>
      </c>
      <c r="I192" s="91">
        <f t="shared" si="5"/>
        <v>0</v>
      </c>
    </row>
    <row r="193">
      <c r="A193" s="73"/>
      <c r="B193" s="92" t="str">
        <f>IF('Promedio salarial'!L196="","",'Promedio salarial'!L196)</f>
        <v/>
      </c>
      <c r="C193" s="92" t="str">
        <f>IF('Promedio salarial'!M196="","",'Promedio salarial'!M196)</f>
        <v/>
      </c>
      <c r="D193" s="93" t="str">
        <f>IF('Promedio salarial'!N196="","",'Promedio salarial'!N196)</f>
        <v/>
      </c>
      <c r="E193" s="89">
        <f t="shared" si="1"/>
        <v>0</v>
      </c>
      <c r="F193" s="89">
        <f t="shared" si="2"/>
        <v>0</v>
      </c>
      <c r="G193" s="90">
        <f t="shared" si="3"/>
        <v>0</v>
      </c>
      <c r="H193" s="90">
        <f t="shared" si="4"/>
        <v>0</v>
      </c>
      <c r="I193" s="91">
        <f t="shared" si="5"/>
        <v>0</v>
      </c>
    </row>
    <row r="194">
      <c r="A194" s="73"/>
      <c r="B194" s="92" t="str">
        <f>IF('Promedio salarial'!L197="","",'Promedio salarial'!L197)</f>
        <v/>
      </c>
      <c r="C194" s="92" t="str">
        <f>IF('Promedio salarial'!M197="","",'Promedio salarial'!M197)</f>
        <v/>
      </c>
      <c r="D194" s="93" t="str">
        <f>IF('Promedio salarial'!N197="","",'Promedio salarial'!N197)</f>
        <v/>
      </c>
      <c r="E194" s="89">
        <f t="shared" si="1"/>
        <v>0</v>
      </c>
      <c r="F194" s="89">
        <f t="shared" si="2"/>
        <v>0</v>
      </c>
      <c r="G194" s="90">
        <f t="shared" si="3"/>
        <v>0</v>
      </c>
      <c r="H194" s="90">
        <f t="shared" si="4"/>
        <v>0</v>
      </c>
      <c r="I194" s="91">
        <f t="shared" si="5"/>
        <v>0</v>
      </c>
    </row>
    <row r="195">
      <c r="A195" s="73"/>
      <c r="B195" s="92" t="str">
        <f>IF('Promedio salarial'!L198="","",'Promedio salarial'!L198)</f>
        <v/>
      </c>
      <c r="C195" s="92" t="str">
        <f>IF('Promedio salarial'!M198="","",'Promedio salarial'!M198)</f>
        <v/>
      </c>
      <c r="D195" s="93" t="str">
        <f>IF('Promedio salarial'!N198="","",'Promedio salarial'!N198)</f>
        <v/>
      </c>
      <c r="E195" s="89">
        <f t="shared" si="1"/>
        <v>0</v>
      </c>
      <c r="F195" s="89">
        <f t="shared" si="2"/>
        <v>0</v>
      </c>
      <c r="G195" s="90">
        <f t="shared" si="3"/>
        <v>0</v>
      </c>
      <c r="H195" s="90">
        <f t="shared" si="4"/>
        <v>0</v>
      </c>
      <c r="I195" s="91">
        <f t="shared" si="5"/>
        <v>0</v>
      </c>
    </row>
    <row r="196">
      <c r="A196" s="73"/>
      <c r="B196" s="92" t="str">
        <f>IF('Promedio salarial'!L199="","",'Promedio salarial'!L199)</f>
        <v/>
      </c>
      <c r="C196" s="92" t="str">
        <f>IF('Promedio salarial'!M199="","",'Promedio salarial'!M199)</f>
        <v/>
      </c>
      <c r="D196" s="93" t="str">
        <f>IF('Promedio salarial'!N199="","",'Promedio salarial'!N199)</f>
        <v/>
      </c>
      <c r="E196" s="89">
        <f t="shared" si="1"/>
        <v>0</v>
      </c>
      <c r="F196" s="89">
        <f t="shared" si="2"/>
        <v>0</v>
      </c>
      <c r="G196" s="90">
        <f t="shared" si="3"/>
        <v>0</v>
      </c>
      <c r="H196" s="90">
        <f t="shared" si="4"/>
        <v>0</v>
      </c>
      <c r="I196" s="91">
        <f t="shared" si="5"/>
        <v>0</v>
      </c>
    </row>
    <row r="197">
      <c r="A197" s="73"/>
      <c r="B197" s="92" t="str">
        <f>IF('Promedio salarial'!L200="","",'Promedio salarial'!L200)</f>
        <v/>
      </c>
      <c r="C197" s="92" t="str">
        <f>IF('Promedio salarial'!M200="","",'Promedio salarial'!M200)</f>
        <v/>
      </c>
      <c r="D197" s="93" t="str">
        <f>IF('Promedio salarial'!N200="","",'Promedio salarial'!N200)</f>
        <v/>
      </c>
      <c r="E197" s="89">
        <f t="shared" si="1"/>
        <v>0</v>
      </c>
      <c r="F197" s="89">
        <f t="shared" si="2"/>
        <v>0</v>
      </c>
      <c r="G197" s="90">
        <f t="shared" si="3"/>
        <v>0</v>
      </c>
      <c r="H197" s="90">
        <f t="shared" si="4"/>
        <v>0</v>
      </c>
      <c r="I197" s="91">
        <f t="shared" si="5"/>
        <v>0</v>
      </c>
    </row>
    <row r="198">
      <c r="A198" s="73"/>
      <c r="B198" s="92" t="str">
        <f>IF('Promedio salarial'!L201="","",'Promedio salarial'!L201)</f>
        <v/>
      </c>
      <c r="C198" s="92" t="str">
        <f>IF('Promedio salarial'!M201="","",'Promedio salarial'!M201)</f>
        <v/>
      </c>
      <c r="D198" s="93" t="str">
        <f>IF('Promedio salarial'!N201="","",'Promedio salarial'!N201)</f>
        <v/>
      </c>
      <c r="E198" s="89">
        <f t="shared" si="1"/>
        <v>0</v>
      </c>
      <c r="F198" s="89">
        <f t="shared" si="2"/>
        <v>0</v>
      </c>
      <c r="G198" s="90">
        <f t="shared" si="3"/>
        <v>0</v>
      </c>
      <c r="H198" s="90">
        <f t="shared" si="4"/>
        <v>0</v>
      </c>
      <c r="I198" s="91">
        <f t="shared" si="5"/>
        <v>0</v>
      </c>
    </row>
    <row r="199">
      <c r="A199" s="73"/>
      <c r="B199" s="92" t="str">
        <f>IF('Promedio salarial'!L202="","",'Promedio salarial'!L202)</f>
        <v/>
      </c>
      <c r="C199" s="92" t="str">
        <f>IF('Promedio salarial'!M202="","",'Promedio salarial'!M202)</f>
        <v/>
      </c>
      <c r="D199" s="93" t="str">
        <f>IF('Promedio salarial'!N202="","",'Promedio salarial'!N202)</f>
        <v/>
      </c>
      <c r="E199" s="89">
        <f t="shared" si="1"/>
        <v>0</v>
      </c>
      <c r="F199" s="89">
        <f t="shared" si="2"/>
        <v>0</v>
      </c>
      <c r="G199" s="90">
        <f t="shared" si="3"/>
        <v>0</v>
      </c>
      <c r="H199" s="90">
        <f t="shared" si="4"/>
        <v>0</v>
      </c>
      <c r="I199" s="91">
        <f t="shared" si="5"/>
        <v>0</v>
      </c>
    </row>
    <row r="200">
      <c r="A200" s="73"/>
      <c r="B200" s="92" t="str">
        <f>IF('Promedio salarial'!L203="","",'Promedio salarial'!L203)</f>
        <v/>
      </c>
      <c r="C200" s="92" t="str">
        <f>IF('Promedio salarial'!M203="","",'Promedio salarial'!M203)</f>
        <v/>
      </c>
      <c r="D200" s="93" t="str">
        <f>IF('Promedio salarial'!N203="","",'Promedio salarial'!N203)</f>
        <v/>
      </c>
      <c r="E200" s="89">
        <f t="shared" si="1"/>
        <v>0</v>
      </c>
      <c r="F200" s="89">
        <f t="shared" si="2"/>
        <v>0</v>
      </c>
      <c r="G200" s="90">
        <f t="shared" si="3"/>
        <v>0</v>
      </c>
      <c r="H200" s="90">
        <f t="shared" si="4"/>
        <v>0</v>
      </c>
      <c r="I200" s="91">
        <f t="shared" si="5"/>
        <v>0</v>
      </c>
    </row>
    <row r="201">
      <c r="A201" s="73"/>
      <c r="B201" s="92" t="str">
        <f>IF('Promedio salarial'!L204="","",'Promedio salarial'!L204)</f>
        <v/>
      </c>
      <c r="C201" s="92" t="str">
        <f>IF('Promedio salarial'!M204="","",'Promedio salarial'!M204)</f>
        <v/>
      </c>
      <c r="D201" s="93" t="str">
        <f>IF('Promedio salarial'!N204="","",'Promedio salarial'!N204)</f>
        <v/>
      </c>
      <c r="E201" s="89">
        <f t="shared" si="1"/>
        <v>0</v>
      </c>
      <c r="F201" s="89">
        <f t="shared" si="2"/>
        <v>0</v>
      </c>
      <c r="G201" s="90">
        <f t="shared" si="3"/>
        <v>0</v>
      </c>
      <c r="H201" s="90">
        <f t="shared" si="4"/>
        <v>0</v>
      </c>
      <c r="I201" s="91">
        <f t="shared" si="5"/>
        <v>0</v>
      </c>
    </row>
    <row r="202">
      <c r="A202" s="73"/>
      <c r="B202" s="92" t="str">
        <f>IF('Promedio salarial'!L205="","",'Promedio salarial'!L205)</f>
        <v/>
      </c>
      <c r="C202" s="92" t="str">
        <f>IF('Promedio salarial'!M205="","",'Promedio salarial'!M205)</f>
        <v/>
      </c>
      <c r="D202" s="93" t="str">
        <f>IF('Promedio salarial'!N205="","",'Promedio salarial'!N205)</f>
        <v/>
      </c>
      <c r="E202" s="89">
        <f t="shared" si="1"/>
        <v>0</v>
      </c>
      <c r="F202" s="89">
        <f t="shared" si="2"/>
        <v>0</v>
      </c>
      <c r="G202" s="90">
        <f t="shared" si="3"/>
        <v>0</v>
      </c>
      <c r="H202" s="90">
        <f t="shared" si="4"/>
        <v>0</v>
      </c>
      <c r="I202" s="91">
        <f t="shared" si="5"/>
        <v>0</v>
      </c>
    </row>
    <row r="203">
      <c r="A203" s="73"/>
      <c r="B203" s="92" t="str">
        <f>IF('Promedio salarial'!L206="","",'Promedio salarial'!L206)</f>
        <v/>
      </c>
      <c r="C203" s="92" t="str">
        <f>IF('Promedio salarial'!M206="","",'Promedio salarial'!M206)</f>
        <v/>
      </c>
      <c r="D203" s="93" t="str">
        <f>IF('Promedio salarial'!N206="","",'Promedio salarial'!N206)</f>
        <v/>
      </c>
      <c r="E203" s="89">
        <f t="shared" si="1"/>
        <v>0</v>
      </c>
      <c r="F203" s="89">
        <f t="shared" si="2"/>
        <v>0</v>
      </c>
      <c r="G203" s="90">
        <f t="shared" si="3"/>
        <v>0</v>
      </c>
      <c r="H203" s="90">
        <f t="shared" si="4"/>
        <v>0</v>
      </c>
      <c r="I203" s="91">
        <f t="shared" si="5"/>
        <v>0</v>
      </c>
    </row>
    <row r="204">
      <c r="A204" s="73"/>
      <c r="B204" s="92" t="str">
        <f>IF('Promedio salarial'!L207="","",'Promedio salarial'!L207)</f>
        <v/>
      </c>
      <c r="C204" s="92" t="str">
        <f>IF('Promedio salarial'!M207="","",'Promedio salarial'!M207)</f>
        <v/>
      </c>
      <c r="D204" s="93" t="str">
        <f>IF('Promedio salarial'!N207="","",'Promedio salarial'!N207)</f>
        <v/>
      </c>
      <c r="E204" s="89">
        <f t="shared" si="1"/>
        <v>0</v>
      </c>
      <c r="F204" s="89">
        <f t="shared" si="2"/>
        <v>0</v>
      </c>
      <c r="G204" s="90">
        <f t="shared" si="3"/>
        <v>0</v>
      </c>
      <c r="H204" s="90">
        <f t="shared" si="4"/>
        <v>0</v>
      </c>
      <c r="I204" s="91">
        <f t="shared" si="5"/>
        <v>0</v>
      </c>
    </row>
    <row r="205">
      <c r="A205" s="73"/>
      <c r="B205" s="92" t="str">
        <f>IF('Promedio salarial'!L208="","",'Promedio salarial'!L208)</f>
        <v/>
      </c>
      <c r="C205" s="92" t="str">
        <f>IF('Promedio salarial'!M208="","",'Promedio salarial'!M208)</f>
        <v/>
      </c>
      <c r="D205" s="93" t="str">
        <f>IF('Promedio salarial'!N208="","",'Promedio salarial'!N208)</f>
        <v/>
      </c>
      <c r="E205" s="89">
        <f t="shared" si="1"/>
        <v>0</v>
      </c>
      <c r="F205" s="89">
        <f t="shared" si="2"/>
        <v>0</v>
      </c>
      <c r="G205" s="90">
        <f t="shared" si="3"/>
        <v>0</v>
      </c>
      <c r="H205" s="90">
        <f t="shared" si="4"/>
        <v>0</v>
      </c>
      <c r="I205" s="91">
        <f t="shared" si="5"/>
        <v>0</v>
      </c>
    </row>
    <row r="206">
      <c r="A206" s="73"/>
      <c r="B206" s="92" t="str">
        <f>IF('Promedio salarial'!L209="","",'Promedio salarial'!L209)</f>
        <v/>
      </c>
      <c r="C206" s="92" t="str">
        <f>IF('Promedio salarial'!M209="","",'Promedio salarial'!M209)</f>
        <v/>
      </c>
      <c r="D206" s="93" t="str">
        <f>IF('Promedio salarial'!N209="","",'Promedio salarial'!N209)</f>
        <v/>
      </c>
      <c r="E206" s="89">
        <f t="shared" si="1"/>
        <v>0</v>
      </c>
      <c r="F206" s="89">
        <f t="shared" si="2"/>
        <v>0</v>
      </c>
      <c r="G206" s="90">
        <f t="shared" si="3"/>
        <v>0</v>
      </c>
      <c r="H206" s="90">
        <f t="shared" si="4"/>
        <v>0</v>
      </c>
      <c r="I206" s="91">
        <f t="shared" si="5"/>
        <v>0</v>
      </c>
    </row>
    <row r="207">
      <c r="A207" s="73"/>
      <c r="B207" s="92" t="str">
        <f>IF('Promedio salarial'!L210="","",'Promedio salarial'!L210)</f>
        <v/>
      </c>
      <c r="C207" s="92" t="str">
        <f>IF('Promedio salarial'!M210="","",'Promedio salarial'!M210)</f>
        <v/>
      </c>
      <c r="D207" s="93" t="str">
        <f>IF('Promedio salarial'!N210="","",'Promedio salarial'!N210)</f>
        <v/>
      </c>
      <c r="E207" s="89">
        <f t="shared" si="1"/>
        <v>0</v>
      </c>
      <c r="F207" s="89">
        <f t="shared" si="2"/>
        <v>0</v>
      </c>
      <c r="G207" s="90">
        <f t="shared" si="3"/>
        <v>0</v>
      </c>
      <c r="H207" s="90">
        <f t="shared" si="4"/>
        <v>0</v>
      </c>
      <c r="I207" s="91">
        <f t="shared" si="5"/>
        <v>0</v>
      </c>
    </row>
    <row r="208">
      <c r="A208" s="73"/>
      <c r="B208" s="92" t="str">
        <f>IF('Promedio salarial'!L211="","",'Promedio salarial'!L211)</f>
        <v/>
      </c>
      <c r="C208" s="92" t="str">
        <f>IF('Promedio salarial'!M211="","",'Promedio salarial'!M211)</f>
        <v/>
      </c>
      <c r="D208" s="93" t="str">
        <f>IF('Promedio salarial'!N211="","",'Promedio salarial'!N211)</f>
        <v/>
      </c>
      <c r="E208" s="89">
        <f t="shared" si="1"/>
        <v>0</v>
      </c>
      <c r="F208" s="89">
        <f t="shared" si="2"/>
        <v>0</v>
      </c>
      <c r="G208" s="90">
        <f t="shared" si="3"/>
        <v>0</v>
      </c>
      <c r="H208" s="90">
        <f t="shared" si="4"/>
        <v>0</v>
      </c>
      <c r="I208" s="91">
        <f t="shared" si="5"/>
        <v>0</v>
      </c>
    </row>
    <row r="209">
      <c r="A209" s="73"/>
      <c r="B209" s="92" t="str">
        <f>IF('Promedio salarial'!L212="","",'Promedio salarial'!L212)</f>
        <v/>
      </c>
      <c r="C209" s="92" t="str">
        <f>IF('Promedio salarial'!M212="","",'Promedio salarial'!M212)</f>
        <v/>
      </c>
      <c r="D209" s="93" t="str">
        <f>IF('Promedio salarial'!N212="","",'Promedio salarial'!N212)</f>
        <v/>
      </c>
      <c r="E209" s="89">
        <f t="shared" si="1"/>
        <v>0</v>
      </c>
      <c r="F209" s="89">
        <f t="shared" si="2"/>
        <v>0</v>
      </c>
      <c r="G209" s="90">
        <f t="shared" si="3"/>
        <v>0</v>
      </c>
      <c r="H209" s="90">
        <f t="shared" si="4"/>
        <v>0</v>
      </c>
      <c r="I209" s="91">
        <f t="shared" si="5"/>
        <v>0</v>
      </c>
    </row>
    <row r="210">
      <c r="A210" s="73"/>
      <c r="B210" s="92" t="str">
        <f>IF('Promedio salarial'!L213="","",'Promedio salarial'!L213)</f>
        <v/>
      </c>
      <c r="C210" s="92" t="str">
        <f>IF('Promedio salarial'!M213="","",'Promedio salarial'!M213)</f>
        <v/>
      </c>
      <c r="D210" s="93" t="str">
        <f>IF('Promedio salarial'!N213="","",'Promedio salarial'!N213)</f>
        <v/>
      </c>
      <c r="E210" s="89">
        <f t="shared" si="1"/>
        <v>0</v>
      </c>
      <c r="F210" s="89">
        <f t="shared" si="2"/>
        <v>0</v>
      </c>
      <c r="G210" s="90">
        <f t="shared" si="3"/>
        <v>0</v>
      </c>
      <c r="H210" s="90">
        <f t="shared" si="4"/>
        <v>0</v>
      </c>
      <c r="I210" s="91">
        <f t="shared" si="5"/>
        <v>0</v>
      </c>
    </row>
    <row r="211">
      <c r="A211" s="73"/>
      <c r="B211" s="92" t="str">
        <f>IF('Promedio salarial'!L214="","",'Promedio salarial'!L214)</f>
        <v/>
      </c>
      <c r="C211" s="92" t="str">
        <f>IF('Promedio salarial'!M214="","",'Promedio salarial'!M214)</f>
        <v/>
      </c>
      <c r="D211" s="93" t="str">
        <f>IF('Promedio salarial'!N214="","",'Promedio salarial'!N214)</f>
        <v/>
      </c>
      <c r="E211" s="89">
        <f t="shared" si="1"/>
        <v>0</v>
      </c>
      <c r="F211" s="89">
        <f t="shared" si="2"/>
        <v>0</v>
      </c>
      <c r="G211" s="90">
        <f t="shared" si="3"/>
        <v>0</v>
      </c>
      <c r="H211" s="90">
        <f t="shared" si="4"/>
        <v>0</v>
      </c>
      <c r="I211" s="91">
        <f t="shared" si="5"/>
        <v>0</v>
      </c>
    </row>
    <row r="212">
      <c r="A212" s="73"/>
      <c r="B212" s="92" t="str">
        <f>IF('Promedio salarial'!L215="","",'Promedio salarial'!L215)</f>
        <v/>
      </c>
      <c r="C212" s="92" t="str">
        <f>IF('Promedio salarial'!M215="","",'Promedio salarial'!M215)</f>
        <v/>
      </c>
      <c r="D212" s="93" t="str">
        <f>IF('Promedio salarial'!N215="","",'Promedio salarial'!N215)</f>
        <v/>
      </c>
      <c r="E212" s="89">
        <f t="shared" si="1"/>
        <v>0</v>
      </c>
      <c r="F212" s="89">
        <f t="shared" si="2"/>
        <v>0</v>
      </c>
      <c r="G212" s="90">
        <f t="shared" si="3"/>
        <v>0</v>
      </c>
      <c r="H212" s="90">
        <f t="shared" si="4"/>
        <v>0</v>
      </c>
      <c r="I212" s="91">
        <f t="shared" si="5"/>
        <v>0</v>
      </c>
    </row>
    <row r="213">
      <c r="A213" s="73"/>
      <c r="B213" s="92" t="str">
        <f>IF('Promedio salarial'!L216="","",'Promedio salarial'!L216)</f>
        <v/>
      </c>
      <c r="C213" s="92" t="str">
        <f>IF('Promedio salarial'!M216="","",'Promedio salarial'!M216)</f>
        <v/>
      </c>
      <c r="D213" s="93" t="str">
        <f>IF('Promedio salarial'!N216="","",'Promedio salarial'!N216)</f>
        <v/>
      </c>
      <c r="E213" s="89">
        <f t="shared" si="1"/>
        <v>0</v>
      </c>
      <c r="F213" s="89">
        <f t="shared" si="2"/>
        <v>0</v>
      </c>
      <c r="G213" s="90">
        <f t="shared" si="3"/>
        <v>0</v>
      </c>
      <c r="H213" s="90">
        <f t="shared" si="4"/>
        <v>0</v>
      </c>
      <c r="I213" s="91">
        <f t="shared" si="5"/>
        <v>0</v>
      </c>
    </row>
    <row r="214">
      <c r="A214" s="73"/>
      <c r="B214" s="92" t="str">
        <f>IF('Promedio salarial'!L217="","",'Promedio salarial'!L217)</f>
        <v/>
      </c>
      <c r="C214" s="92" t="str">
        <f>IF('Promedio salarial'!M217="","",'Promedio salarial'!M217)</f>
        <v/>
      </c>
      <c r="D214" s="93" t="str">
        <f>IF('Promedio salarial'!N217="","",'Promedio salarial'!N217)</f>
        <v/>
      </c>
      <c r="E214" s="89">
        <f t="shared" si="1"/>
        <v>0</v>
      </c>
      <c r="F214" s="89">
        <f t="shared" si="2"/>
        <v>0</v>
      </c>
      <c r="G214" s="90">
        <f t="shared" si="3"/>
        <v>0</v>
      </c>
      <c r="H214" s="90">
        <f t="shared" si="4"/>
        <v>0</v>
      </c>
      <c r="I214" s="91">
        <f t="shared" si="5"/>
        <v>0</v>
      </c>
    </row>
    <row r="215">
      <c r="A215" s="73"/>
      <c r="B215" s="92" t="str">
        <f>IF('Promedio salarial'!L218="","",'Promedio salarial'!L218)</f>
        <v/>
      </c>
      <c r="C215" s="92" t="str">
        <f>IF('Promedio salarial'!M218="","",'Promedio salarial'!M218)</f>
        <v/>
      </c>
      <c r="D215" s="93" t="str">
        <f>IF('Promedio salarial'!N218="","",'Promedio salarial'!N218)</f>
        <v/>
      </c>
      <c r="E215" s="89">
        <f t="shared" si="1"/>
        <v>0</v>
      </c>
      <c r="F215" s="89">
        <f t="shared" si="2"/>
        <v>0</v>
      </c>
      <c r="G215" s="90">
        <f t="shared" si="3"/>
        <v>0</v>
      </c>
      <c r="H215" s="90">
        <f t="shared" si="4"/>
        <v>0</v>
      </c>
      <c r="I215" s="91">
        <f t="shared" si="5"/>
        <v>0</v>
      </c>
    </row>
    <row r="216">
      <c r="A216" s="73"/>
      <c r="B216" s="92" t="str">
        <f>IF('Promedio salarial'!L219="","",'Promedio salarial'!L219)</f>
        <v/>
      </c>
      <c r="C216" s="92" t="str">
        <f>IF('Promedio salarial'!M219="","",'Promedio salarial'!M219)</f>
        <v/>
      </c>
      <c r="D216" s="93" t="str">
        <f>IF('Promedio salarial'!N219="","",'Promedio salarial'!N219)</f>
        <v/>
      </c>
      <c r="E216" s="89">
        <f t="shared" si="1"/>
        <v>0</v>
      </c>
      <c r="F216" s="89">
        <f t="shared" si="2"/>
        <v>0</v>
      </c>
      <c r="G216" s="90">
        <f t="shared" si="3"/>
        <v>0</v>
      </c>
      <c r="H216" s="90">
        <f t="shared" si="4"/>
        <v>0</v>
      </c>
      <c r="I216" s="91">
        <f t="shared" si="5"/>
        <v>0</v>
      </c>
    </row>
    <row r="217">
      <c r="A217" s="73"/>
      <c r="B217" s="92" t="str">
        <f>IF('Promedio salarial'!L220="","",'Promedio salarial'!L220)</f>
        <v/>
      </c>
      <c r="C217" s="92" t="str">
        <f>IF('Promedio salarial'!M220="","",'Promedio salarial'!M220)</f>
        <v/>
      </c>
      <c r="D217" s="93" t="str">
        <f>IF('Promedio salarial'!N220="","",'Promedio salarial'!N220)</f>
        <v/>
      </c>
      <c r="E217" s="89">
        <f t="shared" si="1"/>
        <v>0</v>
      </c>
      <c r="F217" s="89">
        <f t="shared" si="2"/>
        <v>0</v>
      </c>
      <c r="G217" s="90">
        <f t="shared" si="3"/>
        <v>0</v>
      </c>
      <c r="H217" s="90">
        <f t="shared" si="4"/>
        <v>0</v>
      </c>
      <c r="I217" s="91">
        <f t="shared" si="5"/>
        <v>0</v>
      </c>
    </row>
    <row r="218">
      <c r="A218" s="73"/>
      <c r="B218" s="92" t="str">
        <f>IF('Promedio salarial'!L221="","",'Promedio salarial'!L221)</f>
        <v/>
      </c>
      <c r="C218" s="92" t="str">
        <f>IF('Promedio salarial'!M221="","",'Promedio salarial'!M221)</f>
        <v/>
      </c>
      <c r="D218" s="93" t="str">
        <f>IF('Promedio salarial'!N221="","",'Promedio salarial'!N221)</f>
        <v/>
      </c>
      <c r="E218" s="89">
        <f t="shared" si="1"/>
        <v>0</v>
      </c>
      <c r="F218" s="89">
        <f t="shared" si="2"/>
        <v>0</v>
      </c>
      <c r="G218" s="90">
        <f t="shared" si="3"/>
        <v>0</v>
      </c>
      <c r="H218" s="90">
        <f t="shared" si="4"/>
        <v>0</v>
      </c>
      <c r="I218" s="91">
        <f t="shared" si="5"/>
        <v>0</v>
      </c>
    </row>
    <row r="219">
      <c r="A219" s="73"/>
      <c r="B219" s="92" t="str">
        <f>IF('Promedio salarial'!L222="","",'Promedio salarial'!L222)</f>
        <v/>
      </c>
      <c r="C219" s="92" t="str">
        <f>IF('Promedio salarial'!M222="","",'Promedio salarial'!M222)</f>
        <v/>
      </c>
      <c r="D219" s="93" t="str">
        <f>IF('Promedio salarial'!N222="","",'Promedio salarial'!N222)</f>
        <v/>
      </c>
      <c r="E219" s="89">
        <f t="shared" si="1"/>
        <v>0</v>
      </c>
      <c r="F219" s="89">
        <f t="shared" si="2"/>
        <v>0</v>
      </c>
      <c r="G219" s="90">
        <f t="shared" si="3"/>
        <v>0</v>
      </c>
      <c r="H219" s="90">
        <f t="shared" si="4"/>
        <v>0</v>
      </c>
      <c r="I219" s="91">
        <f t="shared" si="5"/>
        <v>0</v>
      </c>
    </row>
    <row r="220">
      <c r="A220" s="73"/>
      <c r="B220" s="92" t="str">
        <f>IF('Promedio salarial'!L223="","",'Promedio salarial'!L223)</f>
        <v/>
      </c>
      <c r="C220" s="92" t="str">
        <f>IF('Promedio salarial'!M223="","",'Promedio salarial'!M223)</f>
        <v/>
      </c>
      <c r="D220" s="93" t="str">
        <f>IF('Promedio salarial'!N223="","",'Promedio salarial'!N223)</f>
        <v/>
      </c>
      <c r="E220" s="89">
        <f t="shared" si="1"/>
        <v>0</v>
      </c>
      <c r="F220" s="89">
        <f t="shared" si="2"/>
        <v>0</v>
      </c>
      <c r="G220" s="90">
        <f t="shared" si="3"/>
        <v>0</v>
      </c>
      <c r="H220" s="90">
        <f t="shared" si="4"/>
        <v>0</v>
      </c>
      <c r="I220" s="91">
        <f t="shared" si="5"/>
        <v>0</v>
      </c>
    </row>
    <row r="221">
      <c r="A221" s="73"/>
      <c r="B221" s="92" t="str">
        <f>IF('Promedio salarial'!L224="","",'Promedio salarial'!L224)</f>
        <v/>
      </c>
      <c r="C221" s="92" t="str">
        <f>IF('Promedio salarial'!M224="","",'Promedio salarial'!M224)</f>
        <v/>
      </c>
      <c r="D221" s="93" t="str">
        <f>IF('Promedio salarial'!N224="","",'Promedio salarial'!N224)</f>
        <v/>
      </c>
      <c r="E221" s="89">
        <f t="shared" si="1"/>
        <v>0</v>
      </c>
      <c r="F221" s="89">
        <f t="shared" si="2"/>
        <v>0</v>
      </c>
      <c r="G221" s="90">
        <f t="shared" si="3"/>
        <v>0</v>
      </c>
      <c r="H221" s="90">
        <f t="shared" si="4"/>
        <v>0</v>
      </c>
      <c r="I221" s="91">
        <f t="shared" si="5"/>
        <v>0</v>
      </c>
    </row>
    <row r="222">
      <c r="A222" s="73"/>
      <c r="B222" s="92" t="str">
        <f>IF('Promedio salarial'!L225="","",'Promedio salarial'!L225)</f>
        <v/>
      </c>
      <c r="C222" s="92" t="str">
        <f>IF('Promedio salarial'!M225="","",'Promedio salarial'!M225)</f>
        <v/>
      </c>
      <c r="D222" s="93" t="str">
        <f>IF('Promedio salarial'!N225="","",'Promedio salarial'!N225)</f>
        <v/>
      </c>
      <c r="E222" s="89">
        <f t="shared" si="1"/>
        <v>0</v>
      </c>
      <c r="F222" s="89">
        <f t="shared" si="2"/>
        <v>0</v>
      </c>
      <c r="G222" s="90">
        <f t="shared" si="3"/>
        <v>0</v>
      </c>
      <c r="H222" s="90">
        <f t="shared" si="4"/>
        <v>0</v>
      </c>
      <c r="I222" s="91">
        <f t="shared" si="5"/>
        <v>0</v>
      </c>
    </row>
    <row r="223">
      <c r="A223" s="73"/>
      <c r="B223" s="92" t="str">
        <f>IF('Promedio salarial'!L226="","",'Promedio salarial'!L226)</f>
        <v/>
      </c>
      <c r="C223" s="92" t="str">
        <f>IF('Promedio salarial'!M226="","",'Promedio salarial'!M226)</f>
        <v/>
      </c>
      <c r="D223" s="93" t="str">
        <f>IF('Promedio salarial'!N226="","",'Promedio salarial'!N226)</f>
        <v/>
      </c>
      <c r="E223" s="89">
        <f t="shared" si="1"/>
        <v>0</v>
      </c>
      <c r="F223" s="89">
        <f t="shared" si="2"/>
        <v>0</v>
      </c>
      <c r="G223" s="90">
        <f t="shared" si="3"/>
        <v>0</v>
      </c>
      <c r="H223" s="90">
        <f t="shared" si="4"/>
        <v>0</v>
      </c>
      <c r="I223" s="91">
        <f t="shared" si="5"/>
        <v>0</v>
      </c>
    </row>
    <row r="224">
      <c r="A224" s="73"/>
      <c r="B224" s="92" t="str">
        <f>IF('Promedio salarial'!L227="","",'Promedio salarial'!L227)</f>
        <v/>
      </c>
      <c r="C224" s="92" t="str">
        <f>IF('Promedio salarial'!M227="","",'Promedio salarial'!M227)</f>
        <v/>
      </c>
      <c r="D224" s="93" t="str">
        <f>IF('Promedio salarial'!N227="","",'Promedio salarial'!N227)</f>
        <v/>
      </c>
      <c r="E224" s="89">
        <f t="shared" si="1"/>
        <v>0</v>
      </c>
      <c r="F224" s="89">
        <f t="shared" si="2"/>
        <v>0</v>
      </c>
      <c r="G224" s="90">
        <f t="shared" si="3"/>
        <v>0</v>
      </c>
      <c r="H224" s="90">
        <f t="shared" si="4"/>
        <v>0</v>
      </c>
      <c r="I224" s="91">
        <f t="shared" si="5"/>
        <v>0</v>
      </c>
    </row>
    <row r="225">
      <c r="A225" s="73"/>
      <c r="B225" s="92" t="str">
        <f>IF('Promedio salarial'!L228="","",'Promedio salarial'!L228)</f>
        <v/>
      </c>
      <c r="C225" s="92" t="str">
        <f>IF('Promedio salarial'!M228="","",'Promedio salarial'!M228)</f>
        <v/>
      </c>
      <c r="D225" s="93" t="str">
        <f>IF('Promedio salarial'!N228="","",'Promedio salarial'!N228)</f>
        <v/>
      </c>
      <c r="E225" s="89">
        <f t="shared" si="1"/>
        <v>0</v>
      </c>
      <c r="F225" s="89">
        <f t="shared" si="2"/>
        <v>0</v>
      </c>
      <c r="G225" s="90">
        <f t="shared" si="3"/>
        <v>0</v>
      </c>
      <c r="H225" s="90">
        <f t="shared" si="4"/>
        <v>0</v>
      </c>
      <c r="I225" s="91">
        <f t="shared" si="5"/>
        <v>0</v>
      </c>
    </row>
    <row r="226">
      <c r="A226" s="73"/>
      <c r="B226" s="92" t="str">
        <f>IF('Promedio salarial'!L229="","",'Promedio salarial'!L229)</f>
        <v/>
      </c>
      <c r="C226" s="92" t="str">
        <f>IF('Promedio salarial'!M229="","",'Promedio salarial'!M229)</f>
        <v/>
      </c>
      <c r="D226" s="93" t="str">
        <f>IF('Promedio salarial'!N229="","",'Promedio salarial'!N229)</f>
        <v/>
      </c>
      <c r="E226" s="89">
        <f t="shared" si="1"/>
        <v>0</v>
      </c>
      <c r="F226" s="89">
        <f t="shared" si="2"/>
        <v>0</v>
      </c>
      <c r="G226" s="90">
        <f t="shared" si="3"/>
        <v>0</v>
      </c>
      <c r="H226" s="90">
        <f t="shared" si="4"/>
        <v>0</v>
      </c>
      <c r="I226" s="91">
        <f t="shared" si="5"/>
        <v>0</v>
      </c>
    </row>
    <row r="227">
      <c r="A227" s="73"/>
      <c r="B227" s="92" t="str">
        <f>IF('Promedio salarial'!L230="","",'Promedio salarial'!L230)</f>
        <v/>
      </c>
      <c r="C227" s="92" t="str">
        <f>IF('Promedio salarial'!M230="","",'Promedio salarial'!M230)</f>
        <v/>
      </c>
      <c r="D227" s="93" t="str">
        <f>IF('Promedio salarial'!N230="","",'Promedio salarial'!N230)</f>
        <v/>
      </c>
      <c r="E227" s="89">
        <f t="shared" si="1"/>
        <v>0</v>
      </c>
      <c r="F227" s="89">
        <f t="shared" si="2"/>
        <v>0</v>
      </c>
      <c r="G227" s="90">
        <f t="shared" si="3"/>
        <v>0</v>
      </c>
      <c r="H227" s="90">
        <f t="shared" si="4"/>
        <v>0</v>
      </c>
      <c r="I227" s="91">
        <f t="shared" si="5"/>
        <v>0</v>
      </c>
    </row>
    <row r="228">
      <c r="A228" s="73"/>
      <c r="B228" s="92" t="str">
        <f>IF('Promedio salarial'!L231="","",'Promedio salarial'!L231)</f>
        <v/>
      </c>
      <c r="C228" s="92" t="str">
        <f>IF('Promedio salarial'!M231="","",'Promedio salarial'!M231)</f>
        <v/>
      </c>
      <c r="D228" s="93" t="str">
        <f>IF('Promedio salarial'!N231="","",'Promedio salarial'!N231)</f>
        <v/>
      </c>
      <c r="E228" s="89">
        <f t="shared" si="1"/>
        <v>0</v>
      </c>
      <c r="F228" s="89">
        <f t="shared" si="2"/>
        <v>0</v>
      </c>
      <c r="G228" s="90">
        <f t="shared" si="3"/>
        <v>0</v>
      </c>
      <c r="H228" s="90">
        <f t="shared" si="4"/>
        <v>0</v>
      </c>
      <c r="I228" s="91">
        <f t="shared" si="5"/>
        <v>0</v>
      </c>
    </row>
    <row r="229">
      <c r="A229" s="73"/>
      <c r="B229" s="92" t="str">
        <f>IF('Promedio salarial'!L232="","",'Promedio salarial'!L232)</f>
        <v/>
      </c>
      <c r="C229" s="92" t="str">
        <f>IF('Promedio salarial'!M232="","",'Promedio salarial'!M232)</f>
        <v/>
      </c>
      <c r="D229" s="93" t="str">
        <f>IF('Promedio salarial'!N232="","",'Promedio salarial'!N232)</f>
        <v/>
      </c>
      <c r="E229" s="89">
        <f t="shared" si="1"/>
        <v>0</v>
      </c>
      <c r="F229" s="89">
        <f t="shared" si="2"/>
        <v>0</v>
      </c>
      <c r="G229" s="90">
        <f t="shared" si="3"/>
        <v>0</v>
      </c>
      <c r="H229" s="90">
        <f t="shared" si="4"/>
        <v>0</v>
      </c>
      <c r="I229" s="91">
        <f t="shared" si="5"/>
        <v>0</v>
      </c>
    </row>
    <row r="230">
      <c r="A230" s="73"/>
      <c r="B230" s="92" t="str">
        <f>IF('Promedio salarial'!L233="","",'Promedio salarial'!L233)</f>
        <v/>
      </c>
      <c r="C230" s="92" t="str">
        <f>IF('Promedio salarial'!M233="","",'Promedio salarial'!M233)</f>
        <v/>
      </c>
      <c r="D230" s="93" t="str">
        <f>IF('Promedio salarial'!N233="","",'Promedio salarial'!N233)</f>
        <v/>
      </c>
      <c r="E230" s="89">
        <f t="shared" si="1"/>
        <v>0</v>
      </c>
      <c r="F230" s="89">
        <f t="shared" si="2"/>
        <v>0</v>
      </c>
      <c r="G230" s="90">
        <f t="shared" si="3"/>
        <v>0</v>
      </c>
      <c r="H230" s="90">
        <f t="shared" si="4"/>
        <v>0</v>
      </c>
      <c r="I230" s="91">
        <f t="shared" si="5"/>
        <v>0</v>
      </c>
    </row>
    <row r="231">
      <c r="A231" s="73"/>
      <c r="B231" s="92" t="str">
        <f>IF('Promedio salarial'!L234="","",'Promedio salarial'!L234)</f>
        <v/>
      </c>
      <c r="C231" s="92" t="str">
        <f>IF('Promedio salarial'!M234="","",'Promedio salarial'!M234)</f>
        <v/>
      </c>
      <c r="D231" s="93" t="str">
        <f>IF('Promedio salarial'!N234="","",'Promedio salarial'!N234)</f>
        <v/>
      </c>
      <c r="E231" s="89">
        <f t="shared" si="1"/>
        <v>0</v>
      </c>
      <c r="F231" s="89">
        <f t="shared" si="2"/>
        <v>0</v>
      </c>
      <c r="G231" s="90">
        <f t="shared" si="3"/>
        <v>0</v>
      </c>
      <c r="H231" s="90">
        <f t="shared" si="4"/>
        <v>0</v>
      </c>
      <c r="I231" s="91">
        <f t="shared" si="5"/>
        <v>0</v>
      </c>
    </row>
    <row r="232">
      <c r="A232" s="73"/>
      <c r="B232" s="92" t="str">
        <f>IF('Promedio salarial'!L235="","",'Promedio salarial'!L235)</f>
        <v/>
      </c>
      <c r="C232" s="92" t="str">
        <f>IF('Promedio salarial'!M235="","",'Promedio salarial'!M235)</f>
        <v/>
      </c>
      <c r="D232" s="93" t="str">
        <f>IF('Promedio salarial'!N235="","",'Promedio salarial'!N235)</f>
        <v/>
      </c>
      <c r="E232" s="89">
        <f t="shared" si="1"/>
        <v>0</v>
      </c>
      <c r="F232" s="89">
        <f t="shared" si="2"/>
        <v>0</v>
      </c>
      <c r="G232" s="90">
        <f t="shared" si="3"/>
        <v>0</v>
      </c>
      <c r="H232" s="90">
        <f t="shared" si="4"/>
        <v>0</v>
      </c>
      <c r="I232" s="91">
        <f t="shared" si="5"/>
        <v>0</v>
      </c>
    </row>
    <row r="233">
      <c r="A233" s="73"/>
      <c r="B233" s="92" t="str">
        <f>IF('Promedio salarial'!L236="","",'Promedio salarial'!L236)</f>
        <v/>
      </c>
      <c r="C233" s="92" t="str">
        <f>IF('Promedio salarial'!M236="","",'Promedio salarial'!M236)</f>
        <v/>
      </c>
      <c r="D233" s="93" t="str">
        <f>IF('Promedio salarial'!N236="","",'Promedio salarial'!N236)</f>
        <v/>
      </c>
      <c r="E233" s="89">
        <f t="shared" si="1"/>
        <v>0</v>
      </c>
      <c r="F233" s="89">
        <f t="shared" si="2"/>
        <v>0</v>
      </c>
      <c r="G233" s="90">
        <f t="shared" si="3"/>
        <v>0</v>
      </c>
      <c r="H233" s="90">
        <f t="shared" si="4"/>
        <v>0</v>
      </c>
      <c r="I233" s="91">
        <f t="shared" si="5"/>
        <v>0</v>
      </c>
    </row>
    <row r="234">
      <c r="A234" s="73"/>
      <c r="B234" s="92" t="str">
        <f>IF('Promedio salarial'!L237="","",'Promedio salarial'!L237)</f>
        <v/>
      </c>
      <c r="C234" s="92" t="str">
        <f>IF('Promedio salarial'!M237="","",'Promedio salarial'!M237)</f>
        <v/>
      </c>
      <c r="D234" s="93" t="str">
        <f>IF('Promedio salarial'!N237="","",'Promedio salarial'!N237)</f>
        <v/>
      </c>
      <c r="E234" s="89">
        <f t="shared" si="1"/>
        <v>0</v>
      </c>
      <c r="F234" s="89">
        <f t="shared" si="2"/>
        <v>0</v>
      </c>
      <c r="G234" s="90">
        <f t="shared" si="3"/>
        <v>0</v>
      </c>
      <c r="H234" s="90">
        <f t="shared" si="4"/>
        <v>0</v>
      </c>
      <c r="I234" s="91">
        <f t="shared" si="5"/>
        <v>0</v>
      </c>
    </row>
    <row r="235">
      <c r="A235" s="73"/>
      <c r="B235" s="92" t="str">
        <f>IF('Promedio salarial'!L238="","",'Promedio salarial'!L238)</f>
        <v/>
      </c>
      <c r="C235" s="92" t="str">
        <f>IF('Promedio salarial'!M238="","",'Promedio salarial'!M238)</f>
        <v/>
      </c>
      <c r="D235" s="93" t="str">
        <f>IF('Promedio salarial'!N238="","",'Promedio salarial'!N238)</f>
        <v/>
      </c>
      <c r="E235" s="89">
        <f t="shared" si="1"/>
        <v>0</v>
      </c>
      <c r="F235" s="89">
        <f t="shared" si="2"/>
        <v>0</v>
      </c>
      <c r="G235" s="90">
        <f t="shared" si="3"/>
        <v>0</v>
      </c>
      <c r="H235" s="90">
        <f t="shared" si="4"/>
        <v>0</v>
      </c>
      <c r="I235" s="91">
        <f t="shared" si="5"/>
        <v>0</v>
      </c>
    </row>
    <row r="236">
      <c r="A236" s="73"/>
      <c r="B236" s="92" t="str">
        <f>IF('Promedio salarial'!L239="","",'Promedio salarial'!L239)</f>
        <v/>
      </c>
      <c r="C236" s="92" t="str">
        <f>IF('Promedio salarial'!M239="","",'Promedio salarial'!M239)</f>
        <v/>
      </c>
      <c r="D236" s="93" t="str">
        <f>IF('Promedio salarial'!N239="","",'Promedio salarial'!N239)</f>
        <v/>
      </c>
      <c r="E236" s="89">
        <f t="shared" si="1"/>
        <v>0</v>
      </c>
      <c r="F236" s="89">
        <f t="shared" si="2"/>
        <v>0</v>
      </c>
      <c r="G236" s="90">
        <f t="shared" si="3"/>
        <v>0</v>
      </c>
      <c r="H236" s="90">
        <f t="shared" si="4"/>
        <v>0</v>
      </c>
      <c r="I236" s="91">
        <f t="shared" si="5"/>
        <v>0</v>
      </c>
    </row>
    <row r="237">
      <c r="A237" s="73"/>
      <c r="B237" s="92" t="str">
        <f>IF('Promedio salarial'!L240="","",'Promedio salarial'!L240)</f>
        <v/>
      </c>
      <c r="C237" s="92" t="str">
        <f>IF('Promedio salarial'!M240="","",'Promedio salarial'!M240)</f>
        <v/>
      </c>
      <c r="D237" s="93" t="str">
        <f>IF('Promedio salarial'!N240="","",'Promedio salarial'!N240)</f>
        <v/>
      </c>
      <c r="E237" s="89">
        <f t="shared" si="1"/>
        <v>0</v>
      </c>
      <c r="F237" s="89">
        <f t="shared" si="2"/>
        <v>0</v>
      </c>
      <c r="G237" s="90">
        <f t="shared" si="3"/>
        <v>0</v>
      </c>
      <c r="H237" s="90">
        <f t="shared" si="4"/>
        <v>0</v>
      </c>
      <c r="I237" s="91">
        <f t="shared" si="5"/>
        <v>0</v>
      </c>
    </row>
    <row r="238">
      <c r="A238" s="73"/>
      <c r="B238" s="92" t="str">
        <f>IF('Promedio salarial'!L241="","",'Promedio salarial'!L241)</f>
        <v/>
      </c>
      <c r="C238" s="92" t="str">
        <f>IF('Promedio salarial'!M241="","",'Promedio salarial'!M241)</f>
        <v/>
      </c>
      <c r="D238" s="93" t="str">
        <f>IF('Promedio salarial'!N241="","",'Promedio salarial'!N241)</f>
        <v/>
      </c>
      <c r="E238" s="89">
        <f t="shared" si="1"/>
        <v>0</v>
      </c>
      <c r="F238" s="89">
        <f t="shared" si="2"/>
        <v>0</v>
      </c>
      <c r="G238" s="90">
        <f t="shared" si="3"/>
        <v>0</v>
      </c>
      <c r="H238" s="90">
        <f t="shared" si="4"/>
        <v>0</v>
      </c>
      <c r="I238" s="91">
        <f t="shared" si="5"/>
        <v>0</v>
      </c>
    </row>
    <row r="239">
      <c r="A239" s="73"/>
      <c r="B239" s="92" t="str">
        <f>IF('Promedio salarial'!L242="","",'Promedio salarial'!L242)</f>
        <v/>
      </c>
      <c r="C239" s="92" t="str">
        <f>IF('Promedio salarial'!M242="","",'Promedio salarial'!M242)</f>
        <v/>
      </c>
      <c r="D239" s="93" t="str">
        <f>IF('Promedio salarial'!N242="","",'Promedio salarial'!N242)</f>
        <v/>
      </c>
      <c r="E239" s="89">
        <f t="shared" si="1"/>
        <v>0</v>
      </c>
      <c r="F239" s="89">
        <f t="shared" si="2"/>
        <v>0</v>
      </c>
      <c r="G239" s="90">
        <f t="shared" si="3"/>
        <v>0</v>
      </c>
      <c r="H239" s="90">
        <f t="shared" si="4"/>
        <v>0</v>
      </c>
      <c r="I239" s="91">
        <f t="shared" si="5"/>
        <v>0</v>
      </c>
    </row>
    <row r="240">
      <c r="A240" s="73"/>
      <c r="B240" s="92" t="str">
        <f>IF('Promedio salarial'!L243="","",'Promedio salarial'!L243)</f>
        <v/>
      </c>
      <c r="C240" s="92" t="str">
        <f>IF('Promedio salarial'!M243="","",'Promedio salarial'!M243)</f>
        <v/>
      </c>
      <c r="D240" s="93" t="str">
        <f>IF('Promedio salarial'!N243="","",'Promedio salarial'!N243)</f>
        <v/>
      </c>
      <c r="E240" s="89">
        <f t="shared" si="1"/>
        <v>0</v>
      </c>
      <c r="F240" s="89">
        <f t="shared" si="2"/>
        <v>0</v>
      </c>
      <c r="G240" s="90">
        <f t="shared" si="3"/>
        <v>0</v>
      </c>
      <c r="H240" s="90">
        <f t="shared" si="4"/>
        <v>0</v>
      </c>
      <c r="I240" s="91">
        <f t="shared" si="5"/>
        <v>0</v>
      </c>
    </row>
    <row r="241">
      <c r="A241" s="73"/>
      <c r="B241" s="92" t="str">
        <f>IF('Promedio salarial'!L244="","",'Promedio salarial'!L244)</f>
        <v/>
      </c>
      <c r="C241" s="92" t="str">
        <f>IF('Promedio salarial'!M244="","",'Promedio salarial'!M244)</f>
        <v/>
      </c>
      <c r="D241" s="93" t="str">
        <f>IF('Promedio salarial'!N244="","",'Promedio salarial'!N244)</f>
        <v/>
      </c>
      <c r="E241" s="89">
        <f t="shared" si="1"/>
        <v>0</v>
      </c>
      <c r="F241" s="89">
        <f t="shared" si="2"/>
        <v>0</v>
      </c>
      <c r="G241" s="90">
        <f t="shared" si="3"/>
        <v>0</v>
      </c>
      <c r="H241" s="90">
        <f t="shared" si="4"/>
        <v>0</v>
      </c>
      <c r="I241" s="91">
        <f t="shared" si="5"/>
        <v>0</v>
      </c>
    </row>
    <row r="242">
      <c r="A242" s="73"/>
      <c r="B242" s="92" t="str">
        <f>IF('Promedio salarial'!L245="","",'Promedio salarial'!L245)</f>
        <v/>
      </c>
      <c r="C242" s="92" t="str">
        <f>IF('Promedio salarial'!M245="","",'Promedio salarial'!M245)</f>
        <v/>
      </c>
      <c r="D242" s="93" t="str">
        <f>IF('Promedio salarial'!N245="","",'Promedio salarial'!N245)</f>
        <v/>
      </c>
      <c r="E242" s="89">
        <f t="shared" si="1"/>
        <v>0</v>
      </c>
      <c r="F242" s="89">
        <f t="shared" si="2"/>
        <v>0</v>
      </c>
      <c r="G242" s="90">
        <f t="shared" si="3"/>
        <v>0</v>
      </c>
      <c r="H242" s="90">
        <f t="shared" si="4"/>
        <v>0</v>
      </c>
      <c r="I242" s="91">
        <f t="shared" si="5"/>
        <v>0</v>
      </c>
    </row>
    <row r="243">
      <c r="A243" s="73"/>
      <c r="B243" s="92" t="str">
        <f>IF('Promedio salarial'!L246="","",'Promedio salarial'!L246)</f>
        <v/>
      </c>
      <c r="C243" s="92" t="str">
        <f>IF('Promedio salarial'!M246="","",'Promedio salarial'!M246)</f>
        <v/>
      </c>
      <c r="D243" s="93" t="str">
        <f>IF('Promedio salarial'!N246="","",'Promedio salarial'!N246)</f>
        <v/>
      </c>
      <c r="E243" s="89">
        <f t="shared" si="1"/>
        <v>0</v>
      </c>
      <c r="F243" s="89">
        <f t="shared" si="2"/>
        <v>0</v>
      </c>
      <c r="G243" s="90">
        <f t="shared" si="3"/>
        <v>0</v>
      </c>
      <c r="H243" s="90">
        <f t="shared" si="4"/>
        <v>0</v>
      </c>
      <c r="I243" s="91">
        <f t="shared" si="5"/>
        <v>0</v>
      </c>
    </row>
    <row r="244">
      <c r="A244" s="73"/>
      <c r="B244" s="92" t="str">
        <f>IF('Promedio salarial'!L247="","",'Promedio salarial'!L247)</f>
        <v/>
      </c>
      <c r="C244" s="92" t="str">
        <f>IF('Promedio salarial'!M247="","",'Promedio salarial'!M247)</f>
        <v/>
      </c>
      <c r="D244" s="93" t="str">
        <f>IF('Promedio salarial'!N247="","",'Promedio salarial'!N247)</f>
        <v/>
      </c>
      <c r="E244" s="89">
        <f t="shared" si="1"/>
        <v>0</v>
      </c>
      <c r="F244" s="89">
        <f t="shared" si="2"/>
        <v>0</v>
      </c>
      <c r="G244" s="90">
        <f t="shared" si="3"/>
        <v>0</v>
      </c>
      <c r="H244" s="90">
        <f t="shared" si="4"/>
        <v>0</v>
      </c>
      <c r="I244" s="91">
        <f t="shared" si="5"/>
        <v>0</v>
      </c>
    </row>
    <row r="245">
      <c r="A245" s="73"/>
      <c r="B245" s="92" t="str">
        <f>IF('Promedio salarial'!L248="","",'Promedio salarial'!L248)</f>
        <v/>
      </c>
      <c r="C245" s="92" t="str">
        <f>IF('Promedio salarial'!M248="","",'Promedio salarial'!M248)</f>
        <v/>
      </c>
      <c r="D245" s="93" t="str">
        <f>IF('Promedio salarial'!N248="","",'Promedio salarial'!N248)</f>
        <v/>
      </c>
      <c r="E245" s="89">
        <f t="shared" si="1"/>
        <v>0</v>
      </c>
      <c r="F245" s="89">
        <f t="shared" si="2"/>
        <v>0</v>
      </c>
      <c r="G245" s="90">
        <f t="shared" si="3"/>
        <v>0</v>
      </c>
      <c r="H245" s="90">
        <f t="shared" si="4"/>
        <v>0</v>
      </c>
      <c r="I245" s="91">
        <f t="shared" si="5"/>
        <v>0</v>
      </c>
    </row>
    <row r="246">
      <c r="A246" s="73"/>
      <c r="B246" s="92" t="str">
        <f>IF('Promedio salarial'!L249="","",'Promedio salarial'!L249)</f>
        <v/>
      </c>
      <c r="C246" s="92" t="str">
        <f>IF('Promedio salarial'!M249="","",'Promedio salarial'!M249)</f>
        <v/>
      </c>
      <c r="D246" s="93" t="str">
        <f>IF('Promedio salarial'!N249="","",'Promedio salarial'!N249)</f>
        <v/>
      </c>
      <c r="E246" s="89">
        <f t="shared" si="1"/>
        <v>0</v>
      </c>
      <c r="F246" s="89">
        <f t="shared" si="2"/>
        <v>0</v>
      </c>
      <c r="G246" s="90">
        <f t="shared" si="3"/>
        <v>0</v>
      </c>
      <c r="H246" s="90">
        <f t="shared" si="4"/>
        <v>0</v>
      </c>
      <c r="I246" s="91">
        <f t="shared" si="5"/>
        <v>0</v>
      </c>
    </row>
    <row r="247">
      <c r="A247" s="73"/>
      <c r="B247" s="92" t="str">
        <f>IF('Promedio salarial'!L250="","",'Promedio salarial'!L250)</f>
        <v/>
      </c>
      <c r="C247" s="92" t="str">
        <f>IF('Promedio salarial'!M250="","",'Promedio salarial'!M250)</f>
        <v/>
      </c>
      <c r="D247" s="93" t="str">
        <f>IF('Promedio salarial'!N250="","",'Promedio salarial'!N250)</f>
        <v/>
      </c>
      <c r="E247" s="89">
        <f t="shared" si="1"/>
        <v>0</v>
      </c>
      <c r="F247" s="89">
        <f t="shared" si="2"/>
        <v>0</v>
      </c>
      <c r="G247" s="90">
        <f t="shared" si="3"/>
        <v>0</v>
      </c>
      <c r="H247" s="90">
        <f t="shared" si="4"/>
        <v>0</v>
      </c>
      <c r="I247" s="91">
        <f t="shared" si="5"/>
        <v>0</v>
      </c>
    </row>
    <row r="248">
      <c r="A248" s="73"/>
      <c r="B248" s="92" t="str">
        <f>IF('Promedio salarial'!L251="","",'Promedio salarial'!L251)</f>
        <v/>
      </c>
      <c r="C248" s="92" t="str">
        <f>IF('Promedio salarial'!M251="","",'Promedio salarial'!M251)</f>
        <v/>
      </c>
      <c r="D248" s="93" t="str">
        <f>IF('Promedio salarial'!N251="","",'Promedio salarial'!N251)</f>
        <v/>
      </c>
      <c r="E248" s="89">
        <f t="shared" si="1"/>
        <v>0</v>
      </c>
      <c r="F248" s="89">
        <f t="shared" si="2"/>
        <v>0</v>
      </c>
      <c r="G248" s="90">
        <f t="shared" si="3"/>
        <v>0</v>
      </c>
      <c r="H248" s="90">
        <f t="shared" si="4"/>
        <v>0</v>
      </c>
      <c r="I248" s="91">
        <f t="shared" si="5"/>
        <v>0</v>
      </c>
    </row>
    <row r="249">
      <c r="A249" s="73"/>
      <c r="B249" s="92" t="str">
        <f>IF('Promedio salarial'!L252="","",'Promedio salarial'!L252)</f>
        <v/>
      </c>
      <c r="C249" s="92" t="str">
        <f>IF('Promedio salarial'!M252="","",'Promedio salarial'!M252)</f>
        <v/>
      </c>
      <c r="D249" s="93" t="str">
        <f>IF('Promedio salarial'!N252="","",'Promedio salarial'!N252)</f>
        <v/>
      </c>
      <c r="E249" s="89">
        <f t="shared" si="1"/>
        <v>0</v>
      </c>
      <c r="F249" s="89">
        <f t="shared" si="2"/>
        <v>0</v>
      </c>
      <c r="G249" s="90">
        <f t="shared" si="3"/>
        <v>0</v>
      </c>
      <c r="H249" s="90">
        <f t="shared" si="4"/>
        <v>0</v>
      </c>
      <c r="I249" s="91">
        <f t="shared" si="5"/>
        <v>0</v>
      </c>
    </row>
    <row r="250">
      <c r="A250" s="73"/>
      <c r="B250" s="92" t="str">
        <f>IF('Promedio salarial'!L253="","",'Promedio salarial'!L253)</f>
        <v/>
      </c>
      <c r="C250" s="92" t="str">
        <f>IF('Promedio salarial'!M253="","",'Promedio salarial'!M253)</f>
        <v/>
      </c>
      <c r="D250" s="93" t="str">
        <f>IF('Promedio salarial'!N253="","",'Promedio salarial'!N253)</f>
        <v/>
      </c>
      <c r="E250" s="89">
        <f t="shared" si="1"/>
        <v>0</v>
      </c>
      <c r="F250" s="89">
        <f t="shared" si="2"/>
        <v>0</v>
      </c>
      <c r="G250" s="90">
        <f t="shared" si="3"/>
        <v>0</v>
      </c>
      <c r="H250" s="90">
        <f t="shared" si="4"/>
        <v>0</v>
      </c>
      <c r="I250" s="91">
        <f t="shared" si="5"/>
        <v>0</v>
      </c>
    </row>
    <row r="251">
      <c r="A251" s="73"/>
      <c r="B251" s="92" t="str">
        <f>IF('Promedio salarial'!L254="","",'Promedio salarial'!L254)</f>
        <v/>
      </c>
      <c r="C251" s="92" t="str">
        <f>IF('Promedio salarial'!M254="","",'Promedio salarial'!M254)</f>
        <v/>
      </c>
      <c r="D251" s="93" t="str">
        <f>IF('Promedio salarial'!N254="","",'Promedio salarial'!N254)</f>
        <v/>
      </c>
      <c r="E251" s="89">
        <f t="shared" si="1"/>
        <v>0</v>
      </c>
      <c r="F251" s="89">
        <f t="shared" si="2"/>
        <v>0</v>
      </c>
      <c r="G251" s="90">
        <f t="shared" si="3"/>
        <v>0</v>
      </c>
      <c r="H251" s="90">
        <f t="shared" si="4"/>
        <v>0</v>
      </c>
      <c r="I251" s="91">
        <f t="shared" si="5"/>
        <v>0</v>
      </c>
    </row>
    <row r="252">
      <c r="A252" s="73"/>
      <c r="B252" s="92" t="str">
        <f>IF('Promedio salarial'!L255="","",'Promedio salarial'!L255)</f>
        <v/>
      </c>
      <c r="C252" s="92" t="str">
        <f>IF('Promedio salarial'!M255="","",'Promedio salarial'!M255)</f>
        <v/>
      </c>
      <c r="D252" s="93" t="str">
        <f>IF('Promedio salarial'!N255="","",'Promedio salarial'!N255)</f>
        <v/>
      </c>
      <c r="E252" s="89">
        <f t="shared" si="1"/>
        <v>0</v>
      </c>
      <c r="F252" s="89">
        <f t="shared" si="2"/>
        <v>0</v>
      </c>
      <c r="G252" s="90">
        <f t="shared" si="3"/>
        <v>0</v>
      </c>
      <c r="H252" s="90">
        <f t="shared" si="4"/>
        <v>0</v>
      </c>
      <c r="I252" s="91">
        <f t="shared" si="5"/>
        <v>0</v>
      </c>
    </row>
    <row r="253">
      <c r="A253" s="73"/>
      <c r="B253" s="92" t="str">
        <f>IF('Promedio salarial'!L256="","",'Promedio salarial'!L256)</f>
        <v/>
      </c>
      <c r="C253" s="92" t="str">
        <f>IF('Promedio salarial'!M256="","",'Promedio salarial'!M256)</f>
        <v/>
      </c>
      <c r="D253" s="93" t="str">
        <f>IF('Promedio salarial'!N256="","",'Promedio salarial'!N256)</f>
        <v/>
      </c>
      <c r="E253" s="89">
        <f t="shared" si="1"/>
        <v>0</v>
      </c>
      <c r="F253" s="89">
        <f t="shared" si="2"/>
        <v>0</v>
      </c>
      <c r="G253" s="90">
        <f t="shared" si="3"/>
        <v>0</v>
      </c>
      <c r="H253" s="90">
        <f t="shared" si="4"/>
        <v>0</v>
      </c>
      <c r="I253" s="91">
        <f t="shared" si="5"/>
        <v>0</v>
      </c>
    </row>
    <row r="254">
      <c r="A254" s="73"/>
      <c r="B254" s="92" t="str">
        <f>IF('Promedio salarial'!L257="","",'Promedio salarial'!L257)</f>
        <v/>
      </c>
      <c r="C254" s="92" t="str">
        <f>IF('Promedio salarial'!M257="","",'Promedio salarial'!M257)</f>
        <v/>
      </c>
      <c r="D254" s="93" t="str">
        <f>IF('Promedio salarial'!N257="","",'Promedio salarial'!N257)</f>
        <v/>
      </c>
      <c r="E254" s="89">
        <f t="shared" si="1"/>
        <v>0</v>
      </c>
      <c r="F254" s="89">
        <f t="shared" si="2"/>
        <v>0</v>
      </c>
      <c r="G254" s="90">
        <f t="shared" si="3"/>
        <v>0</v>
      </c>
      <c r="H254" s="90">
        <f t="shared" si="4"/>
        <v>0</v>
      </c>
      <c r="I254" s="91">
        <f t="shared" si="5"/>
        <v>0</v>
      </c>
    </row>
    <row r="255">
      <c r="A255" s="73"/>
      <c r="B255" s="92" t="str">
        <f>IF('Promedio salarial'!L258="","",'Promedio salarial'!L258)</f>
        <v/>
      </c>
      <c r="C255" s="92" t="str">
        <f>IF('Promedio salarial'!M258="","",'Promedio salarial'!M258)</f>
        <v/>
      </c>
      <c r="D255" s="93" t="str">
        <f>IF('Promedio salarial'!N258="","",'Promedio salarial'!N258)</f>
        <v/>
      </c>
      <c r="E255" s="89">
        <f t="shared" si="1"/>
        <v>0</v>
      </c>
      <c r="F255" s="89">
        <f t="shared" si="2"/>
        <v>0</v>
      </c>
      <c r="G255" s="90">
        <f t="shared" si="3"/>
        <v>0</v>
      </c>
      <c r="H255" s="90">
        <f t="shared" si="4"/>
        <v>0</v>
      </c>
      <c r="I255" s="91">
        <f t="shared" si="5"/>
        <v>0</v>
      </c>
    </row>
    <row r="256">
      <c r="A256" s="73"/>
      <c r="B256" s="92" t="str">
        <f>IF('Promedio salarial'!L259="","",'Promedio salarial'!L259)</f>
        <v/>
      </c>
      <c r="C256" s="92" t="str">
        <f>IF('Promedio salarial'!M259="","",'Promedio salarial'!M259)</f>
        <v/>
      </c>
      <c r="D256" s="93" t="str">
        <f>IF('Promedio salarial'!N259="","",'Promedio salarial'!N259)</f>
        <v/>
      </c>
      <c r="E256" s="89">
        <f t="shared" si="1"/>
        <v>0</v>
      </c>
      <c r="F256" s="89">
        <f t="shared" si="2"/>
        <v>0</v>
      </c>
      <c r="G256" s="90">
        <f t="shared" si="3"/>
        <v>0</v>
      </c>
      <c r="H256" s="90">
        <f t="shared" si="4"/>
        <v>0</v>
      </c>
      <c r="I256" s="91">
        <f t="shared" si="5"/>
        <v>0</v>
      </c>
    </row>
    <row r="257">
      <c r="A257" s="73"/>
      <c r="B257" s="92" t="str">
        <f>IF('Promedio salarial'!L260="","",'Promedio salarial'!L260)</f>
        <v/>
      </c>
      <c r="C257" s="92" t="str">
        <f>IF('Promedio salarial'!M260="","",'Promedio salarial'!M260)</f>
        <v/>
      </c>
      <c r="D257" s="93" t="str">
        <f>IF('Promedio salarial'!N260="","",'Promedio salarial'!N260)</f>
        <v/>
      </c>
      <c r="E257" s="89">
        <f t="shared" si="1"/>
        <v>0</v>
      </c>
      <c r="F257" s="89">
        <f t="shared" si="2"/>
        <v>0</v>
      </c>
      <c r="G257" s="90">
        <f t="shared" si="3"/>
        <v>0</v>
      </c>
      <c r="H257" s="90">
        <f t="shared" si="4"/>
        <v>0</v>
      </c>
      <c r="I257" s="91">
        <f t="shared" si="5"/>
        <v>0</v>
      </c>
    </row>
    <row r="258">
      <c r="A258" s="73"/>
      <c r="B258" s="92" t="str">
        <f>IF('Promedio salarial'!L261="","",'Promedio salarial'!L261)</f>
        <v/>
      </c>
      <c r="C258" s="92" t="str">
        <f>IF('Promedio salarial'!M261="","",'Promedio salarial'!M261)</f>
        <v/>
      </c>
      <c r="D258" s="93" t="str">
        <f>IF('Promedio salarial'!N261="","",'Promedio salarial'!N261)</f>
        <v/>
      </c>
      <c r="E258" s="89">
        <f t="shared" si="1"/>
        <v>0</v>
      </c>
      <c r="F258" s="89">
        <f t="shared" si="2"/>
        <v>0</v>
      </c>
      <c r="G258" s="90">
        <f t="shared" si="3"/>
        <v>0</v>
      </c>
      <c r="H258" s="90">
        <f t="shared" si="4"/>
        <v>0</v>
      </c>
      <c r="I258" s="91">
        <f t="shared" si="5"/>
        <v>0</v>
      </c>
    </row>
    <row r="259">
      <c r="A259" s="73"/>
      <c r="B259" s="92" t="str">
        <f>IF('Promedio salarial'!L262="","",'Promedio salarial'!L262)</f>
        <v/>
      </c>
      <c r="C259" s="92" t="str">
        <f>IF('Promedio salarial'!M262="","",'Promedio salarial'!M262)</f>
        <v/>
      </c>
      <c r="D259" s="93" t="str">
        <f>IF('Promedio salarial'!N262="","",'Promedio salarial'!N262)</f>
        <v/>
      </c>
      <c r="E259" s="89">
        <f t="shared" si="1"/>
        <v>0</v>
      </c>
      <c r="F259" s="89">
        <f t="shared" si="2"/>
        <v>0</v>
      </c>
      <c r="G259" s="90">
        <f t="shared" si="3"/>
        <v>0</v>
      </c>
      <c r="H259" s="90">
        <f t="shared" si="4"/>
        <v>0</v>
      </c>
      <c r="I259" s="91">
        <f t="shared" si="5"/>
        <v>0</v>
      </c>
    </row>
    <row r="260">
      <c r="A260" s="73"/>
      <c r="B260" s="92" t="str">
        <f>IF('Promedio salarial'!L263="","",'Promedio salarial'!L263)</f>
        <v/>
      </c>
      <c r="C260" s="92" t="str">
        <f>IF('Promedio salarial'!M263="","",'Promedio salarial'!M263)</f>
        <v/>
      </c>
      <c r="D260" s="93" t="str">
        <f>IF('Promedio salarial'!N263="","",'Promedio salarial'!N263)</f>
        <v/>
      </c>
      <c r="E260" s="89">
        <f t="shared" si="1"/>
        <v>0</v>
      </c>
      <c r="F260" s="89">
        <f t="shared" si="2"/>
        <v>0</v>
      </c>
      <c r="G260" s="90">
        <f t="shared" si="3"/>
        <v>0</v>
      </c>
      <c r="H260" s="90">
        <f t="shared" si="4"/>
        <v>0</v>
      </c>
      <c r="I260" s="91">
        <f t="shared" si="5"/>
        <v>0</v>
      </c>
    </row>
    <row r="261">
      <c r="A261" s="73"/>
      <c r="B261" s="92" t="str">
        <f>IF('Promedio salarial'!L264="","",'Promedio salarial'!L264)</f>
        <v/>
      </c>
      <c r="C261" s="92" t="str">
        <f>IF('Promedio salarial'!M264="","",'Promedio salarial'!M264)</f>
        <v/>
      </c>
      <c r="D261" s="93" t="str">
        <f>IF('Promedio salarial'!N264="","",'Promedio salarial'!N264)</f>
        <v/>
      </c>
      <c r="E261" s="89">
        <f t="shared" si="1"/>
        <v>0</v>
      </c>
      <c r="F261" s="89">
        <f t="shared" si="2"/>
        <v>0</v>
      </c>
      <c r="G261" s="90">
        <f t="shared" si="3"/>
        <v>0</v>
      </c>
      <c r="H261" s="90">
        <f t="shared" si="4"/>
        <v>0</v>
      </c>
      <c r="I261" s="91">
        <f t="shared" si="5"/>
        <v>0</v>
      </c>
    </row>
    <row r="262">
      <c r="A262" s="73"/>
      <c r="B262" s="92" t="str">
        <f>IF('Promedio salarial'!L265="","",'Promedio salarial'!L265)</f>
        <v/>
      </c>
      <c r="C262" s="92" t="str">
        <f>IF('Promedio salarial'!M265="","",'Promedio salarial'!M265)</f>
        <v/>
      </c>
      <c r="D262" s="93" t="str">
        <f>IF('Promedio salarial'!N265="","",'Promedio salarial'!N265)</f>
        <v/>
      </c>
      <c r="E262" s="89">
        <f t="shared" si="1"/>
        <v>0</v>
      </c>
      <c r="F262" s="89">
        <f t="shared" si="2"/>
        <v>0</v>
      </c>
      <c r="G262" s="90">
        <f t="shared" si="3"/>
        <v>0</v>
      </c>
      <c r="H262" s="90">
        <f t="shared" si="4"/>
        <v>0</v>
      </c>
      <c r="I262" s="91">
        <f t="shared" si="5"/>
        <v>0</v>
      </c>
    </row>
    <row r="263">
      <c r="A263" s="73"/>
      <c r="B263" s="92" t="str">
        <f>IF('Promedio salarial'!L266="","",'Promedio salarial'!L266)</f>
        <v/>
      </c>
      <c r="C263" s="92" t="str">
        <f>IF('Promedio salarial'!M266="","",'Promedio salarial'!M266)</f>
        <v/>
      </c>
      <c r="D263" s="93" t="str">
        <f>IF('Promedio salarial'!N266="","",'Promedio salarial'!N266)</f>
        <v/>
      </c>
      <c r="E263" s="89">
        <f t="shared" si="1"/>
        <v>0</v>
      </c>
      <c r="F263" s="89">
        <f t="shared" si="2"/>
        <v>0</v>
      </c>
      <c r="G263" s="90">
        <f t="shared" si="3"/>
        <v>0</v>
      </c>
      <c r="H263" s="90">
        <f t="shared" si="4"/>
        <v>0</v>
      </c>
      <c r="I263" s="91">
        <f t="shared" si="5"/>
        <v>0</v>
      </c>
    </row>
    <row r="264">
      <c r="A264" s="73"/>
      <c r="B264" s="92" t="str">
        <f>IF('Promedio salarial'!L267="","",'Promedio salarial'!L267)</f>
        <v/>
      </c>
      <c r="C264" s="92" t="str">
        <f>IF('Promedio salarial'!M267="","",'Promedio salarial'!M267)</f>
        <v/>
      </c>
      <c r="D264" s="93" t="str">
        <f>IF('Promedio salarial'!N267="","",'Promedio salarial'!N267)</f>
        <v/>
      </c>
      <c r="E264" s="89">
        <f t="shared" si="1"/>
        <v>0</v>
      </c>
      <c r="F264" s="89">
        <f t="shared" si="2"/>
        <v>0</v>
      </c>
      <c r="G264" s="90">
        <f t="shared" si="3"/>
        <v>0</v>
      </c>
      <c r="H264" s="90">
        <f t="shared" si="4"/>
        <v>0</v>
      </c>
      <c r="I264" s="91">
        <f t="shared" si="5"/>
        <v>0</v>
      </c>
    </row>
    <row r="265">
      <c r="A265" s="73"/>
      <c r="B265" s="92" t="str">
        <f>IF('Promedio salarial'!L268="","",'Promedio salarial'!L268)</f>
        <v/>
      </c>
      <c r="C265" s="92" t="str">
        <f>IF('Promedio salarial'!M268="","",'Promedio salarial'!M268)</f>
        <v/>
      </c>
      <c r="D265" s="93" t="str">
        <f>IF('Promedio salarial'!N268="","",'Promedio salarial'!N268)</f>
        <v/>
      </c>
      <c r="E265" s="89">
        <f t="shared" si="1"/>
        <v>0</v>
      </c>
      <c r="F265" s="89">
        <f t="shared" si="2"/>
        <v>0</v>
      </c>
      <c r="G265" s="90">
        <f t="shared" si="3"/>
        <v>0</v>
      </c>
      <c r="H265" s="90">
        <f t="shared" si="4"/>
        <v>0</v>
      </c>
      <c r="I265" s="91">
        <f t="shared" si="5"/>
        <v>0</v>
      </c>
    </row>
    <row r="266">
      <c r="A266" s="73"/>
      <c r="B266" s="94"/>
      <c r="C266" s="95"/>
      <c r="D266" s="96" t="s">
        <v>28</v>
      </c>
      <c r="E266" s="97">
        <v>0.0</v>
      </c>
      <c r="F266" s="97">
        <v>0.0</v>
      </c>
      <c r="G266" s="73"/>
      <c r="H266" s="73"/>
      <c r="I266" s="98" t="s">
        <v>29</v>
      </c>
    </row>
    <row r="267">
      <c r="A267" s="73"/>
      <c r="B267" s="99"/>
      <c r="C267" s="99"/>
      <c r="D267" s="100" t="s">
        <v>30</v>
      </c>
      <c r="E267" s="99"/>
      <c r="F267" s="99"/>
      <c r="G267" s="73"/>
      <c r="H267" s="73"/>
      <c r="I267" s="101" t="s">
        <v>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02"/>
      <c r="B3" s="103" t="s">
        <v>31</v>
      </c>
      <c r="E3" s="102"/>
      <c r="F3" s="102"/>
      <c r="G3" s="104" t="s">
        <v>32</v>
      </c>
      <c r="H3" s="102"/>
      <c r="I3" s="105" t="s">
        <v>33</v>
      </c>
      <c r="L3" s="106"/>
      <c r="M3" s="102"/>
      <c r="N3" s="102"/>
      <c r="O3" s="102"/>
      <c r="P3" s="102"/>
      <c r="Q3" s="102"/>
      <c r="R3" s="102"/>
    </row>
    <row r="4">
      <c r="A4" s="102"/>
      <c r="B4" s="104" t="s">
        <v>34</v>
      </c>
      <c r="C4" s="104" t="s">
        <v>35</v>
      </c>
      <c r="D4" s="102"/>
      <c r="E4" s="104" t="s">
        <v>36</v>
      </c>
      <c r="F4" s="104" t="s">
        <v>37</v>
      </c>
      <c r="G4" s="107" t="s">
        <v>38</v>
      </c>
      <c r="H4" s="108" t="s">
        <v>37</v>
      </c>
      <c r="I4" s="104" t="s">
        <v>39</v>
      </c>
      <c r="J4" s="108" t="s">
        <v>37</v>
      </c>
      <c r="K4" s="104" t="s">
        <v>40</v>
      </c>
      <c r="L4" s="108" t="s">
        <v>37</v>
      </c>
      <c r="M4" s="104" t="s">
        <v>41</v>
      </c>
      <c r="N4" s="104" t="s">
        <v>42</v>
      </c>
      <c r="O4" s="104" t="s">
        <v>37</v>
      </c>
      <c r="P4" s="104" t="s">
        <v>43</v>
      </c>
      <c r="Q4" s="104" t="s">
        <v>37</v>
      </c>
      <c r="R4" s="102"/>
    </row>
    <row r="5">
      <c r="A5" s="106">
        <f>IFERROR(YEAR(SalarioPromedio!B5),"")</f>
        <v>2026</v>
      </c>
      <c r="B5" s="109">
        <f>SalarioPromedio!D5</f>
        <v>330.57</v>
      </c>
      <c r="C5" s="110">
        <f>IF(SalarioPromedio!B5="",0,SalarioPromedio!C5-SalarioPromedio!B5+1)</f>
        <v>84</v>
      </c>
      <c r="D5" s="104">
        <f>IF(SalarioPromedio!B5="",0,C5*B5)</f>
        <v>27767.88</v>
      </c>
      <c r="E5" s="104">
        <f t="shared" ref="E5:E265" si="1">IFERROR(IF(VALUE(A5)&lt;1998,D5*0.02,0),0)</f>
        <v>0</v>
      </c>
      <c r="F5" s="104">
        <f t="shared" ref="F5:F265" si="2">IFERROR(IF(VALUE($A5)&gt;1996,(2026-$A5)*0.1048*E5,0),0)</f>
        <v>0</v>
      </c>
      <c r="G5" s="107">
        <f t="shared" ref="G5:G265" si="3">IFERROR(IF(VALUE(A5)&gt;1997,D5*0.02,0),0)</f>
        <v>555.3576</v>
      </c>
      <c r="H5" s="108">
        <f t="shared" ref="H5:H265" si="4">IFERROR(IF(VALUE($A5)&gt;1996,(2026-$A5)*0.1048*G5,0),0)</f>
        <v>0</v>
      </c>
      <c r="I5" s="104">
        <f t="shared" ref="I5:I265" si="5">IFERROR(IF(VALUE(A5)&gt;1997,D5*0.01125,0),0)</f>
        <v>312.38865</v>
      </c>
      <c r="J5" s="108">
        <f t="shared" ref="J5:J265" si="6">IFERROR(IF(VALUE($A5)&gt;1996,(2026-$A5)*0.1048*I5,0),0)</f>
        <v>0</v>
      </c>
      <c r="K5" s="111">
        <f t="shared" ref="K5:K265" si="7">IFERROR(IF(VALUE(A5)&lt;1997,0,IF(AND(VALUE(A5)&gt;1997),D5*0.0315,0)),0)</f>
        <v>874.68822</v>
      </c>
      <c r="L5" s="108">
        <f t="shared" ref="L5:L265" si="8">IFERROR(IF(VALUE($A5)&gt;1996,(2026-$A5)*0.1048*K5,0),0)</f>
        <v>0</v>
      </c>
      <c r="M5" s="102"/>
      <c r="N5" s="111">
        <f t="shared" ref="N5:N265" si="9">IFERROR(IF(VALUE(A5)&lt;1998,D5*0.05,0),0)</f>
        <v>0</v>
      </c>
      <c r="O5" s="111">
        <f t="shared" ref="O5:O265" si="10">IFERROR((2026-$A5)*0.1048*N5,0)</f>
        <v>0</v>
      </c>
      <c r="P5" s="111">
        <f t="shared" ref="P5:P265" si="11">IFERROR(IF(VALUE(A5)&gt;1997,D5*0.05,0),0)</f>
        <v>1388.394</v>
      </c>
      <c r="Q5" s="111">
        <f t="shared" ref="Q5:Q265" si="12">IFERROR((2026-$A5)*0.1048*P5,0)</f>
        <v>0</v>
      </c>
      <c r="R5" s="102"/>
    </row>
    <row r="6">
      <c r="A6" s="106">
        <f>IFERROR(YEAR(SalarioPromedio!B6),"")</f>
        <v>2025</v>
      </c>
      <c r="B6" s="109">
        <f>SalarioPromedio!D6</f>
        <v>292.54</v>
      </c>
      <c r="C6" s="105">
        <f>IF(SalarioPromedio!B6="",0,SalarioPromedio!C6-SalarioPromedio!B6+1)</f>
        <v>366</v>
      </c>
      <c r="D6" s="104">
        <f>IF(SalarioPromedio!B6="",0,C6*B6)</f>
        <v>107069.64</v>
      </c>
      <c r="E6" s="104">
        <f t="shared" si="1"/>
        <v>0</v>
      </c>
      <c r="F6" s="104">
        <f t="shared" si="2"/>
        <v>0</v>
      </c>
      <c r="G6" s="107">
        <f t="shared" si="3"/>
        <v>2141.3928</v>
      </c>
      <c r="H6" s="108">
        <f t="shared" si="4"/>
        <v>224.4179654</v>
      </c>
      <c r="I6" s="104">
        <f t="shared" si="5"/>
        <v>1204.53345</v>
      </c>
      <c r="J6" s="108">
        <f t="shared" si="6"/>
        <v>126.2351056</v>
      </c>
      <c r="K6" s="111">
        <f t="shared" si="7"/>
        <v>3372.69366</v>
      </c>
      <c r="L6" s="108">
        <f t="shared" si="8"/>
        <v>353.4582956</v>
      </c>
      <c r="M6" s="102"/>
      <c r="N6" s="111">
        <f t="shared" si="9"/>
        <v>0</v>
      </c>
      <c r="O6" s="111">
        <f t="shared" si="10"/>
        <v>0</v>
      </c>
      <c r="P6" s="111">
        <f t="shared" si="11"/>
        <v>5353.482</v>
      </c>
      <c r="Q6" s="111">
        <f t="shared" si="12"/>
        <v>561.0449136</v>
      </c>
      <c r="R6" s="102"/>
    </row>
    <row r="7">
      <c r="A7" s="106">
        <f>IFERROR(YEAR(SalarioPromedio!B7),"")</f>
        <v>2024</v>
      </c>
      <c r="B7" s="109">
        <f>SalarioPromedio!D7</f>
        <v>261.2</v>
      </c>
      <c r="C7" s="105">
        <f>IF(SalarioPromedio!B7="",0,SalarioPromedio!C7-SalarioPromedio!B7+1)</f>
        <v>367</v>
      </c>
      <c r="D7" s="104">
        <f>IF(SalarioPromedio!B7="",0,C7*B7)</f>
        <v>95860.4</v>
      </c>
      <c r="E7" s="104">
        <f t="shared" si="1"/>
        <v>0</v>
      </c>
      <c r="F7" s="104">
        <f t="shared" si="2"/>
        <v>0</v>
      </c>
      <c r="G7" s="107">
        <f t="shared" si="3"/>
        <v>1917.208</v>
      </c>
      <c r="H7" s="108">
        <f t="shared" si="4"/>
        <v>401.8467968</v>
      </c>
      <c r="I7" s="104">
        <f t="shared" si="5"/>
        <v>1078.4295</v>
      </c>
      <c r="J7" s="108">
        <f t="shared" si="6"/>
        <v>226.0388232</v>
      </c>
      <c r="K7" s="111">
        <f t="shared" si="7"/>
        <v>3019.6026</v>
      </c>
      <c r="L7" s="108">
        <f t="shared" si="8"/>
        <v>632.908705</v>
      </c>
      <c r="M7" s="102"/>
      <c r="N7" s="111">
        <f t="shared" si="9"/>
        <v>0</v>
      </c>
      <c r="O7" s="111">
        <f t="shared" si="10"/>
        <v>0</v>
      </c>
      <c r="P7" s="111">
        <f t="shared" si="11"/>
        <v>4793.02</v>
      </c>
      <c r="Q7" s="111">
        <f t="shared" si="12"/>
        <v>1004.616992</v>
      </c>
      <c r="R7" s="102"/>
    </row>
    <row r="8">
      <c r="A8" s="106">
        <f>IFERROR(YEAR(SalarioPromedio!B8),"")</f>
        <v>2023</v>
      </c>
      <c r="B8" s="109">
        <f>SalarioPromedio!D8</f>
        <v>217.67</v>
      </c>
      <c r="C8" s="105">
        <f>IF(SalarioPromedio!B8="",0,SalarioPromedio!C8-SalarioPromedio!B8+1)</f>
        <v>366</v>
      </c>
      <c r="D8" s="104">
        <f>IF(SalarioPromedio!B8="",0,C8*B8)</f>
        <v>79667.22</v>
      </c>
      <c r="E8" s="104">
        <f t="shared" si="1"/>
        <v>0</v>
      </c>
      <c r="F8" s="104">
        <f t="shared" si="2"/>
        <v>0</v>
      </c>
      <c r="G8" s="107">
        <f t="shared" si="3"/>
        <v>1593.3444</v>
      </c>
      <c r="H8" s="108">
        <f t="shared" si="4"/>
        <v>500.9474794</v>
      </c>
      <c r="I8" s="104">
        <f t="shared" si="5"/>
        <v>896.256225</v>
      </c>
      <c r="J8" s="108">
        <f t="shared" si="6"/>
        <v>281.7829571</v>
      </c>
      <c r="K8" s="111">
        <f t="shared" si="7"/>
        <v>2509.51743</v>
      </c>
      <c r="L8" s="108">
        <f t="shared" si="8"/>
        <v>788.99228</v>
      </c>
      <c r="M8" s="102"/>
      <c r="N8" s="111">
        <f t="shared" si="9"/>
        <v>0</v>
      </c>
      <c r="O8" s="111">
        <f t="shared" si="10"/>
        <v>0</v>
      </c>
      <c r="P8" s="111">
        <f t="shared" si="11"/>
        <v>3983.361</v>
      </c>
      <c r="Q8" s="111">
        <f t="shared" si="12"/>
        <v>1252.368698</v>
      </c>
      <c r="R8" s="102"/>
    </row>
    <row r="9">
      <c r="A9" s="106">
        <f>IFERROR(YEAR(SalarioPromedio!B9),"")</f>
        <v>2018</v>
      </c>
      <c r="B9" s="109">
        <f>SalarioPromedio!D9</f>
        <v>184.71</v>
      </c>
      <c r="C9" s="105">
        <f>IF(SalarioPromedio!B9="",0,SalarioPromedio!C9-SalarioPromedio!B9+1)</f>
        <v>1493</v>
      </c>
      <c r="D9" s="104">
        <f>IF(SalarioPromedio!B9="",0,C9*B9)</f>
        <v>275772.03</v>
      </c>
      <c r="E9" s="104">
        <f t="shared" si="1"/>
        <v>0</v>
      </c>
      <c r="F9" s="104">
        <f t="shared" si="2"/>
        <v>0</v>
      </c>
      <c r="G9" s="107">
        <f t="shared" si="3"/>
        <v>5515.4406</v>
      </c>
      <c r="H9" s="108">
        <f t="shared" si="4"/>
        <v>4624.145399</v>
      </c>
      <c r="I9" s="104">
        <f t="shared" si="5"/>
        <v>3102.435338</v>
      </c>
      <c r="J9" s="108">
        <f t="shared" si="6"/>
        <v>2601.081787</v>
      </c>
      <c r="K9" s="111">
        <f t="shared" si="7"/>
        <v>8686.818945</v>
      </c>
      <c r="L9" s="108">
        <f t="shared" si="8"/>
        <v>7283.029003</v>
      </c>
      <c r="M9" s="102"/>
      <c r="N9" s="111">
        <f t="shared" si="9"/>
        <v>0</v>
      </c>
      <c r="O9" s="111">
        <f t="shared" si="10"/>
        <v>0</v>
      </c>
      <c r="P9" s="111">
        <f t="shared" si="11"/>
        <v>13788.6015</v>
      </c>
      <c r="Q9" s="111">
        <f t="shared" si="12"/>
        <v>11560.3635</v>
      </c>
      <c r="R9" s="102"/>
    </row>
    <row r="10">
      <c r="A10" s="106">
        <f>IFERROR(YEAR(SalarioPromedio!B10),"")</f>
        <v>2001</v>
      </c>
      <c r="B10" s="109">
        <f>SalarioPromedio!D10</f>
        <v>263.02</v>
      </c>
      <c r="C10" s="105">
        <f>IF(SalarioPromedio!B10="",0,SalarioPromedio!C10-SalarioPromedio!B10+1)</f>
        <v>488</v>
      </c>
      <c r="D10" s="104">
        <f>IF(SalarioPromedio!B10="",0,C10*B10)</f>
        <v>128353.76</v>
      </c>
      <c r="E10" s="104">
        <f t="shared" si="1"/>
        <v>0</v>
      </c>
      <c r="F10" s="104">
        <f t="shared" si="2"/>
        <v>0</v>
      </c>
      <c r="G10" s="107">
        <f t="shared" si="3"/>
        <v>2567.0752</v>
      </c>
      <c r="H10" s="108">
        <f t="shared" si="4"/>
        <v>6725.737024</v>
      </c>
      <c r="I10" s="104">
        <f t="shared" si="5"/>
        <v>1443.9798</v>
      </c>
      <c r="J10" s="108">
        <f t="shared" si="6"/>
        <v>3783.227076</v>
      </c>
      <c r="K10" s="111">
        <f t="shared" si="7"/>
        <v>4043.14344</v>
      </c>
      <c r="L10" s="108">
        <f t="shared" si="8"/>
        <v>10593.03581</v>
      </c>
      <c r="M10" s="102"/>
      <c r="N10" s="111">
        <f t="shared" si="9"/>
        <v>0</v>
      </c>
      <c r="O10" s="111">
        <f t="shared" si="10"/>
        <v>0</v>
      </c>
      <c r="P10" s="111">
        <f t="shared" si="11"/>
        <v>6417.688</v>
      </c>
      <c r="Q10" s="111">
        <f t="shared" si="12"/>
        <v>16814.34256</v>
      </c>
      <c r="R10" s="102"/>
    </row>
    <row r="11">
      <c r="A11" s="106">
        <f>IFERROR(YEAR(SalarioPromedio!B11),"")</f>
        <v>2001</v>
      </c>
      <c r="B11" s="109">
        <f>SalarioPromedio!D11</f>
        <v>262.68</v>
      </c>
      <c r="C11" s="105">
        <f>IF(SalarioPromedio!B11="",0,SalarioPromedio!C11-SalarioPromedio!B11+1)</f>
        <v>151</v>
      </c>
      <c r="D11" s="104">
        <f>IF(SalarioPromedio!B11="",0,C11*B11)</f>
        <v>39664.68</v>
      </c>
      <c r="E11" s="104">
        <f t="shared" si="1"/>
        <v>0</v>
      </c>
      <c r="F11" s="104">
        <f t="shared" si="2"/>
        <v>0</v>
      </c>
      <c r="G11" s="107">
        <f t="shared" si="3"/>
        <v>793.2936</v>
      </c>
      <c r="H11" s="108">
        <f t="shared" si="4"/>
        <v>2078.429232</v>
      </c>
      <c r="I11" s="104">
        <f t="shared" si="5"/>
        <v>446.22765</v>
      </c>
      <c r="J11" s="108">
        <f t="shared" si="6"/>
        <v>1169.116443</v>
      </c>
      <c r="K11" s="111">
        <f t="shared" si="7"/>
        <v>1249.43742</v>
      </c>
      <c r="L11" s="108">
        <f t="shared" si="8"/>
        <v>3273.52604</v>
      </c>
      <c r="M11" s="102"/>
      <c r="N11" s="111">
        <f t="shared" si="9"/>
        <v>0</v>
      </c>
      <c r="O11" s="111">
        <f t="shared" si="10"/>
        <v>0</v>
      </c>
      <c r="P11" s="111">
        <f t="shared" si="11"/>
        <v>1983.234</v>
      </c>
      <c r="Q11" s="111">
        <f t="shared" si="12"/>
        <v>5196.07308</v>
      </c>
      <c r="R11" s="102"/>
    </row>
    <row r="12">
      <c r="A12" s="106">
        <f>IFERROR(YEAR(SalarioPromedio!B12),"")</f>
        <v>2001</v>
      </c>
      <c r="B12" s="109">
        <f>SalarioPromedio!D12</f>
        <v>261.3</v>
      </c>
      <c r="C12" s="105">
        <f>IF(SalarioPromedio!B12="",0,SalarioPromedio!C12-SalarioPromedio!B12+1)</f>
        <v>63</v>
      </c>
      <c r="D12" s="104">
        <f>IF(SalarioPromedio!B12="",0,C12*B12)</f>
        <v>16461.9</v>
      </c>
      <c r="E12" s="104">
        <f t="shared" si="1"/>
        <v>0</v>
      </c>
      <c r="F12" s="104">
        <f t="shared" si="2"/>
        <v>0</v>
      </c>
      <c r="G12" s="107">
        <f t="shared" si="3"/>
        <v>329.238</v>
      </c>
      <c r="H12" s="108">
        <f t="shared" si="4"/>
        <v>862.60356</v>
      </c>
      <c r="I12" s="104">
        <f t="shared" si="5"/>
        <v>185.196375</v>
      </c>
      <c r="J12" s="108">
        <f t="shared" si="6"/>
        <v>485.2145025</v>
      </c>
      <c r="K12" s="111">
        <f t="shared" si="7"/>
        <v>518.54985</v>
      </c>
      <c r="L12" s="108">
        <f t="shared" si="8"/>
        <v>1358.600607</v>
      </c>
      <c r="M12" s="102"/>
      <c r="N12" s="111">
        <f t="shared" si="9"/>
        <v>0</v>
      </c>
      <c r="O12" s="111">
        <f t="shared" si="10"/>
        <v>0</v>
      </c>
      <c r="P12" s="111">
        <f t="shared" si="11"/>
        <v>823.095</v>
      </c>
      <c r="Q12" s="111">
        <f t="shared" si="12"/>
        <v>2156.5089</v>
      </c>
      <c r="R12" s="102"/>
    </row>
    <row r="13">
      <c r="A13" s="106">
        <f>IFERROR(YEAR(SalarioPromedio!B13),"")</f>
        <v>2000</v>
      </c>
      <c r="B13" s="109">
        <f>SalarioPromedio!D13</f>
        <v>230</v>
      </c>
      <c r="C13" s="105">
        <f>IF(SalarioPromedio!B13="",0,SalarioPromedio!C13-SalarioPromedio!B13+1)</f>
        <v>199</v>
      </c>
      <c r="D13" s="104">
        <f>IF(SalarioPromedio!B13="",0,C13*B13)</f>
        <v>45770</v>
      </c>
      <c r="E13" s="104">
        <f t="shared" si="1"/>
        <v>0</v>
      </c>
      <c r="F13" s="104">
        <f t="shared" si="2"/>
        <v>0</v>
      </c>
      <c r="G13" s="107">
        <f t="shared" si="3"/>
        <v>915.4</v>
      </c>
      <c r="H13" s="108">
        <f t="shared" si="4"/>
        <v>2494.28192</v>
      </c>
      <c r="I13" s="104">
        <f t="shared" si="5"/>
        <v>514.9125</v>
      </c>
      <c r="J13" s="108">
        <f t="shared" si="6"/>
        <v>1403.03358</v>
      </c>
      <c r="K13" s="111">
        <f t="shared" si="7"/>
        <v>1441.755</v>
      </c>
      <c r="L13" s="108">
        <f t="shared" si="8"/>
        <v>3928.494024</v>
      </c>
      <c r="M13" s="102"/>
      <c r="N13" s="111">
        <f t="shared" si="9"/>
        <v>0</v>
      </c>
      <c r="O13" s="111">
        <f t="shared" si="10"/>
        <v>0</v>
      </c>
      <c r="P13" s="111">
        <f t="shared" si="11"/>
        <v>2288.5</v>
      </c>
      <c r="Q13" s="111">
        <f t="shared" si="12"/>
        <v>6235.7048</v>
      </c>
      <c r="R13" s="102"/>
    </row>
    <row r="14">
      <c r="A14" s="106">
        <f>IFERROR(YEAR(SalarioPromedio!B14),"")</f>
        <v>1998</v>
      </c>
      <c r="B14" s="109">
        <f>SalarioPromedio!D14</f>
        <v>156.78</v>
      </c>
      <c r="C14" s="105">
        <f>IF(SalarioPromedio!B14="",0,SalarioPromedio!C14-SalarioPromedio!B14+1)</f>
        <v>860</v>
      </c>
      <c r="D14" s="104">
        <f>IF(SalarioPromedio!B14="",0,C14*B14)</f>
        <v>134830.8</v>
      </c>
      <c r="E14" s="104">
        <f t="shared" si="1"/>
        <v>0</v>
      </c>
      <c r="F14" s="104">
        <f t="shared" si="2"/>
        <v>0</v>
      </c>
      <c r="G14" s="107">
        <f t="shared" si="3"/>
        <v>2696.616</v>
      </c>
      <c r="H14" s="108">
        <f t="shared" si="4"/>
        <v>7912.94999</v>
      </c>
      <c r="I14" s="104">
        <f t="shared" si="5"/>
        <v>1516.8465</v>
      </c>
      <c r="J14" s="108">
        <f t="shared" si="6"/>
        <v>4451.03437</v>
      </c>
      <c r="K14" s="111">
        <f t="shared" si="7"/>
        <v>4247.1702</v>
      </c>
      <c r="L14" s="108">
        <f t="shared" si="8"/>
        <v>12462.89623</v>
      </c>
      <c r="M14" s="102"/>
      <c r="N14" s="111">
        <f t="shared" si="9"/>
        <v>0</v>
      </c>
      <c r="O14" s="111">
        <f t="shared" si="10"/>
        <v>0</v>
      </c>
      <c r="P14" s="111">
        <f t="shared" si="11"/>
        <v>6741.54</v>
      </c>
      <c r="Q14" s="111">
        <f t="shared" si="12"/>
        <v>19782.37498</v>
      </c>
      <c r="R14" s="102"/>
    </row>
    <row r="15">
      <c r="A15" s="106">
        <f>IFERROR(YEAR(SalarioPromedio!B15),"")</f>
        <v>1996</v>
      </c>
      <c r="B15" s="109">
        <f>SalarioPromedio!D15</f>
        <v>104.52</v>
      </c>
      <c r="C15" s="105">
        <f>IF(SalarioPromedio!B15="",0,SalarioPromedio!C15-SalarioPromedio!B15+1)</f>
        <v>487</v>
      </c>
      <c r="D15" s="104">
        <f>IF(SalarioPromedio!B15="",0,C15*B15)</f>
        <v>50901.24</v>
      </c>
      <c r="E15" s="104">
        <f t="shared" si="1"/>
        <v>1018.0248</v>
      </c>
      <c r="F15" s="104">
        <f t="shared" si="2"/>
        <v>0</v>
      </c>
      <c r="G15" s="107">
        <f t="shared" si="3"/>
        <v>0</v>
      </c>
      <c r="H15" s="108">
        <f t="shared" si="4"/>
        <v>0</v>
      </c>
      <c r="I15" s="104">
        <f t="shared" si="5"/>
        <v>0</v>
      </c>
      <c r="J15" s="108">
        <f t="shared" si="6"/>
        <v>0</v>
      </c>
      <c r="K15" s="111">
        <f t="shared" si="7"/>
        <v>0</v>
      </c>
      <c r="L15" s="108">
        <f t="shared" si="8"/>
        <v>0</v>
      </c>
      <c r="M15" s="102"/>
      <c r="N15" s="111">
        <f t="shared" si="9"/>
        <v>2545.062</v>
      </c>
      <c r="O15" s="111">
        <f t="shared" si="10"/>
        <v>8001.674928</v>
      </c>
      <c r="P15" s="111">
        <f t="shared" si="11"/>
        <v>0</v>
      </c>
      <c r="Q15" s="111">
        <f t="shared" si="12"/>
        <v>0</v>
      </c>
      <c r="R15" s="102"/>
    </row>
    <row r="16">
      <c r="A16" s="106">
        <f>IFERROR(YEAR(SalarioPromedio!B16),"")</f>
        <v>1995</v>
      </c>
      <c r="B16" s="109">
        <f>SalarioPromedio!D16</f>
        <v>70</v>
      </c>
      <c r="C16" s="105">
        <f>IF(SalarioPromedio!B16="",0,SalarioPromedio!C16-SalarioPromedio!B16+1)</f>
        <v>489</v>
      </c>
      <c r="D16" s="104">
        <f>IF(SalarioPromedio!B16="",0,C16*B16)</f>
        <v>34230</v>
      </c>
      <c r="E16" s="104">
        <f t="shared" si="1"/>
        <v>684.6</v>
      </c>
      <c r="F16" s="104">
        <f t="shared" si="2"/>
        <v>0</v>
      </c>
      <c r="G16" s="107">
        <f t="shared" si="3"/>
        <v>0</v>
      </c>
      <c r="H16" s="108">
        <f t="shared" si="4"/>
        <v>0</v>
      </c>
      <c r="I16" s="104">
        <f t="shared" si="5"/>
        <v>0</v>
      </c>
      <c r="J16" s="108">
        <f t="shared" si="6"/>
        <v>0</v>
      </c>
      <c r="K16" s="111">
        <f t="shared" si="7"/>
        <v>0</v>
      </c>
      <c r="L16" s="108">
        <f t="shared" si="8"/>
        <v>0</v>
      </c>
      <c r="M16" s="102"/>
      <c r="N16" s="111">
        <f t="shared" si="9"/>
        <v>1711.5</v>
      </c>
      <c r="O16" s="111">
        <f t="shared" si="10"/>
        <v>5560.3212</v>
      </c>
      <c r="P16" s="111">
        <f t="shared" si="11"/>
        <v>0</v>
      </c>
      <c r="Q16" s="111">
        <f t="shared" si="12"/>
        <v>0</v>
      </c>
      <c r="R16" s="102"/>
    </row>
    <row r="17">
      <c r="A17" s="106">
        <f>IFERROR(YEAR(SalarioPromedio!B17),"")</f>
        <v>1993</v>
      </c>
      <c r="B17" s="109">
        <f>SalarioPromedio!D17</f>
        <v>30.57</v>
      </c>
      <c r="C17" s="105">
        <f>IF(SalarioPromedio!B17="",0,SalarioPromedio!C17-SalarioPromedio!B17+1)</f>
        <v>19</v>
      </c>
      <c r="D17" s="104">
        <f>IF(SalarioPromedio!B17="",0,C17*B17)</f>
        <v>580.83</v>
      </c>
      <c r="E17" s="104">
        <f t="shared" si="1"/>
        <v>11.6166</v>
      </c>
      <c r="F17" s="104">
        <f t="shared" si="2"/>
        <v>0</v>
      </c>
      <c r="G17" s="107">
        <f t="shared" si="3"/>
        <v>0</v>
      </c>
      <c r="H17" s="108">
        <f t="shared" si="4"/>
        <v>0</v>
      </c>
      <c r="I17" s="104">
        <f t="shared" si="5"/>
        <v>0</v>
      </c>
      <c r="J17" s="108">
        <f t="shared" si="6"/>
        <v>0</v>
      </c>
      <c r="K17" s="111">
        <f t="shared" si="7"/>
        <v>0</v>
      </c>
      <c r="L17" s="108">
        <f t="shared" si="8"/>
        <v>0</v>
      </c>
      <c r="M17" s="102"/>
      <c r="N17" s="111">
        <f t="shared" si="9"/>
        <v>29.0415</v>
      </c>
      <c r="O17" s="111">
        <f t="shared" si="10"/>
        <v>100.4371236</v>
      </c>
      <c r="P17" s="111">
        <f t="shared" si="11"/>
        <v>0</v>
      </c>
      <c r="Q17" s="111">
        <f t="shared" si="12"/>
        <v>0</v>
      </c>
      <c r="R17" s="102"/>
    </row>
    <row r="18">
      <c r="A18" s="106">
        <f>IFERROR(YEAR(SalarioPromedio!B18),"")</f>
        <v>1899</v>
      </c>
      <c r="B18" s="106" t="str">
        <f>SalarioPromedio!D18</f>
        <v/>
      </c>
      <c r="C18" s="105">
        <f>IF(SalarioPromedio!B18="",0,SalarioPromedio!C18-SalarioPromedio!B18+1)</f>
        <v>0</v>
      </c>
      <c r="D18" s="104">
        <f>IF(SalarioPromedio!B18="",0,C18*B18)</f>
        <v>0</v>
      </c>
      <c r="E18" s="104">
        <f t="shared" si="1"/>
        <v>0</v>
      </c>
      <c r="F18" s="104">
        <f t="shared" si="2"/>
        <v>0</v>
      </c>
      <c r="G18" s="107">
        <f t="shared" si="3"/>
        <v>0</v>
      </c>
      <c r="H18" s="108">
        <f t="shared" si="4"/>
        <v>0</v>
      </c>
      <c r="I18" s="104">
        <f t="shared" si="5"/>
        <v>0</v>
      </c>
      <c r="J18" s="108">
        <f t="shared" si="6"/>
        <v>0</v>
      </c>
      <c r="K18" s="111">
        <f t="shared" si="7"/>
        <v>0</v>
      </c>
      <c r="L18" s="108">
        <f t="shared" si="8"/>
        <v>0</v>
      </c>
      <c r="M18" s="102"/>
      <c r="N18" s="111">
        <f t="shared" si="9"/>
        <v>0</v>
      </c>
      <c r="O18" s="111">
        <f t="shared" si="10"/>
        <v>0</v>
      </c>
      <c r="P18" s="111">
        <f t="shared" si="11"/>
        <v>0</v>
      </c>
      <c r="Q18" s="111">
        <f t="shared" si="12"/>
        <v>0</v>
      </c>
      <c r="R18" s="102"/>
    </row>
    <row r="19">
      <c r="A19" s="106">
        <f>IFERROR(YEAR(SalarioPromedio!B19),"")</f>
        <v>1899</v>
      </c>
      <c r="B19" s="106" t="str">
        <f>SalarioPromedio!D19</f>
        <v/>
      </c>
      <c r="C19" s="105">
        <f>IF(SalarioPromedio!B19="",0,SalarioPromedio!C19-SalarioPromedio!B19+1)</f>
        <v>0</v>
      </c>
      <c r="D19" s="104">
        <f>IF(SalarioPromedio!B19="",0,C19*B19)</f>
        <v>0</v>
      </c>
      <c r="E19" s="104">
        <f t="shared" si="1"/>
        <v>0</v>
      </c>
      <c r="F19" s="104">
        <f t="shared" si="2"/>
        <v>0</v>
      </c>
      <c r="G19" s="107">
        <f t="shared" si="3"/>
        <v>0</v>
      </c>
      <c r="H19" s="108">
        <f t="shared" si="4"/>
        <v>0</v>
      </c>
      <c r="I19" s="104">
        <f t="shared" si="5"/>
        <v>0</v>
      </c>
      <c r="J19" s="108">
        <f t="shared" si="6"/>
        <v>0</v>
      </c>
      <c r="K19" s="111">
        <f t="shared" si="7"/>
        <v>0</v>
      </c>
      <c r="L19" s="108">
        <f t="shared" si="8"/>
        <v>0</v>
      </c>
      <c r="M19" s="102"/>
      <c r="N19" s="111">
        <f t="shared" si="9"/>
        <v>0</v>
      </c>
      <c r="O19" s="111">
        <f t="shared" si="10"/>
        <v>0</v>
      </c>
      <c r="P19" s="111">
        <f t="shared" si="11"/>
        <v>0</v>
      </c>
      <c r="Q19" s="111">
        <f t="shared" si="12"/>
        <v>0</v>
      </c>
      <c r="R19" s="102"/>
    </row>
    <row r="20">
      <c r="A20" s="106">
        <f>IFERROR(YEAR(SalarioPromedio!B20),"")</f>
        <v>1899</v>
      </c>
      <c r="B20" s="106" t="str">
        <f>SalarioPromedio!D20</f>
        <v/>
      </c>
      <c r="C20" s="105">
        <f>IF(SalarioPromedio!B20="",0,SalarioPromedio!C20-SalarioPromedio!B20+1)</f>
        <v>0</v>
      </c>
      <c r="D20" s="104">
        <f>IF(SalarioPromedio!B20="",0,C20*B20)</f>
        <v>0</v>
      </c>
      <c r="E20" s="104">
        <f t="shared" si="1"/>
        <v>0</v>
      </c>
      <c r="F20" s="104">
        <f t="shared" si="2"/>
        <v>0</v>
      </c>
      <c r="G20" s="107">
        <f t="shared" si="3"/>
        <v>0</v>
      </c>
      <c r="H20" s="108">
        <f t="shared" si="4"/>
        <v>0</v>
      </c>
      <c r="I20" s="104">
        <f t="shared" si="5"/>
        <v>0</v>
      </c>
      <c r="J20" s="108">
        <f t="shared" si="6"/>
        <v>0</v>
      </c>
      <c r="K20" s="111">
        <f t="shared" si="7"/>
        <v>0</v>
      </c>
      <c r="L20" s="108">
        <f t="shared" si="8"/>
        <v>0</v>
      </c>
      <c r="M20" s="102"/>
      <c r="N20" s="111">
        <f t="shared" si="9"/>
        <v>0</v>
      </c>
      <c r="O20" s="111">
        <f t="shared" si="10"/>
        <v>0</v>
      </c>
      <c r="P20" s="111">
        <f t="shared" si="11"/>
        <v>0</v>
      </c>
      <c r="Q20" s="111">
        <f t="shared" si="12"/>
        <v>0</v>
      </c>
      <c r="R20" s="102"/>
    </row>
    <row r="21">
      <c r="A21" s="106">
        <f>IFERROR(YEAR(SalarioPromedio!B21),"")</f>
        <v>1899</v>
      </c>
      <c r="B21" s="106" t="str">
        <f>SalarioPromedio!D21</f>
        <v/>
      </c>
      <c r="C21" s="105">
        <f>IF(SalarioPromedio!B21="",0,SalarioPromedio!C21-SalarioPromedio!B21+1)</f>
        <v>0</v>
      </c>
      <c r="D21" s="104">
        <f>IF(SalarioPromedio!B21="",0,C21*B21)</f>
        <v>0</v>
      </c>
      <c r="E21" s="104">
        <f t="shared" si="1"/>
        <v>0</v>
      </c>
      <c r="F21" s="104">
        <f t="shared" si="2"/>
        <v>0</v>
      </c>
      <c r="G21" s="107">
        <f t="shared" si="3"/>
        <v>0</v>
      </c>
      <c r="H21" s="108">
        <f t="shared" si="4"/>
        <v>0</v>
      </c>
      <c r="I21" s="104">
        <f t="shared" si="5"/>
        <v>0</v>
      </c>
      <c r="J21" s="108">
        <f t="shared" si="6"/>
        <v>0</v>
      </c>
      <c r="K21" s="111">
        <f t="shared" si="7"/>
        <v>0</v>
      </c>
      <c r="L21" s="108">
        <f t="shared" si="8"/>
        <v>0</v>
      </c>
      <c r="M21" s="102"/>
      <c r="N21" s="111">
        <f t="shared" si="9"/>
        <v>0</v>
      </c>
      <c r="O21" s="111">
        <f t="shared" si="10"/>
        <v>0</v>
      </c>
      <c r="P21" s="111">
        <f t="shared" si="11"/>
        <v>0</v>
      </c>
      <c r="Q21" s="111">
        <f t="shared" si="12"/>
        <v>0</v>
      </c>
      <c r="R21" s="102"/>
    </row>
    <row r="22">
      <c r="A22" s="106">
        <f>IFERROR(YEAR(SalarioPromedio!B22),"")</f>
        <v>1899</v>
      </c>
      <c r="B22" s="106" t="str">
        <f>SalarioPromedio!D22</f>
        <v/>
      </c>
      <c r="C22" s="105">
        <f>IF(SalarioPromedio!B22="",0,SalarioPromedio!C22-SalarioPromedio!B22+1)</f>
        <v>0</v>
      </c>
      <c r="D22" s="104">
        <f>IF(SalarioPromedio!B22="",0,C22*B22)</f>
        <v>0</v>
      </c>
      <c r="E22" s="104">
        <f t="shared" si="1"/>
        <v>0</v>
      </c>
      <c r="F22" s="104">
        <f t="shared" si="2"/>
        <v>0</v>
      </c>
      <c r="G22" s="107">
        <f t="shared" si="3"/>
        <v>0</v>
      </c>
      <c r="H22" s="108">
        <f t="shared" si="4"/>
        <v>0</v>
      </c>
      <c r="I22" s="104">
        <f t="shared" si="5"/>
        <v>0</v>
      </c>
      <c r="J22" s="108">
        <f t="shared" si="6"/>
        <v>0</v>
      </c>
      <c r="K22" s="111">
        <f t="shared" si="7"/>
        <v>0</v>
      </c>
      <c r="L22" s="108">
        <f t="shared" si="8"/>
        <v>0</v>
      </c>
      <c r="M22" s="102"/>
      <c r="N22" s="111">
        <f t="shared" si="9"/>
        <v>0</v>
      </c>
      <c r="O22" s="111">
        <f t="shared" si="10"/>
        <v>0</v>
      </c>
      <c r="P22" s="111">
        <f t="shared" si="11"/>
        <v>0</v>
      </c>
      <c r="Q22" s="111">
        <f t="shared" si="12"/>
        <v>0</v>
      </c>
      <c r="R22" s="102"/>
    </row>
    <row r="23">
      <c r="A23" s="106">
        <f>IFERROR(YEAR(SalarioPromedio!B23),"")</f>
        <v>1899</v>
      </c>
      <c r="B23" s="106" t="str">
        <f>SalarioPromedio!D23</f>
        <v/>
      </c>
      <c r="C23" s="105">
        <f>IF(SalarioPromedio!B23="",0,SalarioPromedio!C23-SalarioPromedio!B23+1)</f>
        <v>0</v>
      </c>
      <c r="D23" s="104">
        <f>IF(SalarioPromedio!B23="",0,C23*B23)</f>
        <v>0</v>
      </c>
      <c r="E23" s="104">
        <f t="shared" si="1"/>
        <v>0</v>
      </c>
      <c r="F23" s="104">
        <f t="shared" si="2"/>
        <v>0</v>
      </c>
      <c r="G23" s="107">
        <f t="shared" si="3"/>
        <v>0</v>
      </c>
      <c r="H23" s="108">
        <f t="shared" si="4"/>
        <v>0</v>
      </c>
      <c r="I23" s="104">
        <f t="shared" si="5"/>
        <v>0</v>
      </c>
      <c r="J23" s="108">
        <f t="shared" si="6"/>
        <v>0</v>
      </c>
      <c r="K23" s="111">
        <f t="shared" si="7"/>
        <v>0</v>
      </c>
      <c r="L23" s="108">
        <f t="shared" si="8"/>
        <v>0</v>
      </c>
      <c r="M23" s="102"/>
      <c r="N23" s="111">
        <f t="shared" si="9"/>
        <v>0</v>
      </c>
      <c r="O23" s="111">
        <f t="shared" si="10"/>
        <v>0</v>
      </c>
      <c r="P23" s="111">
        <f t="shared" si="11"/>
        <v>0</v>
      </c>
      <c r="Q23" s="111">
        <f t="shared" si="12"/>
        <v>0</v>
      </c>
      <c r="R23" s="102"/>
    </row>
    <row r="24">
      <c r="A24" s="106">
        <f>IFERROR(YEAR(SalarioPromedio!B24),"")</f>
        <v>1899</v>
      </c>
      <c r="B24" s="106" t="str">
        <f>SalarioPromedio!D24</f>
        <v/>
      </c>
      <c r="C24" s="105">
        <f>IF(SalarioPromedio!B24="",0,SalarioPromedio!C24-SalarioPromedio!B24+1)</f>
        <v>0</v>
      </c>
      <c r="D24" s="104">
        <f>IF(SalarioPromedio!B24="",0,C24*B24)</f>
        <v>0</v>
      </c>
      <c r="E24" s="104">
        <f t="shared" si="1"/>
        <v>0</v>
      </c>
      <c r="F24" s="104">
        <f t="shared" si="2"/>
        <v>0</v>
      </c>
      <c r="G24" s="107">
        <f t="shared" si="3"/>
        <v>0</v>
      </c>
      <c r="H24" s="108">
        <f t="shared" si="4"/>
        <v>0</v>
      </c>
      <c r="I24" s="104">
        <f t="shared" si="5"/>
        <v>0</v>
      </c>
      <c r="J24" s="108">
        <f t="shared" si="6"/>
        <v>0</v>
      </c>
      <c r="K24" s="111">
        <f t="shared" si="7"/>
        <v>0</v>
      </c>
      <c r="L24" s="108">
        <f t="shared" si="8"/>
        <v>0</v>
      </c>
      <c r="M24" s="102"/>
      <c r="N24" s="111">
        <f t="shared" si="9"/>
        <v>0</v>
      </c>
      <c r="O24" s="111">
        <f t="shared" si="10"/>
        <v>0</v>
      </c>
      <c r="P24" s="111">
        <f t="shared" si="11"/>
        <v>0</v>
      </c>
      <c r="Q24" s="111">
        <f t="shared" si="12"/>
        <v>0</v>
      </c>
      <c r="R24" s="102"/>
    </row>
    <row r="25">
      <c r="A25" s="106">
        <f>IFERROR(YEAR(SalarioPromedio!B25),"")</f>
        <v>1899</v>
      </c>
      <c r="B25" s="106" t="str">
        <f>SalarioPromedio!D25</f>
        <v/>
      </c>
      <c r="C25" s="105">
        <f>IF(SalarioPromedio!B25="",0,SalarioPromedio!C25-SalarioPromedio!B25+1)</f>
        <v>0</v>
      </c>
      <c r="D25" s="104">
        <f>IF(SalarioPromedio!B25="",0,C25*B25)</f>
        <v>0</v>
      </c>
      <c r="E25" s="104">
        <f t="shared" si="1"/>
        <v>0</v>
      </c>
      <c r="F25" s="104">
        <f t="shared" si="2"/>
        <v>0</v>
      </c>
      <c r="G25" s="107">
        <f t="shared" si="3"/>
        <v>0</v>
      </c>
      <c r="H25" s="108">
        <f t="shared" si="4"/>
        <v>0</v>
      </c>
      <c r="I25" s="104">
        <f t="shared" si="5"/>
        <v>0</v>
      </c>
      <c r="J25" s="108">
        <f t="shared" si="6"/>
        <v>0</v>
      </c>
      <c r="K25" s="111">
        <f t="shared" si="7"/>
        <v>0</v>
      </c>
      <c r="L25" s="108">
        <f t="shared" si="8"/>
        <v>0</v>
      </c>
      <c r="M25" s="102"/>
      <c r="N25" s="111">
        <f t="shared" si="9"/>
        <v>0</v>
      </c>
      <c r="O25" s="111">
        <f t="shared" si="10"/>
        <v>0</v>
      </c>
      <c r="P25" s="111">
        <f t="shared" si="11"/>
        <v>0</v>
      </c>
      <c r="Q25" s="111">
        <f t="shared" si="12"/>
        <v>0</v>
      </c>
      <c r="R25" s="102"/>
    </row>
    <row r="26">
      <c r="A26" s="106">
        <f>IFERROR(YEAR(SalarioPromedio!B26),"")</f>
        <v>1899</v>
      </c>
      <c r="B26" s="106" t="str">
        <f>SalarioPromedio!D26</f>
        <v/>
      </c>
      <c r="C26" s="105">
        <f>IF(SalarioPromedio!B26="",0,SalarioPromedio!C26-SalarioPromedio!B26+1)</f>
        <v>0</v>
      </c>
      <c r="D26" s="104">
        <f>IF(SalarioPromedio!B26="",0,C26*B26)</f>
        <v>0</v>
      </c>
      <c r="E26" s="104">
        <f t="shared" si="1"/>
        <v>0</v>
      </c>
      <c r="F26" s="104">
        <f t="shared" si="2"/>
        <v>0</v>
      </c>
      <c r="G26" s="107">
        <f t="shared" si="3"/>
        <v>0</v>
      </c>
      <c r="H26" s="108">
        <f t="shared" si="4"/>
        <v>0</v>
      </c>
      <c r="I26" s="104">
        <f t="shared" si="5"/>
        <v>0</v>
      </c>
      <c r="J26" s="108">
        <f t="shared" si="6"/>
        <v>0</v>
      </c>
      <c r="K26" s="111">
        <f t="shared" si="7"/>
        <v>0</v>
      </c>
      <c r="L26" s="108">
        <f t="shared" si="8"/>
        <v>0</v>
      </c>
      <c r="M26" s="102"/>
      <c r="N26" s="111">
        <f t="shared" si="9"/>
        <v>0</v>
      </c>
      <c r="O26" s="111">
        <f t="shared" si="10"/>
        <v>0</v>
      </c>
      <c r="P26" s="111">
        <f t="shared" si="11"/>
        <v>0</v>
      </c>
      <c r="Q26" s="111">
        <f t="shared" si="12"/>
        <v>0</v>
      </c>
      <c r="R26" s="102"/>
    </row>
    <row r="27">
      <c r="A27" s="106">
        <f>IFERROR(YEAR(SalarioPromedio!B27),"")</f>
        <v>1899</v>
      </c>
      <c r="B27" s="106" t="str">
        <f>SalarioPromedio!D27</f>
        <v/>
      </c>
      <c r="C27" s="105">
        <f>IF(SalarioPromedio!B27="",0,SalarioPromedio!C27-SalarioPromedio!B27+1)</f>
        <v>0</v>
      </c>
      <c r="D27" s="104">
        <f>IF(SalarioPromedio!B27="",0,C27*B27)</f>
        <v>0</v>
      </c>
      <c r="E27" s="104">
        <f t="shared" si="1"/>
        <v>0</v>
      </c>
      <c r="F27" s="104">
        <f t="shared" si="2"/>
        <v>0</v>
      </c>
      <c r="G27" s="107">
        <f t="shared" si="3"/>
        <v>0</v>
      </c>
      <c r="H27" s="108">
        <f t="shared" si="4"/>
        <v>0</v>
      </c>
      <c r="I27" s="104">
        <f t="shared" si="5"/>
        <v>0</v>
      </c>
      <c r="J27" s="108">
        <f t="shared" si="6"/>
        <v>0</v>
      </c>
      <c r="K27" s="111">
        <f t="shared" si="7"/>
        <v>0</v>
      </c>
      <c r="L27" s="108">
        <f t="shared" si="8"/>
        <v>0</v>
      </c>
      <c r="M27" s="102"/>
      <c r="N27" s="111">
        <f t="shared" si="9"/>
        <v>0</v>
      </c>
      <c r="O27" s="111">
        <f t="shared" si="10"/>
        <v>0</v>
      </c>
      <c r="P27" s="111">
        <f t="shared" si="11"/>
        <v>0</v>
      </c>
      <c r="Q27" s="111">
        <f t="shared" si="12"/>
        <v>0</v>
      </c>
      <c r="R27" s="102"/>
    </row>
    <row r="28">
      <c r="A28" s="106">
        <f>IFERROR(YEAR(SalarioPromedio!B28),"")</f>
        <v>1899</v>
      </c>
      <c r="B28" s="106" t="str">
        <f>SalarioPromedio!D28</f>
        <v/>
      </c>
      <c r="C28" s="105">
        <f>IF(SalarioPromedio!B28="",0,SalarioPromedio!C28-SalarioPromedio!B28+1)</f>
        <v>0</v>
      </c>
      <c r="D28" s="104">
        <f>IF(SalarioPromedio!B28="",0,C28*B28)</f>
        <v>0</v>
      </c>
      <c r="E28" s="104">
        <f t="shared" si="1"/>
        <v>0</v>
      </c>
      <c r="F28" s="104">
        <f t="shared" si="2"/>
        <v>0</v>
      </c>
      <c r="G28" s="107">
        <f t="shared" si="3"/>
        <v>0</v>
      </c>
      <c r="H28" s="108">
        <f t="shared" si="4"/>
        <v>0</v>
      </c>
      <c r="I28" s="104">
        <f t="shared" si="5"/>
        <v>0</v>
      </c>
      <c r="J28" s="108">
        <f t="shared" si="6"/>
        <v>0</v>
      </c>
      <c r="K28" s="111">
        <f t="shared" si="7"/>
        <v>0</v>
      </c>
      <c r="L28" s="108">
        <f t="shared" si="8"/>
        <v>0</v>
      </c>
      <c r="M28" s="102"/>
      <c r="N28" s="111">
        <f t="shared" si="9"/>
        <v>0</v>
      </c>
      <c r="O28" s="111">
        <f t="shared" si="10"/>
        <v>0</v>
      </c>
      <c r="P28" s="111">
        <f t="shared" si="11"/>
        <v>0</v>
      </c>
      <c r="Q28" s="111">
        <f t="shared" si="12"/>
        <v>0</v>
      </c>
      <c r="R28" s="102"/>
    </row>
    <row r="29">
      <c r="A29" s="106">
        <f>IFERROR(YEAR(SalarioPromedio!B29),"")</f>
        <v>1899</v>
      </c>
      <c r="B29" s="106" t="str">
        <f>SalarioPromedio!D29</f>
        <v/>
      </c>
      <c r="C29" s="105">
        <f>IF(SalarioPromedio!B29="",0,SalarioPromedio!C29-SalarioPromedio!B29+1)</f>
        <v>0</v>
      </c>
      <c r="D29" s="104">
        <f>IF(SalarioPromedio!B29="",0,C29*B29)</f>
        <v>0</v>
      </c>
      <c r="E29" s="104">
        <f t="shared" si="1"/>
        <v>0</v>
      </c>
      <c r="F29" s="104">
        <f t="shared" si="2"/>
        <v>0</v>
      </c>
      <c r="G29" s="107">
        <f t="shared" si="3"/>
        <v>0</v>
      </c>
      <c r="H29" s="108">
        <f t="shared" si="4"/>
        <v>0</v>
      </c>
      <c r="I29" s="104">
        <f t="shared" si="5"/>
        <v>0</v>
      </c>
      <c r="J29" s="108">
        <f t="shared" si="6"/>
        <v>0</v>
      </c>
      <c r="K29" s="111">
        <f t="shared" si="7"/>
        <v>0</v>
      </c>
      <c r="L29" s="108">
        <f t="shared" si="8"/>
        <v>0</v>
      </c>
      <c r="M29" s="102"/>
      <c r="N29" s="111">
        <f t="shared" si="9"/>
        <v>0</v>
      </c>
      <c r="O29" s="111">
        <f t="shared" si="10"/>
        <v>0</v>
      </c>
      <c r="P29" s="111">
        <f t="shared" si="11"/>
        <v>0</v>
      </c>
      <c r="Q29" s="111">
        <f t="shared" si="12"/>
        <v>0</v>
      </c>
      <c r="R29" s="102"/>
    </row>
    <row r="30">
      <c r="A30" s="106">
        <f>IFERROR(YEAR(SalarioPromedio!B30),"")</f>
        <v>1899</v>
      </c>
      <c r="B30" s="106" t="str">
        <f>SalarioPromedio!D30</f>
        <v/>
      </c>
      <c r="C30" s="105">
        <f>IF(SalarioPromedio!B30="",0,SalarioPromedio!C30-SalarioPromedio!B30+1)</f>
        <v>0</v>
      </c>
      <c r="D30" s="104">
        <f>IF(SalarioPromedio!B30="",0,C30*B30)</f>
        <v>0</v>
      </c>
      <c r="E30" s="104">
        <f t="shared" si="1"/>
        <v>0</v>
      </c>
      <c r="F30" s="104">
        <f t="shared" si="2"/>
        <v>0</v>
      </c>
      <c r="G30" s="107">
        <f t="shared" si="3"/>
        <v>0</v>
      </c>
      <c r="H30" s="108">
        <f t="shared" si="4"/>
        <v>0</v>
      </c>
      <c r="I30" s="104">
        <f t="shared" si="5"/>
        <v>0</v>
      </c>
      <c r="J30" s="108">
        <f t="shared" si="6"/>
        <v>0</v>
      </c>
      <c r="K30" s="111">
        <f t="shared" si="7"/>
        <v>0</v>
      </c>
      <c r="L30" s="108">
        <f t="shared" si="8"/>
        <v>0</v>
      </c>
      <c r="M30" s="102"/>
      <c r="N30" s="111">
        <f t="shared" si="9"/>
        <v>0</v>
      </c>
      <c r="O30" s="111">
        <f t="shared" si="10"/>
        <v>0</v>
      </c>
      <c r="P30" s="111">
        <f t="shared" si="11"/>
        <v>0</v>
      </c>
      <c r="Q30" s="111">
        <f t="shared" si="12"/>
        <v>0</v>
      </c>
      <c r="R30" s="102"/>
    </row>
    <row r="31">
      <c r="A31" s="106">
        <f>IFERROR(YEAR(SalarioPromedio!B31),"")</f>
        <v>1899</v>
      </c>
      <c r="B31" s="106" t="str">
        <f>SalarioPromedio!D31</f>
        <v/>
      </c>
      <c r="C31" s="105">
        <f>IF(SalarioPromedio!B31="",0,SalarioPromedio!C31-SalarioPromedio!B31+1)</f>
        <v>0</v>
      </c>
      <c r="D31" s="104">
        <f>IF(SalarioPromedio!B31="",0,C31*B31)</f>
        <v>0</v>
      </c>
      <c r="E31" s="104">
        <f t="shared" si="1"/>
        <v>0</v>
      </c>
      <c r="F31" s="104">
        <f t="shared" si="2"/>
        <v>0</v>
      </c>
      <c r="G31" s="107">
        <f t="shared" si="3"/>
        <v>0</v>
      </c>
      <c r="H31" s="108">
        <f t="shared" si="4"/>
        <v>0</v>
      </c>
      <c r="I31" s="104">
        <f t="shared" si="5"/>
        <v>0</v>
      </c>
      <c r="J31" s="108">
        <f t="shared" si="6"/>
        <v>0</v>
      </c>
      <c r="K31" s="111">
        <f t="shared" si="7"/>
        <v>0</v>
      </c>
      <c r="L31" s="108">
        <f t="shared" si="8"/>
        <v>0</v>
      </c>
      <c r="M31" s="102"/>
      <c r="N31" s="111">
        <f t="shared" si="9"/>
        <v>0</v>
      </c>
      <c r="O31" s="111">
        <f t="shared" si="10"/>
        <v>0</v>
      </c>
      <c r="P31" s="111">
        <f t="shared" si="11"/>
        <v>0</v>
      </c>
      <c r="Q31" s="111">
        <f t="shared" si="12"/>
        <v>0</v>
      </c>
      <c r="R31" s="102"/>
    </row>
    <row r="32">
      <c r="A32" s="106">
        <f>IFERROR(YEAR(SalarioPromedio!B32),"")</f>
        <v>1899</v>
      </c>
      <c r="B32" s="106" t="str">
        <f>SalarioPromedio!D32</f>
        <v/>
      </c>
      <c r="C32" s="105">
        <f>IF(SalarioPromedio!B32="",0,SalarioPromedio!C32-SalarioPromedio!B32+1)</f>
        <v>0</v>
      </c>
      <c r="D32" s="104">
        <f>IF(SalarioPromedio!B32="",0,C32*B32)</f>
        <v>0</v>
      </c>
      <c r="E32" s="104">
        <f t="shared" si="1"/>
        <v>0</v>
      </c>
      <c r="F32" s="104">
        <f t="shared" si="2"/>
        <v>0</v>
      </c>
      <c r="G32" s="107">
        <f t="shared" si="3"/>
        <v>0</v>
      </c>
      <c r="H32" s="108">
        <f t="shared" si="4"/>
        <v>0</v>
      </c>
      <c r="I32" s="104">
        <f t="shared" si="5"/>
        <v>0</v>
      </c>
      <c r="J32" s="108">
        <f t="shared" si="6"/>
        <v>0</v>
      </c>
      <c r="K32" s="111">
        <f t="shared" si="7"/>
        <v>0</v>
      </c>
      <c r="L32" s="108">
        <f t="shared" si="8"/>
        <v>0</v>
      </c>
      <c r="M32" s="102"/>
      <c r="N32" s="111">
        <f t="shared" si="9"/>
        <v>0</v>
      </c>
      <c r="O32" s="111">
        <f t="shared" si="10"/>
        <v>0</v>
      </c>
      <c r="P32" s="111">
        <f t="shared" si="11"/>
        <v>0</v>
      </c>
      <c r="Q32" s="111">
        <f t="shared" si="12"/>
        <v>0</v>
      </c>
      <c r="R32" s="102"/>
    </row>
    <row r="33">
      <c r="A33" s="106">
        <f>IFERROR(YEAR(SalarioPromedio!B33),"")</f>
        <v>1899</v>
      </c>
      <c r="B33" s="106" t="str">
        <f>SalarioPromedio!D33</f>
        <v/>
      </c>
      <c r="C33" s="105">
        <f>IF(SalarioPromedio!B33="",0,SalarioPromedio!C33-SalarioPromedio!B33+1)</f>
        <v>0</v>
      </c>
      <c r="D33" s="104">
        <f>IF(SalarioPromedio!B33="",0,C33*B33)</f>
        <v>0</v>
      </c>
      <c r="E33" s="104">
        <f t="shared" si="1"/>
        <v>0</v>
      </c>
      <c r="F33" s="104">
        <f t="shared" si="2"/>
        <v>0</v>
      </c>
      <c r="G33" s="107">
        <f t="shared" si="3"/>
        <v>0</v>
      </c>
      <c r="H33" s="108">
        <f t="shared" si="4"/>
        <v>0</v>
      </c>
      <c r="I33" s="104">
        <f t="shared" si="5"/>
        <v>0</v>
      </c>
      <c r="J33" s="108">
        <f t="shared" si="6"/>
        <v>0</v>
      </c>
      <c r="K33" s="111">
        <f t="shared" si="7"/>
        <v>0</v>
      </c>
      <c r="L33" s="108">
        <f t="shared" si="8"/>
        <v>0</v>
      </c>
      <c r="M33" s="102"/>
      <c r="N33" s="111">
        <f t="shared" si="9"/>
        <v>0</v>
      </c>
      <c r="O33" s="111">
        <f t="shared" si="10"/>
        <v>0</v>
      </c>
      <c r="P33" s="111">
        <f t="shared" si="11"/>
        <v>0</v>
      </c>
      <c r="Q33" s="111">
        <f t="shared" si="12"/>
        <v>0</v>
      </c>
      <c r="R33" s="102"/>
    </row>
    <row r="34">
      <c r="A34" s="106">
        <f>IFERROR(YEAR(SalarioPromedio!B34),"")</f>
        <v>1899</v>
      </c>
      <c r="B34" s="106" t="str">
        <f>SalarioPromedio!D34</f>
        <v/>
      </c>
      <c r="C34" s="105">
        <f>IF(SalarioPromedio!B34="",0,SalarioPromedio!C34-SalarioPromedio!B34+1)</f>
        <v>0</v>
      </c>
      <c r="D34" s="104">
        <f>IF(SalarioPromedio!B34="",0,C34*B34)</f>
        <v>0</v>
      </c>
      <c r="E34" s="104">
        <f t="shared" si="1"/>
        <v>0</v>
      </c>
      <c r="F34" s="104">
        <f t="shared" si="2"/>
        <v>0</v>
      </c>
      <c r="G34" s="107">
        <f t="shared" si="3"/>
        <v>0</v>
      </c>
      <c r="H34" s="108">
        <f t="shared" si="4"/>
        <v>0</v>
      </c>
      <c r="I34" s="104">
        <f t="shared" si="5"/>
        <v>0</v>
      </c>
      <c r="J34" s="108">
        <f t="shared" si="6"/>
        <v>0</v>
      </c>
      <c r="K34" s="111">
        <f t="shared" si="7"/>
        <v>0</v>
      </c>
      <c r="L34" s="108">
        <f t="shared" si="8"/>
        <v>0</v>
      </c>
      <c r="M34" s="102"/>
      <c r="N34" s="111">
        <f t="shared" si="9"/>
        <v>0</v>
      </c>
      <c r="O34" s="111">
        <f t="shared" si="10"/>
        <v>0</v>
      </c>
      <c r="P34" s="111">
        <f t="shared" si="11"/>
        <v>0</v>
      </c>
      <c r="Q34" s="111">
        <f t="shared" si="12"/>
        <v>0</v>
      </c>
      <c r="R34" s="102"/>
    </row>
    <row r="35">
      <c r="A35" s="106">
        <f>IFERROR(YEAR(SalarioPromedio!B35),"")</f>
        <v>1899</v>
      </c>
      <c r="B35" s="106" t="str">
        <f>SalarioPromedio!D35</f>
        <v/>
      </c>
      <c r="C35" s="105">
        <f>IF(SalarioPromedio!B35="",0,SalarioPromedio!C35-SalarioPromedio!B35+1)</f>
        <v>0</v>
      </c>
      <c r="D35" s="104">
        <f>IF(SalarioPromedio!B35="",0,C35*B35)</f>
        <v>0</v>
      </c>
      <c r="E35" s="104">
        <f t="shared" si="1"/>
        <v>0</v>
      </c>
      <c r="F35" s="104">
        <f t="shared" si="2"/>
        <v>0</v>
      </c>
      <c r="G35" s="107">
        <f t="shared" si="3"/>
        <v>0</v>
      </c>
      <c r="H35" s="108">
        <f t="shared" si="4"/>
        <v>0</v>
      </c>
      <c r="I35" s="104">
        <f t="shared" si="5"/>
        <v>0</v>
      </c>
      <c r="J35" s="108">
        <f t="shared" si="6"/>
        <v>0</v>
      </c>
      <c r="K35" s="111">
        <f t="shared" si="7"/>
        <v>0</v>
      </c>
      <c r="L35" s="108">
        <f t="shared" si="8"/>
        <v>0</v>
      </c>
      <c r="M35" s="102"/>
      <c r="N35" s="111">
        <f t="shared" si="9"/>
        <v>0</v>
      </c>
      <c r="O35" s="111">
        <f t="shared" si="10"/>
        <v>0</v>
      </c>
      <c r="P35" s="111">
        <f t="shared" si="11"/>
        <v>0</v>
      </c>
      <c r="Q35" s="111">
        <f t="shared" si="12"/>
        <v>0</v>
      </c>
      <c r="R35" s="102"/>
    </row>
    <row r="36">
      <c r="A36" s="106">
        <f>IFERROR(YEAR(SalarioPromedio!B36),"")</f>
        <v>1899</v>
      </c>
      <c r="B36" s="106" t="str">
        <f>SalarioPromedio!D36</f>
        <v/>
      </c>
      <c r="C36" s="105">
        <f>IF(SalarioPromedio!B36="",0,SalarioPromedio!C36-SalarioPromedio!B36+1)</f>
        <v>0</v>
      </c>
      <c r="D36" s="104">
        <f>IF(SalarioPromedio!B36="",0,C36*B36)</f>
        <v>0</v>
      </c>
      <c r="E36" s="104">
        <f t="shared" si="1"/>
        <v>0</v>
      </c>
      <c r="F36" s="104">
        <f t="shared" si="2"/>
        <v>0</v>
      </c>
      <c r="G36" s="107">
        <f t="shared" si="3"/>
        <v>0</v>
      </c>
      <c r="H36" s="108">
        <f t="shared" si="4"/>
        <v>0</v>
      </c>
      <c r="I36" s="104">
        <f t="shared" si="5"/>
        <v>0</v>
      </c>
      <c r="J36" s="108">
        <f t="shared" si="6"/>
        <v>0</v>
      </c>
      <c r="K36" s="111">
        <f t="shared" si="7"/>
        <v>0</v>
      </c>
      <c r="L36" s="108">
        <f t="shared" si="8"/>
        <v>0</v>
      </c>
      <c r="M36" s="102"/>
      <c r="N36" s="111">
        <f t="shared" si="9"/>
        <v>0</v>
      </c>
      <c r="O36" s="111">
        <f t="shared" si="10"/>
        <v>0</v>
      </c>
      <c r="P36" s="111">
        <f t="shared" si="11"/>
        <v>0</v>
      </c>
      <c r="Q36" s="111">
        <f t="shared" si="12"/>
        <v>0</v>
      </c>
      <c r="R36" s="102"/>
    </row>
    <row r="37">
      <c r="A37" s="106">
        <f>IFERROR(YEAR(SalarioPromedio!B37),"")</f>
        <v>1899</v>
      </c>
      <c r="B37" s="106" t="str">
        <f>SalarioPromedio!D37</f>
        <v/>
      </c>
      <c r="C37" s="105">
        <f>IF(SalarioPromedio!B37="",0,SalarioPromedio!C37-SalarioPromedio!B37+1)</f>
        <v>0</v>
      </c>
      <c r="D37" s="104">
        <f>IF(SalarioPromedio!B37="",0,C37*B37)</f>
        <v>0</v>
      </c>
      <c r="E37" s="104">
        <f t="shared" si="1"/>
        <v>0</v>
      </c>
      <c r="F37" s="104">
        <f t="shared" si="2"/>
        <v>0</v>
      </c>
      <c r="G37" s="107">
        <f t="shared" si="3"/>
        <v>0</v>
      </c>
      <c r="H37" s="108">
        <f t="shared" si="4"/>
        <v>0</v>
      </c>
      <c r="I37" s="104">
        <f t="shared" si="5"/>
        <v>0</v>
      </c>
      <c r="J37" s="108">
        <f t="shared" si="6"/>
        <v>0</v>
      </c>
      <c r="K37" s="111">
        <f t="shared" si="7"/>
        <v>0</v>
      </c>
      <c r="L37" s="108">
        <f t="shared" si="8"/>
        <v>0</v>
      </c>
      <c r="M37" s="102"/>
      <c r="N37" s="111">
        <f t="shared" si="9"/>
        <v>0</v>
      </c>
      <c r="O37" s="111">
        <f t="shared" si="10"/>
        <v>0</v>
      </c>
      <c r="P37" s="111">
        <f t="shared" si="11"/>
        <v>0</v>
      </c>
      <c r="Q37" s="111">
        <f t="shared" si="12"/>
        <v>0</v>
      </c>
      <c r="R37" s="102"/>
    </row>
    <row r="38">
      <c r="A38" s="106">
        <f>IFERROR(YEAR(SalarioPromedio!B38),"")</f>
        <v>1899</v>
      </c>
      <c r="B38" s="106" t="str">
        <f>SalarioPromedio!D38</f>
        <v/>
      </c>
      <c r="C38" s="105">
        <f>IF(SalarioPromedio!B38="",0,SalarioPromedio!C38-SalarioPromedio!B38+1)</f>
        <v>0</v>
      </c>
      <c r="D38" s="104">
        <f>IF(SalarioPromedio!B38="",0,C38*B38)</f>
        <v>0</v>
      </c>
      <c r="E38" s="104">
        <f t="shared" si="1"/>
        <v>0</v>
      </c>
      <c r="F38" s="104">
        <f t="shared" si="2"/>
        <v>0</v>
      </c>
      <c r="G38" s="107">
        <f t="shared" si="3"/>
        <v>0</v>
      </c>
      <c r="H38" s="108">
        <f t="shared" si="4"/>
        <v>0</v>
      </c>
      <c r="I38" s="104">
        <f t="shared" si="5"/>
        <v>0</v>
      </c>
      <c r="J38" s="108">
        <f t="shared" si="6"/>
        <v>0</v>
      </c>
      <c r="K38" s="111">
        <f t="shared" si="7"/>
        <v>0</v>
      </c>
      <c r="L38" s="108">
        <f t="shared" si="8"/>
        <v>0</v>
      </c>
      <c r="M38" s="102"/>
      <c r="N38" s="111">
        <f t="shared" si="9"/>
        <v>0</v>
      </c>
      <c r="O38" s="111">
        <f t="shared" si="10"/>
        <v>0</v>
      </c>
      <c r="P38" s="111">
        <f t="shared" si="11"/>
        <v>0</v>
      </c>
      <c r="Q38" s="111">
        <f t="shared" si="12"/>
        <v>0</v>
      </c>
      <c r="R38" s="102"/>
    </row>
    <row r="39">
      <c r="A39" s="106">
        <f>IFERROR(YEAR(SalarioPromedio!B39),"")</f>
        <v>1899</v>
      </c>
      <c r="B39" s="106" t="str">
        <f>SalarioPromedio!D39</f>
        <v/>
      </c>
      <c r="C39" s="105">
        <f>IF(SalarioPromedio!B39="",0,SalarioPromedio!C39-SalarioPromedio!B39+1)</f>
        <v>0</v>
      </c>
      <c r="D39" s="104">
        <f>IF(SalarioPromedio!B39="",0,C39*B39)</f>
        <v>0</v>
      </c>
      <c r="E39" s="104">
        <f t="shared" si="1"/>
        <v>0</v>
      </c>
      <c r="F39" s="104">
        <f t="shared" si="2"/>
        <v>0</v>
      </c>
      <c r="G39" s="107">
        <f t="shared" si="3"/>
        <v>0</v>
      </c>
      <c r="H39" s="108">
        <f t="shared" si="4"/>
        <v>0</v>
      </c>
      <c r="I39" s="104">
        <f t="shared" si="5"/>
        <v>0</v>
      </c>
      <c r="J39" s="108">
        <f t="shared" si="6"/>
        <v>0</v>
      </c>
      <c r="K39" s="111">
        <f t="shared" si="7"/>
        <v>0</v>
      </c>
      <c r="L39" s="108">
        <f t="shared" si="8"/>
        <v>0</v>
      </c>
      <c r="M39" s="102"/>
      <c r="N39" s="111">
        <f t="shared" si="9"/>
        <v>0</v>
      </c>
      <c r="O39" s="111">
        <f t="shared" si="10"/>
        <v>0</v>
      </c>
      <c r="P39" s="111">
        <f t="shared" si="11"/>
        <v>0</v>
      </c>
      <c r="Q39" s="111">
        <f t="shared" si="12"/>
        <v>0</v>
      </c>
      <c r="R39" s="102"/>
    </row>
    <row r="40">
      <c r="A40" s="106">
        <f>IFERROR(YEAR(SalarioPromedio!B40),"")</f>
        <v>1899</v>
      </c>
      <c r="B40" s="106" t="str">
        <f>SalarioPromedio!D40</f>
        <v/>
      </c>
      <c r="C40" s="105">
        <f>IF(SalarioPromedio!B40="",0,SalarioPromedio!C40-SalarioPromedio!B40+1)</f>
        <v>0</v>
      </c>
      <c r="D40" s="104">
        <f>IF(SalarioPromedio!B40="",0,C40*B40)</f>
        <v>0</v>
      </c>
      <c r="E40" s="104">
        <f t="shared" si="1"/>
        <v>0</v>
      </c>
      <c r="F40" s="104">
        <f t="shared" si="2"/>
        <v>0</v>
      </c>
      <c r="G40" s="107">
        <f t="shared" si="3"/>
        <v>0</v>
      </c>
      <c r="H40" s="108">
        <f t="shared" si="4"/>
        <v>0</v>
      </c>
      <c r="I40" s="104">
        <f t="shared" si="5"/>
        <v>0</v>
      </c>
      <c r="J40" s="108">
        <f t="shared" si="6"/>
        <v>0</v>
      </c>
      <c r="K40" s="111">
        <f t="shared" si="7"/>
        <v>0</v>
      </c>
      <c r="L40" s="108">
        <f t="shared" si="8"/>
        <v>0</v>
      </c>
      <c r="M40" s="102"/>
      <c r="N40" s="111">
        <f t="shared" si="9"/>
        <v>0</v>
      </c>
      <c r="O40" s="111">
        <f t="shared" si="10"/>
        <v>0</v>
      </c>
      <c r="P40" s="111">
        <f t="shared" si="11"/>
        <v>0</v>
      </c>
      <c r="Q40" s="111">
        <f t="shared" si="12"/>
        <v>0</v>
      </c>
      <c r="R40" s="102"/>
    </row>
    <row r="41">
      <c r="A41" s="106">
        <f>IFERROR(YEAR(SalarioPromedio!B41),"")</f>
        <v>1899</v>
      </c>
      <c r="B41" s="106" t="str">
        <f>SalarioPromedio!D41</f>
        <v/>
      </c>
      <c r="C41" s="105">
        <f>IF(SalarioPromedio!B41="",0,SalarioPromedio!C41-SalarioPromedio!B41+1)</f>
        <v>0</v>
      </c>
      <c r="D41" s="104">
        <f>IF(SalarioPromedio!B41="",0,C41*B41)</f>
        <v>0</v>
      </c>
      <c r="E41" s="104">
        <f t="shared" si="1"/>
        <v>0</v>
      </c>
      <c r="F41" s="104">
        <f t="shared" si="2"/>
        <v>0</v>
      </c>
      <c r="G41" s="107">
        <f t="shared" si="3"/>
        <v>0</v>
      </c>
      <c r="H41" s="108">
        <f t="shared" si="4"/>
        <v>0</v>
      </c>
      <c r="I41" s="104">
        <f t="shared" si="5"/>
        <v>0</v>
      </c>
      <c r="J41" s="108">
        <f t="shared" si="6"/>
        <v>0</v>
      </c>
      <c r="K41" s="111">
        <f t="shared" si="7"/>
        <v>0</v>
      </c>
      <c r="L41" s="108">
        <f t="shared" si="8"/>
        <v>0</v>
      </c>
      <c r="M41" s="102"/>
      <c r="N41" s="111">
        <f t="shared" si="9"/>
        <v>0</v>
      </c>
      <c r="O41" s="111">
        <f t="shared" si="10"/>
        <v>0</v>
      </c>
      <c r="P41" s="111">
        <f t="shared" si="11"/>
        <v>0</v>
      </c>
      <c r="Q41" s="111">
        <f t="shared" si="12"/>
        <v>0</v>
      </c>
      <c r="R41" s="102"/>
    </row>
    <row r="42">
      <c r="A42" s="106">
        <f>IFERROR(YEAR(SalarioPromedio!B42),"")</f>
        <v>1899</v>
      </c>
      <c r="B42" s="106" t="str">
        <f>SalarioPromedio!D42</f>
        <v/>
      </c>
      <c r="C42" s="105">
        <f>IF(SalarioPromedio!B42="",0,SalarioPromedio!C42-SalarioPromedio!B42+1)</f>
        <v>0</v>
      </c>
      <c r="D42" s="104">
        <f>IF(SalarioPromedio!B42="",0,C42*B42)</f>
        <v>0</v>
      </c>
      <c r="E42" s="104">
        <f t="shared" si="1"/>
        <v>0</v>
      </c>
      <c r="F42" s="104">
        <f t="shared" si="2"/>
        <v>0</v>
      </c>
      <c r="G42" s="107">
        <f t="shared" si="3"/>
        <v>0</v>
      </c>
      <c r="H42" s="108">
        <f t="shared" si="4"/>
        <v>0</v>
      </c>
      <c r="I42" s="104">
        <f t="shared" si="5"/>
        <v>0</v>
      </c>
      <c r="J42" s="108">
        <f t="shared" si="6"/>
        <v>0</v>
      </c>
      <c r="K42" s="111">
        <f t="shared" si="7"/>
        <v>0</v>
      </c>
      <c r="L42" s="108">
        <f t="shared" si="8"/>
        <v>0</v>
      </c>
      <c r="M42" s="102"/>
      <c r="N42" s="111">
        <f t="shared" si="9"/>
        <v>0</v>
      </c>
      <c r="O42" s="111">
        <f t="shared" si="10"/>
        <v>0</v>
      </c>
      <c r="P42" s="111">
        <f t="shared" si="11"/>
        <v>0</v>
      </c>
      <c r="Q42" s="111">
        <f t="shared" si="12"/>
        <v>0</v>
      </c>
      <c r="R42" s="102"/>
    </row>
    <row r="43">
      <c r="A43" s="106">
        <f>IFERROR(YEAR(SalarioPromedio!B43),"")</f>
        <v>1899</v>
      </c>
      <c r="B43" s="106" t="str">
        <f>SalarioPromedio!D43</f>
        <v/>
      </c>
      <c r="C43" s="105">
        <f>IF(SalarioPromedio!B43="",0,SalarioPromedio!C43-SalarioPromedio!B43+1)</f>
        <v>0</v>
      </c>
      <c r="D43" s="104">
        <f>IF(SalarioPromedio!B43="",0,C43*B43)</f>
        <v>0</v>
      </c>
      <c r="E43" s="104">
        <f t="shared" si="1"/>
        <v>0</v>
      </c>
      <c r="F43" s="104">
        <f t="shared" si="2"/>
        <v>0</v>
      </c>
      <c r="G43" s="107">
        <f t="shared" si="3"/>
        <v>0</v>
      </c>
      <c r="H43" s="108">
        <f t="shared" si="4"/>
        <v>0</v>
      </c>
      <c r="I43" s="104">
        <f t="shared" si="5"/>
        <v>0</v>
      </c>
      <c r="J43" s="108">
        <f t="shared" si="6"/>
        <v>0</v>
      </c>
      <c r="K43" s="111">
        <f t="shared" si="7"/>
        <v>0</v>
      </c>
      <c r="L43" s="108">
        <f t="shared" si="8"/>
        <v>0</v>
      </c>
      <c r="M43" s="102"/>
      <c r="N43" s="111">
        <f t="shared" si="9"/>
        <v>0</v>
      </c>
      <c r="O43" s="111">
        <f t="shared" si="10"/>
        <v>0</v>
      </c>
      <c r="P43" s="111">
        <f t="shared" si="11"/>
        <v>0</v>
      </c>
      <c r="Q43" s="111">
        <f t="shared" si="12"/>
        <v>0</v>
      </c>
      <c r="R43" s="102"/>
    </row>
    <row r="44">
      <c r="A44" s="106">
        <f>IFERROR(YEAR(SalarioPromedio!B44),"")</f>
        <v>1899</v>
      </c>
      <c r="B44" s="106" t="str">
        <f>SalarioPromedio!D44</f>
        <v/>
      </c>
      <c r="C44" s="105">
        <f>IF(SalarioPromedio!B44="",0,SalarioPromedio!C44-SalarioPromedio!B44+1)</f>
        <v>0</v>
      </c>
      <c r="D44" s="104">
        <f>IF(SalarioPromedio!B44="",0,C44*B44)</f>
        <v>0</v>
      </c>
      <c r="E44" s="104">
        <f t="shared" si="1"/>
        <v>0</v>
      </c>
      <c r="F44" s="104">
        <f t="shared" si="2"/>
        <v>0</v>
      </c>
      <c r="G44" s="107">
        <f t="shared" si="3"/>
        <v>0</v>
      </c>
      <c r="H44" s="108">
        <f t="shared" si="4"/>
        <v>0</v>
      </c>
      <c r="I44" s="104">
        <f t="shared" si="5"/>
        <v>0</v>
      </c>
      <c r="J44" s="108">
        <f t="shared" si="6"/>
        <v>0</v>
      </c>
      <c r="K44" s="111">
        <f t="shared" si="7"/>
        <v>0</v>
      </c>
      <c r="L44" s="108">
        <f t="shared" si="8"/>
        <v>0</v>
      </c>
      <c r="M44" s="102"/>
      <c r="N44" s="111">
        <f t="shared" si="9"/>
        <v>0</v>
      </c>
      <c r="O44" s="111">
        <f t="shared" si="10"/>
        <v>0</v>
      </c>
      <c r="P44" s="111">
        <f t="shared" si="11"/>
        <v>0</v>
      </c>
      <c r="Q44" s="111">
        <f t="shared" si="12"/>
        <v>0</v>
      </c>
      <c r="R44" s="102"/>
    </row>
    <row r="45">
      <c r="A45" s="106">
        <f>IFERROR(YEAR(SalarioPromedio!B45),"")</f>
        <v>1899</v>
      </c>
      <c r="B45" s="106" t="str">
        <f>SalarioPromedio!D45</f>
        <v/>
      </c>
      <c r="C45" s="105">
        <f>IF(SalarioPromedio!B45="",0,SalarioPromedio!C45-SalarioPromedio!B45+1)</f>
        <v>0</v>
      </c>
      <c r="D45" s="104">
        <f>IF(SalarioPromedio!B45="",0,C45*B45)</f>
        <v>0</v>
      </c>
      <c r="E45" s="104">
        <f t="shared" si="1"/>
        <v>0</v>
      </c>
      <c r="F45" s="104">
        <f t="shared" si="2"/>
        <v>0</v>
      </c>
      <c r="G45" s="107">
        <f t="shared" si="3"/>
        <v>0</v>
      </c>
      <c r="H45" s="108">
        <f t="shared" si="4"/>
        <v>0</v>
      </c>
      <c r="I45" s="104">
        <f t="shared" si="5"/>
        <v>0</v>
      </c>
      <c r="J45" s="108">
        <f t="shared" si="6"/>
        <v>0</v>
      </c>
      <c r="K45" s="111">
        <f t="shared" si="7"/>
        <v>0</v>
      </c>
      <c r="L45" s="108">
        <f t="shared" si="8"/>
        <v>0</v>
      </c>
      <c r="M45" s="102"/>
      <c r="N45" s="111">
        <f t="shared" si="9"/>
        <v>0</v>
      </c>
      <c r="O45" s="111">
        <f t="shared" si="10"/>
        <v>0</v>
      </c>
      <c r="P45" s="111">
        <f t="shared" si="11"/>
        <v>0</v>
      </c>
      <c r="Q45" s="111">
        <f t="shared" si="12"/>
        <v>0</v>
      </c>
      <c r="R45" s="102"/>
    </row>
    <row r="46">
      <c r="A46" s="106">
        <f>IFERROR(YEAR(SalarioPromedio!B46),"")</f>
        <v>1899</v>
      </c>
      <c r="B46" s="106" t="str">
        <f>SalarioPromedio!D46</f>
        <v/>
      </c>
      <c r="C46" s="105">
        <f>IF(SalarioPromedio!B46="",0,SalarioPromedio!C46-SalarioPromedio!B46+1)</f>
        <v>0</v>
      </c>
      <c r="D46" s="104">
        <f>IF(SalarioPromedio!B46="",0,C46*B46)</f>
        <v>0</v>
      </c>
      <c r="E46" s="104">
        <f t="shared" si="1"/>
        <v>0</v>
      </c>
      <c r="F46" s="104">
        <f t="shared" si="2"/>
        <v>0</v>
      </c>
      <c r="G46" s="107">
        <f t="shared" si="3"/>
        <v>0</v>
      </c>
      <c r="H46" s="108">
        <f t="shared" si="4"/>
        <v>0</v>
      </c>
      <c r="I46" s="104">
        <f t="shared" si="5"/>
        <v>0</v>
      </c>
      <c r="J46" s="108">
        <f t="shared" si="6"/>
        <v>0</v>
      </c>
      <c r="K46" s="111">
        <f t="shared" si="7"/>
        <v>0</v>
      </c>
      <c r="L46" s="108">
        <f t="shared" si="8"/>
        <v>0</v>
      </c>
      <c r="M46" s="102"/>
      <c r="N46" s="111">
        <f t="shared" si="9"/>
        <v>0</v>
      </c>
      <c r="O46" s="111">
        <f t="shared" si="10"/>
        <v>0</v>
      </c>
      <c r="P46" s="111">
        <f t="shared" si="11"/>
        <v>0</v>
      </c>
      <c r="Q46" s="111">
        <f t="shared" si="12"/>
        <v>0</v>
      </c>
      <c r="R46" s="102"/>
    </row>
    <row r="47">
      <c r="A47" s="106">
        <f>IFERROR(YEAR(SalarioPromedio!B47),"")</f>
        <v>1899</v>
      </c>
      <c r="B47" s="106" t="str">
        <f>SalarioPromedio!D47</f>
        <v/>
      </c>
      <c r="C47" s="105">
        <f>IF(SalarioPromedio!B47="",0,SalarioPromedio!C47-SalarioPromedio!B47+1)</f>
        <v>0</v>
      </c>
      <c r="D47" s="104">
        <f>IF(SalarioPromedio!B47="",0,C47*B47)</f>
        <v>0</v>
      </c>
      <c r="E47" s="104">
        <f t="shared" si="1"/>
        <v>0</v>
      </c>
      <c r="F47" s="104">
        <f t="shared" si="2"/>
        <v>0</v>
      </c>
      <c r="G47" s="107">
        <f t="shared" si="3"/>
        <v>0</v>
      </c>
      <c r="H47" s="108">
        <f t="shared" si="4"/>
        <v>0</v>
      </c>
      <c r="I47" s="104">
        <f t="shared" si="5"/>
        <v>0</v>
      </c>
      <c r="J47" s="108">
        <f t="shared" si="6"/>
        <v>0</v>
      </c>
      <c r="K47" s="111">
        <f t="shared" si="7"/>
        <v>0</v>
      </c>
      <c r="L47" s="108">
        <f t="shared" si="8"/>
        <v>0</v>
      </c>
      <c r="M47" s="102"/>
      <c r="N47" s="111">
        <f t="shared" si="9"/>
        <v>0</v>
      </c>
      <c r="O47" s="111">
        <f t="shared" si="10"/>
        <v>0</v>
      </c>
      <c r="P47" s="111">
        <f t="shared" si="11"/>
        <v>0</v>
      </c>
      <c r="Q47" s="111">
        <f t="shared" si="12"/>
        <v>0</v>
      </c>
      <c r="R47" s="102"/>
    </row>
    <row r="48">
      <c r="A48" s="106">
        <f>IFERROR(YEAR(SalarioPromedio!B48),"")</f>
        <v>1899</v>
      </c>
      <c r="B48" s="106" t="str">
        <f>SalarioPromedio!D48</f>
        <v/>
      </c>
      <c r="C48" s="105">
        <f>IF(SalarioPromedio!B48="",0,SalarioPromedio!C48-SalarioPromedio!B48+1)</f>
        <v>0</v>
      </c>
      <c r="D48" s="104">
        <f>IF(SalarioPromedio!B48="",0,C48*B48)</f>
        <v>0</v>
      </c>
      <c r="E48" s="104">
        <f t="shared" si="1"/>
        <v>0</v>
      </c>
      <c r="F48" s="104">
        <f t="shared" si="2"/>
        <v>0</v>
      </c>
      <c r="G48" s="107">
        <f t="shared" si="3"/>
        <v>0</v>
      </c>
      <c r="H48" s="108">
        <f t="shared" si="4"/>
        <v>0</v>
      </c>
      <c r="I48" s="104">
        <f t="shared" si="5"/>
        <v>0</v>
      </c>
      <c r="J48" s="108">
        <f t="shared" si="6"/>
        <v>0</v>
      </c>
      <c r="K48" s="111">
        <f t="shared" si="7"/>
        <v>0</v>
      </c>
      <c r="L48" s="108">
        <f t="shared" si="8"/>
        <v>0</v>
      </c>
      <c r="M48" s="102"/>
      <c r="N48" s="111">
        <f t="shared" si="9"/>
        <v>0</v>
      </c>
      <c r="O48" s="111">
        <f t="shared" si="10"/>
        <v>0</v>
      </c>
      <c r="P48" s="111">
        <f t="shared" si="11"/>
        <v>0</v>
      </c>
      <c r="Q48" s="111">
        <f t="shared" si="12"/>
        <v>0</v>
      </c>
      <c r="R48" s="102"/>
    </row>
    <row r="49">
      <c r="A49" s="106">
        <f>IFERROR(YEAR(SalarioPromedio!B49),"")</f>
        <v>1899</v>
      </c>
      <c r="B49" s="106" t="str">
        <f>SalarioPromedio!D49</f>
        <v/>
      </c>
      <c r="C49" s="105">
        <f>IF(SalarioPromedio!B49="",0,SalarioPromedio!C49-SalarioPromedio!B49+1)</f>
        <v>0</v>
      </c>
      <c r="D49" s="104">
        <f>IF(SalarioPromedio!B49="",0,C49*B49)</f>
        <v>0</v>
      </c>
      <c r="E49" s="104">
        <f t="shared" si="1"/>
        <v>0</v>
      </c>
      <c r="F49" s="104">
        <f t="shared" si="2"/>
        <v>0</v>
      </c>
      <c r="G49" s="107">
        <f t="shared" si="3"/>
        <v>0</v>
      </c>
      <c r="H49" s="108">
        <f t="shared" si="4"/>
        <v>0</v>
      </c>
      <c r="I49" s="104">
        <f t="shared" si="5"/>
        <v>0</v>
      </c>
      <c r="J49" s="108">
        <f t="shared" si="6"/>
        <v>0</v>
      </c>
      <c r="K49" s="111">
        <f t="shared" si="7"/>
        <v>0</v>
      </c>
      <c r="L49" s="108">
        <f t="shared" si="8"/>
        <v>0</v>
      </c>
      <c r="M49" s="102"/>
      <c r="N49" s="111">
        <f t="shared" si="9"/>
        <v>0</v>
      </c>
      <c r="O49" s="111">
        <f t="shared" si="10"/>
        <v>0</v>
      </c>
      <c r="P49" s="111">
        <f t="shared" si="11"/>
        <v>0</v>
      </c>
      <c r="Q49" s="111">
        <f t="shared" si="12"/>
        <v>0</v>
      </c>
      <c r="R49" s="102"/>
    </row>
    <row r="50">
      <c r="A50" s="106">
        <f>IFERROR(YEAR(SalarioPromedio!B50),"")</f>
        <v>1899</v>
      </c>
      <c r="B50" s="106" t="str">
        <f>SalarioPromedio!D50</f>
        <v/>
      </c>
      <c r="C50" s="105">
        <f>IF(SalarioPromedio!B50="",0,SalarioPromedio!C50-SalarioPromedio!B50+1)</f>
        <v>0</v>
      </c>
      <c r="D50" s="104">
        <f>IF(SalarioPromedio!B50="",0,C50*B50)</f>
        <v>0</v>
      </c>
      <c r="E50" s="104">
        <f t="shared" si="1"/>
        <v>0</v>
      </c>
      <c r="F50" s="104">
        <f t="shared" si="2"/>
        <v>0</v>
      </c>
      <c r="G50" s="107">
        <f t="shared" si="3"/>
        <v>0</v>
      </c>
      <c r="H50" s="108">
        <f t="shared" si="4"/>
        <v>0</v>
      </c>
      <c r="I50" s="104">
        <f t="shared" si="5"/>
        <v>0</v>
      </c>
      <c r="J50" s="108">
        <f t="shared" si="6"/>
        <v>0</v>
      </c>
      <c r="K50" s="111">
        <f t="shared" si="7"/>
        <v>0</v>
      </c>
      <c r="L50" s="108">
        <f t="shared" si="8"/>
        <v>0</v>
      </c>
      <c r="M50" s="102"/>
      <c r="N50" s="111">
        <f t="shared" si="9"/>
        <v>0</v>
      </c>
      <c r="O50" s="111">
        <f t="shared" si="10"/>
        <v>0</v>
      </c>
      <c r="P50" s="111">
        <f t="shared" si="11"/>
        <v>0</v>
      </c>
      <c r="Q50" s="111">
        <f t="shared" si="12"/>
        <v>0</v>
      </c>
      <c r="R50" s="102"/>
    </row>
    <row r="51">
      <c r="A51" s="106">
        <f>IFERROR(YEAR(SalarioPromedio!B51),"")</f>
        <v>1899</v>
      </c>
      <c r="B51" s="106" t="str">
        <f>SalarioPromedio!D51</f>
        <v/>
      </c>
      <c r="C51" s="105">
        <f>IF(SalarioPromedio!B51="",0,SalarioPromedio!C51-SalarioPromedio!B51+1)</f>
        <v>0</v>
      </c>
      <c r="D51" s="104">
        <f>IF(SalarioPromedio!B51="",0,C51*B51)</f>
        <v>0</v>
      </c>
      <c r="E51" s="104">
        <f t="shared" si="1"/>
        <v>0</v>
      </c>
      <c r="F51" s="104">
        <f t="shared" si="2"/>
        <v>0</v>
      </c>
      <c r="G51" s="107">
        <f t="shared" si="3"/>
        <v>0</v>
      </c>
      <c r="H51" s="108">
        <f t="shared" si="4"/>
        <v>0</v>
      </c>
      <c r="I51" s="104">
        <f t="shared" si="5"/>
        <v>0</v>
      </c>
      <c r="J51" s="108">
        <f t="shared" si="6"/>
        <v>0</v>
      </c>
      <c r="K51" s="111">
        <f t="shared" si="7"/>
        <v>0</v>
      </c>
      <c r="L51" s="108">
        <f t="shared" si="8"/>
        <v>0</v>
      </c>
      <c r="M51" s="102"/>
      <c r="N51" s="111">
        <f t="shared" si="9"/>
        <v>0</v>
      </c>
      <c r="O51" s="111">
        <f t="shared" si="10"/>
        <v>0</v>
      </c>
      <c r="P51" s="111">
        <f t="shared" si="11"/>
        <v>0</v>
      </c>
      <c r="Q51" s="111">
        <f t="shared" si="12"/>
        <v>0</v>
      </c>
      <c r="R51" s="102"/>
    </row>
    <row r="52">
      <c r="A52" s="106">
        <f>IFERROR(YEAR(SalarioPromedio!B52),"")</f>
        <v>1899</v>
      </c>
      <c r="B52" s="106" t="str">
        <f>SalarioPromedio!D52</f>
        <v/>
      </c>
      <c r="C52" s="105">
        <f>IF(SalarioPromedio!B52="",0,SalarioPromedio!C52-SalarioPromedio!B52+1)</f>
        <v>0</v>
      </c>
      <c r="D52" s="104">
        <f>IF(SalarioPromedio!B52="",0,C52*B52)</f>
        <v>0</v>
      </c>
      <c r="E52" s="104">
        <f t="shared" si="1"/>
        <v>0</v>
      </c>
      <c r="F52" s="104">
        <f t="shared" si="2"/>
        <v>0</v>
      </c>
      <c r="G52" s="107">
        <f t="shared" si="3"/>
        <v>0</v>
      </c>
      <c r="H52" s="108">
        <f t="shared" si="4"/>
        <v>0</v>
      </c>
      <c r="I52" s="104">
        <f t="shared" si="5"/>
        <v>0</v>
      </c>
      <c r="J52" s="108">
        <f t="shared" si="6"/>
        <v>0</v>
      </c>
      <c r="K52" s="111">
        <f t="shared" si="7"/>
        <v>0</v>
      </c>
      <c r="L52" s="108">
        <f t="shared" si="8"/>
        <v>0</v>
      </c>
      <c r="M52" s="102"/>
      <c r="N52" s="111">
        <f t="shared" si="9"/>
        <v>0</v>
      </c>
      <c r="O52" s="111">
        <f t="shared" si="10"/>
        <v>0</v>
      </c>
      <c r="P52" s="111">
        <f t="shared" si="11"/>
        <v>0</v>
      </c>
      <c r="Q52" s="111">
        <f t="shared" si="12"/>
        <v>0</v>
      </c>
      <c r="R52" s="102"/>
    </row>
    <row r="53">
      <c r="A53" s="106">
        <f>IFERROR(YEAR(SalarioPromedio!B53),"")</f>
        <v>1899</v>
      </c>
      <c r="B53" s="106" t="str">
        <f>SalarioPromedio!D53</f>
        <v/>
      </c>
      <c r="C53" s="105">
        <f>IF(SalarioPromedio!B53="",0,SalarioPromedio!C53-SalarioPromedio!B53+1)</f>
        <v>0</v>
      </c>
      <c r="D53" s="104">
        <f>IF(SalarioPromedio!B53="",0,C53*B53)</f>
        <v>0</v>
      </c>
      <c r="E53" s="104">
        <f t="shared" si="1"/>
        <v>0</v>
      </c>
      <c r="F53" s="104">
        <f t="shared" si="2"/>
        <v>0</v>
      </c>
      <c r="G53" s="107">
        <f t="shared" si="3"/>
        <v>0</v>
      </c>
      <c r="H53" s="108">
        <f t="shared" si="4"/>
        <v>0</v>
      </c>
      <c r="I53" s="104">
        <f t="shared" si="5"/>
        <v>0</v>
      </c>
      <c r="J53" s="108">
        <f t="shared" si="6"/>
        <v>0</v>
      </c>
      <c r="K53" s="111">
        <f t="shared" si="7"/>
        <v>0</v>
      </c>
      <c r="L53" s="108">
        <f t="shared" si="8"/>
        <v>0</v>
      </c>
      <c r="M53" s="102"/>
      <c r="N53" s="111">
        <f t="shared" si="9"/>
        <v>0</v>
      </c>
      <c r="O53" s="111">
        <f t="shared" si="10"/>
        <v>0</v>
      </c>
      <c r="P53" s="111">
        <f t="shared" si="11"/>
        <v>0</v>
      </c>
      <c r="Q53" s="111">
        <f t="shared" si="12"/>
        <v>0</v>
      </c>
      <c r="R53" s="102"/>
    </row>
    <row r="54">
      <c r="A54" s="106">
        <f>IFERROR(YEAR(SalarioPromedio!B54),"")</f>
        <v>1899</v>
      </c>
      <c r="B54" s="106" t="str">
        <f>SalarioPromedio!D54</f>
        <v/>
      </c>
      <c r="C54" s="105">
        <f>IF(SalarioPromedio!B54="",0,SalarioPromedio!C54-SalarioPromedio!B54+1)</f>
        <v>0</v>
      </c>
      <c r="D54" s="104">
        <f>IF(SalarioPromedio!B54="",0,C54*B54)</f>
        <v>0</v>
      </c>
      <c r="E54" s="104">
        <f t="shared" si="1"/>
        <v>0</v>
      </c>
      <c r="F54" s="104">
        <f t="shared" si="2"/>
        <v>0</v>
      </c>
      <c r="G54" s="107">
        <f t="shared" si="3"/>
        <v>0</v>
      </c>
      <c r="H54" s="108">
        <f t="shared" si="4"/>
        <v>0</v>
      </c>
      <c r="I54" s="104">
        <f t="shared" si="5"/>
        <v>0</v>
      </c>
      <c r="J54" s="108">
        <f t="shared" si="6"/>
        <v>0</v>
      </c>
      <c r="K54" s="111">
        <f t="shared" si="7"/>
        <v>0</v>
      </c>
      <c r="L54" s="108">
        <f t="shared" si="8"/>
        <v>0</v>
      </c>
      <c r="M54" s="102"/>
      <c r="N54" s="111">
        <f t="shared" si="9"/>
        <v>0</v>
      </c>
      <c r="O54" s="111">
        <f t="shared" si="10"/>
        <v>0</v>
      </c>
      <c r="P54" s="111">
        <f t="shared" si="11"/>
        <v>0</v>
      </c>
      <c r="Q54" s="111">
        <f t="shared" si="12"/>
        <v>0</v>
      </c>
      <c r="R54" s="102"/>
    </row>
    <row r="55">
      <c r="A55" s="106">
        <f>IFERROR(YEAR(SalarioPromedio!B55),"")</f>
        <v>1899</v>
      </c>
      <c r="B55" s="106" t="str">
        <f>SalarioPromedio!D55</f>
        <v/>
      </c>
      <c r="C55" s="105">
        <f>IF(SalarioPromedio!B55="",0,SalarioPromedio!C55-SalarioPromedio!B55+1)</f>
        <v>0</v>
      </c>
      <c r="D55" s="104">
        <f>IF(SalarioPromedio!B55="",0,C55*B55)</f>
        <v>0</v>
      </c>
      <c r="E55" s="104">
        <f t="shared" si="1"/>
        <v>0</v>
      </c>
      <c r="F55" s="104">
        <f t="shared" si="2"/>
        <v>0</v>
      </c>
      <c r="G55" s="107">
        <f t="shared" si="3"/>
        <v>0</v>
      </c>
      <c r="H55" s="108">
        <f t="shared" si="4"/>
        <v>0</v>
      </c>
      <c r="I55" s="104">
        <f t="shared" si="5"/>
        <v>0</v>
      </c>
      <c r="J55" s="108">
        <f t="shared" si="6"/>
        <v>0</v>
      </c>
      <c r="K55" s="111">
        <f t="shared" si="7"/>
        <v>0</v>
      </c>
      <c r="L55" s="108">
        <f t="shared" si="8"/>
        <v>0</v>
      </c>
      <c r="M55" s="102"/>
      <c r="N55" s="111">
        <f t="shared" si="9"/>
        <v>0</v>
      </c>
      <c r="O55" s="111">
        <f t="shared" si="10"/>
        <v>0</v>
      </c>
      <c r="P55" s="111">
        <f t="shared" si="11"/>
        <v>0</v>
      </c>
      <c r="Q55" s="111">
        <f t="shared" si="12"/>
        <v>0</v>
      </c>
      <c r="R55" s="102"/>
    </row>
    <row r="56">
      <c r="A56" s="106">
        <f>IFERROR(YEAR(SalarioPromedio!B56),"")</f>
        <v>1899</v>
      </c>
      <c r="B56" s="106" t="str">
        <f>SalarioPromedio!D56</f>
        <v/>
      </c>
      <c r="C56" s="105">
        <f>IF(SalarioPromedio!B56="",0,SalarioPromedio!C56-SalarioPromedio!B56+1)</f>
        <v>0</v>
      </c>
      <c r="D56" s="104">
        <f>IF(SalarioPromedio!B56="",0,C56*B56)</f>
        <v>0</v>
      </c>
      <c r="E56" s="104">
        <f t="shared" si="1"/>
        <v>0</v>
      </c>
      <c r="F56" s="104">
        <f t="shared" si="2"/>
        <v>0</v>
      </c>
      <c r="G56" s="107">
        <f t="shared" si="3"/>
        <v>0</v>
      </c>
      <c r="H56" s="108">
        <f t="shared" si="4"/>
        <v>0</v>
      </c>
      <c r="I56" s="104">
        <f t="shared" si="5"/>
        <v>0</v>
      </c>
      <c r="J56" s="108">
        <f t="shared" si="6"/>
        <v>0</v>
      </c>
      <c r="K56" s="111">
        <f t="shared" si="7"/>
        <v>0</v>
      </c>
      <c r="L56" s="108">
        <f t="shared" si="8"/>
        <v>0</v>
      </c>
      <c r="M56" s="102"/>
      <c r="N56" s="111">
        <f t="shared" si="9"/>
        <v>0</v>
      </c>
      <c r="O56" s="111">
        <f t="shared" si="10"/>
        <v>0</v>
      </c>
      <c r="P56" s="111">
        <f t="shared" si="11"/>
        <v>0</v>
      </c>
      <c r="Q56" s="111">
        <f t="shared" si="12"/>
        <v>0</v>
      </c>
      <c r="R56" s="102"/>
    </row>
    <row r="57">
      <c r="A57" s="106">
        <f>IFERROR(YEAR(SalarioPromedio!B57),"")</f>
        <v>1899</v>
      </c>
      <c r="B57" s="106" t="str">
        <f>SalarioPromedio!D57</f>
        <v/>
      </c>
      <c r="C57" s="105">
        <f>IF(SalarioPromedio!B57="",0,SalarioPromedio!C57-SalarioPromedio!B57+1)</f>
        <v>0</v>
      </c>
      <c r="D57" s="104">
        <f>IF(SalarioPromedio!B57="",0,C57*B57)</f>
        <v>0</v>
      </c>
      <c r="E57" s="104">
        <f t="shared" si="1"/>
        <v>0</v>
      </c>
      <c r="F57" s="104">
        <f t="shared" si="2"/>
        <v>0</v>
      </c>
      <c r="G57" s="107">
        <f t="shared" si="3"/>
        <v>0</v>
      </c>
      <c r="H57" s="108">
        <f t="shared" si="4"/>
        <v>0</v>
      </c>
      <c r="I57" s="104">
        <f t="shared" si="5"/>
        <v>0</v>
      </c>
      <c r="J57" s="108">
        <f t="shared" si="6"/>
        <v>0</v>
      </c>
      <c r="K57" s="111">
        <f t="shared" si="7"/>
        <v>0</v>
      </c>
      <c r="L57" s="108">
        <f t="shared" si="8"/>
        <v>0</v>
      </c>
      <c r="M57" s="102"/>
      <c r="N57" s="111">
        <f t="shared" si="9"/>
        <v>0</v>
      </c>
      <c r="O57" s="111">
        <f t="shared" si="10"/>
        <v>0</v>
      </c>
      <c r="P57" s="111">
        <f t="shared" si="11"/>
        <v>0</v>
      </c>
      <c r="Q57" s="111">
        <f t="shared" si="12"/>
        <v>0</v>
      </c>
      <c r="R57" s="102"/>
    </row>
    <row r="58">
      <c r="A58" s="106">
        <f>IFERROR(YEAR(SalarioPromedio!B58),"")</f>
        <v>1899</v>
      </c>
      <c r="B58" s="106" t="str">
        <f>SalarioPromedio!D58</f>
        <v/>
      </c>
      <c r="C58" s="105">
        <f>IF(SalarioPromedio!B58="",0,SalarioPromedio!C58-SalarioPromedio!B58+1)</f>
        <v>0</v>
      </c>
      <c r="D58" s="104">
        <f>IF(SalarioPromedio!B58="",0,C58*B58)</f>
        <v>0</v>
      </c>
      <c r="E58" s="104">
        <f t="shared" si="1"/>
        <v>0</v>
      </c>
      <c r="F58" s="104">
        <f t="shared" si="2"/>
        <v>0</v>
      </c>
      <c r="G58" s="107">
        <f t="shared" si="3"/>
        <v>0</v>
      </c>
      <c r="H58" s="108">
        <f t="shared" si="4"/>
        <v>0</v>
      </c>
      <c r="I58" s="104">
        <f t="shared" si="5"/>
        <v>0</v>
      </c>
      <c r="J58" s="108">
        <f t="shared" si="6"/>
        <v>0</v>
      </c>
      <c r="K58" s="111">
        <f t="shared" si="7"/>
        <v>0</v>
      </c>
      <c r="L58" s="108">
        <f t="shared" si="8"/>
        <v>0</v>
      </c>
      <c r="M58" s="102"/>
      <c r="N58" s="111">
        <f t="shared" si="9"/>
        <v>0</v>
      </c>
      <c r="O58" s="111">
        <f t="shared" si="10"/>
        <v>0</v>
      </c>
      <c r="P58" s="111">
        <f t="shared" si="11"/>
        <v>0</v>
      </c>
      <c r="Q58" s="111">
        <f t="shared" si="12"/>
        <v>0</v>
      </c>
      <c r="R58" s="102"/>
    </row>
    <row r="59">
      <c r="A59" s="106">
        <f>IFERROR(YEAR(SalarioPromedio!B59),"")</f>
        <v>1899</v>
      </c>
      <c r="B59" s="106" t="str">
        <f>SalarioPromedio!D59</f>
        <v/>
      </c>
      <c r="C59" s="105">
        <f>IF(SalarioPromedio!B59="",0,SalarioPromedio!C59-SalarioPromedio!B59+1)</f>
        <v>0</v>
      </c>
      <c r="D59" s="104">
        <f>IF(SalarioPromedio!B59="",0,C59*B59)</f>
        <v>0</v>
      </c>
      <c r="E59" s="104">
        <f t="shared" si="1"/>
        <v>0</v>
      </c>
      <c r="F59" s="104">
        <f t="shared" si="2"/>
        <v>0</v>
      </c>
      <c r="G59" s="107">
        <f t="shared" si="3"/>
        <v>0</v>
      </c>
      <c r="H59" s="108">
        <f t="shared" si="4"/>
        <v>0</v>
      </c>
      <c r="I59" s="104">
        <f t="shared" si="5"/>
        <v>0</v>
      </c>
      <c r="J59" s="108">
        <f t="shared" si="6"/>
        <v>0</v>
      </c>
      <c r="K59" s="111">
        <f t="shared" si="7"/>
        <v>0</v>
      </c>
      <c r="L59" s="108">
        <f t="shared" si="8"/>
        <v>0</v>
      </c>
      <c r="M59" s="102"/>
      <c r="N59" s="111">
        <f t="shared" si="9"/>
        <v>0</v>
      </c>
      <c r="O59" s="111">
        <f t="shared" si="10"/>
        <v>0</v>
      </c>
      <c r="P59" s="111">
        <f t="shared" si="11"/>
        <v>0</v>
      </c>
      <c r="Q59" s="111">
        <f t="shared" si="12"/>
        <v>0</v>
      </c>
      <c r="R59" s="102"/>
    </row>
    <row r="60">
      <c r="A60" s="106">
        <f>IFERROR(YEAR(SalarioPromedio!B60),"")</f>
        <v>1899</v>
      </c>
      <c r="B60" s="106" t="str">
        <f>SalarioPromedio!D60</f>
        <v/>
      </c>
      <c r="C60" s="105">
        <f>IF(SalarioPromedio!B60="",0,SalarioPromedio!C60-SalarioPromedio!B60+1)</f>
        <v>0</v>
      </c>
      <c r="D60" s="104">
        <f>IF(SalarioPromedio!B60="",0,C60*B60)</f>
        <v>0</v>
      </c>
      <c r="E60" s="104">
        <f t="shared" si="1"/>
        <v>0</v>
      </c>
      <c r="F60" s="104">
        <f t="shared" si="2"/>
        <v>0</v>
      </c>
      <c r="G60" s="107">
        <f t="shared" si="3"/>
        <v>0</v>
      </c>
      <c r="H60" s="108">
        <f t="shared" si="4"/>
        <v>0</v>
      </c>
      <c r="I60" s="104">
        <f t="shared" si="5"/>
        <v>0</v>
      </c>
      <c r="J60" s="108">
        <f t="shared" si="6"/>
        <v>0</v>
      </c>
      <c r="K60" s="111">
        <f t="shared" si="7"/>
        <v>0</v>
      </c>
      <c r="L60" s="108">
        <f t="shared" si="8"/>
        <v>0</v>
      </c>
      <c r="M60" s="102"/>
      <c r="N60" s="111">
        <f t="shared" si="9"/>
        <v>0</v>
      </c>
      <c r="O60" s="111">
        <f t="shared" si="10"/>
        <v>0</v>
      </c>
      <c r="P60" s="111">
        <f t="shared" si="11"/>
        <v>0</v>
      </c>
      <c r="Q60" s="111">
        <f t="shared" si="12"/>
        <v>0</v>
      </c>
      <c r="R60" s="102"/>
    </row>
    <row r="61">
      <c r="A61" s="106">
        <f>IFERROR(YEAR(SalarioPromedio!B61),"")</f>
        <v>1899</v>
      </c>
      <c r="B61" s="106" t="str">
        <f>SalarioPromedio!D61</f>
        <v/>
      </c>
      <c r="C61" s="105">
        <f>IF(SalarioPromedio!B61="",0,SalarioPromedio!C61-SalarioPromedio!B61+1)</f>
        <v>0</v>
      </c>
      <c r="D61" s="104">
        <f>IF(SalarioPromedio!B61="",0,C61*B61)</f>
        <v>0</v>
      </c>
      <c r="E61" s="104">
        <f t="shared" si="1"/>
        <v>0</v>
      </c>
      <c r="F61" s="104">
        <f t="shared" si="2"/>
        <v>0</v>
      </c>
      <c r="G61" s="107">
        <f t="shared" si="3"/>
        <v>0</v>
      </c>
      <c r="H61" s="108">
        <f t="shared" si="4"/>
        <v>0</v>
      </c>
      <c r="I61" s="104">
        <f t="shared" si="5"/>
        <v>0</v>
      </c>
      <c r="J61" s="108">
        <f t="shared" si="6"/>
        <v>0</v>
      </c>
      <c r="K61" s="111">
        <f t="shared" si="7"/>
        <v>0</v>
      </c>
      <c r="L61" s="108">
        <f t="shared" si="8"/>
        <v>0</v>
      </c>
      <c r="M61" s="102"/>
      <c r="N61" s="111">
        <f t="shared" si="9"/>
        <v>0</v>
      </c>
      <c r="O61" s="111">
        <f t="shared" si="10"/>
        <v>0</v>
      </c>
      <c r="P61" s="111">
        <f t="shared" si="11"/>
        <v>0</v>
      </c>
      <c r="Q61" s="111">
        <f t="shared" si="12"/>
        <v>0</v>
      </c>
      <c r="R61" s="102"/>
    </row>
    <row r="62">
      <c r="A62" s="106">
        <f>IFERROR(YEAR(SalarioPromedio!B62),"")</f>
        <v>1899</v>
      </c>
      <c r="B62" s="106" t="str">
        <f>SalarioPromedio!D62</f>
        <v/>
      </c>
      <c r="C62" s="105">
        <f>IF(SalarioPromedio!B62="",0,SalarioPromedio!C62-SalarioPromedio!B62+1)</f>
        <v>0</v>
      </c>
      <c r="D62" s="104">
        <f>IF(SalarioPromedio!B62="",0,C62*B62)</f>
        <v>0</v>
      </c>
      <c r="E62" s="104">
        <f t="shared" si="1"/>
        <v>0</v>
      </c>
      <c r="F62" s="104">
        <f t="shared" si="2"/>
        <v>0</v>
      </c>
      <c r="G62" s="107">
        <f t="shared" si="3"/>
        <v>0</v>
      </c>
      <c r="H62" s="108">
        <f t="shared" si="4"/>
        <v>0</v>
      </c>
      <c r="I62" s="104">
        <f t="shared" si="5"/>
        <v>0</v>
      </c>
      <c r="J62" s="108">
        <f t="shared" si="6"/>
        <v>0</v>
      </c>
      <c r="K62" s="111">
        <f t="shared" si="7"/>
        <v>0</v>
      </c>
      <c r="L62" s="108">
        <f t="shared" si="8"/>
        <v>0</v>
      </c>
      <c r="M62" s="102"/>
      <c r="N62" s="111">
        <f t="shared" si="9"/>
        <v>0</v>
      </c>
      <c r="O62" s="111">
        <f t="shared" si="10"/>
        <v>0</v>
      </c>
      <c r="P62" s="111">
        <f t="shared" si="11"/>
        <v>0</v>
      </c>
      <c r="Q62" s="111">
        <f t="shared" si="12"/>
        <v>0</v>
      </c>
      <c r="R62" s="102"/>
    </row>
    <row r="63">
      <c r="A63" s="106">
        <f>IFERROR(YEAR(SalarioPromedio!B63),"")</f>
        <v>1899</v>
      </c>
      <c r="B63" s="106" t="str">
        <f>SalarioPromedio!D63</f>
        <v/>
      </c>
      <c r="C63" s="105">
        <f>IF(SalarioPromedio!B63="",0,SalarioPromedio!C63-SalarioPromedio!B63+1)</f>
        <v>0</v>
      </c>
      <c r="D63" s="104">
        <f>IF(SalarioPromedio!B63="",0,C63*B63)</f>
        <v>0</v>
      </c>
      <c r="E63" s="104">
        <f t="shared" si="1"/>
        <v>0</v>
      </c>
      <c r="F63" s="104">
        <f t="shared" si="2"/>
        <v>0</v>
      </c>
      <c r="G63" s="107">
        <f t="shared" si="3"/>
        <v>0</v>
      </c>
      <c r="H63" s="108">
        <f t="shared" si="4"/>
        <v>0</v>
      </c>
      <c r="I63" s="104">
        <f t="shared" si="5"/>
        <v>0</v>
      </c>
      <c r="J63" s="108">
        <f t="shared" si="6"/>
        <v>0</v>
      </c>
      <c r="K63" s="111">
        <f t="shared" si="7"/>
        <v>0</v>
      </c>
      <c r="L63" s="108">
        <f t="shared" si="8"/>
        <v>0</v>
      </c>
      <c r="M63" s="102"/>
      <c r="N63" s="111">
        <f t="shared" si="9"/>
        <v>0</v>
      </c>
      <c r="O63" s="111">
        <f t="shared" si="10"/>
        <v>0</v>
      </c>
      <c r="P63" s="111">
        <f t="shared" si="11"/>
        <v>0</v>
      </c>
      <c r="Q63" s="111">
        <f t="shared" si="12"/>
        <v>0</v>
      </c>
      <c r="R63" s="102"/>
    </row>
    <row r="64">
      <c r="A64" s="106">
        <f>IFERROR(YEAR(SalarioPromedio!B64),"")</f>
        <v>1899</v>
      </c>
      <c r="B64" s="106" t="str">
        <f>SalarioPromedio!D64</f>
        <v/>
      </c>
      <c r="C64" s="105">
        <f>IF(SalarioPromedio!B64="",0,SalarioPromedio!C64-SalarioPromedio!B64+1)</f>
        <v>0</v>
      </c>
      <c r="D64" s="104">
        <f>IF(SalarioPromedio!B64="",0,C64*B64)</f>
        <v>0</v>
      </c>
      <c r="E64" s="104">
        <f t="shared" si="1"/>
        <v>0</v>
      </c>
      <c r="F64" s="104">
        <f t="shared" si="2"/>
        <v>0</v>
      </c>
      <c r="G64" s="107">
        <f t="shared" si="3"/>
        <v>0</v>
      </c>
      <c r="H64" s="108">
        <f t="shared" si="4"/>
        <v>0</v>
      </c>
      <c r="I64" s="104">
        <f t="shared" si="5"/>
        <v>0</v>
      </c>
      <c r="J64" s="108">
        <f t="shared" si="6"/>
        <v>0</v>
      </c>
      <c r="K64" s="111">
        <f t="shared" si="7"/>
        <v>0</v>
      </c>
      <c r="L64" s="108">
        <f t="shared" si="8"/>
        <v>0</v>
      </c>
      <c r="M64" s="102"/>
      <c r="N64" s="111">
        <f t="shared" si="9"/>
        <v>0</v>
      </c>
      <c r="O64" s="111">
        <f t="shared" si="10"/>
        <v>0</v>
      </c>
      <c r="P64" s="111">
        <f t="shared" si="11"/>
        <v>0</v>
      </c>
      <c r="Q64" s="111">
        <f t="shared" si="12"/>
        <v>0</v>
      </c>
      <c r="R64" s="102"/>
    </row>
    <row r="65">
      <c r="A65" s="106">
        <f>IFERROR(YEAR(SalarioPromedio!B65),"")</f>
        <v>1899</v>
      </c>
      <c r="B65" s="106" t="str">
        <f>SalarioPromedio!D65</f>
        <v/>
      </c>
      <c r="C65" s="105">
        <f>IF(SalarioPromedio!B65="",0,SalarioPromedio!C65-SalarioPromedio!B65+1)</f>
        <v>0</v>
      </c>
      <c r="D65" s="104">
        <f>IF(SalarioPromedio!B65="",0,C65*B65)</f>
        <v>0</v>
      </c>
      <c r="E65" s="104">
        <f t="shared" si="1"/>
        <v>0</v>
      </c>
      <c r="F65" s="104">
        <f t="shared" si="2"/>
        <v>0</v>
      </c>
      <c r="G65" s="107">
        <f t="shared" si="3"/>
        <v>0</v>
      </c>
      <c r="H65" s="108">
        <f t="shared" si="4"/>
        <v>0</v>
      </c>
      <c r="I65" s="104">
        <f t="shared" si="5"/>
        <v>0</v>
      </c>
      <c r="J65" s="108">
        <f t="shared" si="6"/>
        <v>0</v>
      </c>
      <c r="K65" s="111">
        <f t="shared" si="7"/>
        <v>0</v>
      </c>
      <c r="L65" s="108">
        <f t="shared" si="8"/>
        <v>0</v>
      </c>
      <c r="M65" s="102"/>
      <c r="N65" s="111">
        <f t="shared" si="9"/>
        <v>0</v>
      </c>
      <c r="O65" s="111">
        <f t="shared" si="10"/>
        <v>0</v>
      </c>
      <c r="P65" s="111">
        <f t="shared" si="11"/>
        <v>0</v>
      </c>
      <c r="Q65" s="111">
        <f t="shared" si="12"/>
        <v>0</v>
      </c>
      <c r="R65" s="102"/>
    </row>
    <row r="66">
      <c r="A66" s="106">
        <f>IFERROR(YEAR(SalarioPromedio!B66),"")</f>
        <v>1899</v>
      </c>
      <c r="B66" s="106" t="str">
        <f>SalarioPromedio!D66</f>
        <v/>
      </c>
      <c r="C66" s="105">
        <f>IF(SalarioPromedio!B66="",0,SalarioPromedio!C66-SalarioPromedio!B66+1)</f>
        <v>0</v>
      </c>
      <c r="D66" s="104">
        <f>IF(SalarioPromedio!B66="",0,C66*B66)</f>
        <v>0</v>
      </c>
      <c r="E66" s="104">
        <f t="shared" si="1"/>
        <v>0</v>
      </c>
      <c r="F66" s="104">
        <f t="shared" si="2"/>
        <v>0</v>
      </c>
      <c r="G66" s="107">
        <f t="shared" si="3"/>
        <v>0</v>
      </c>
      <c r="H66" s="108">
        <f t="shared" si="4"/>
        <v>0</v>
      </c>
      <c r="I66" s="104">
        <f t="shared" si="5"/>
        <v>0</v>
      </c>
      <c r="J66" s="108">
        <f t="shared" si="6"/>
        <v>0</v>
      </c>
      <c r="K66" s="111">
        <f t="shared" si="7"/>
        <v>0</v>
      </c>
      <c r="L66" s="108">
        <f t="shared" si="8"/>
        <v>0</v>
      </c>
      <c r="M66" s="102"/>
      <c r="N66" s="111">
        <f t="shared" si="9"/>
        <v>0</v>
      </c>
      <c r="O66" s="111">
        <f t="shared" si="10"/>
        <v>0</v>
      </c>
      <c r="P66" s="111">
        <f t="shared" si="11"/>
        <v>0</v>
      </c>
      <c r="Q66" s="111">
        <f t="shared" si="12"/>
        <v>0</v>
      </c>
      <c r="R66" s="102"/>
    </row>
    <row r="67">
      <c r="A67" s="106">
        <f>IFERROR(YEAR(SalarioPromedio!B67),"")</f>
        <v>1899</v>
      </c>
      <c r="B67" s="106" t="str">
        <f>SalarioPromedio!D67</f>
        <v/>
      </c>
      <c r="C67" s="105">
        <f>IF(SalarioPromedio!B67="",0,SalarioPromedio!C67-SalarioPromedio!B67+1)</f>
        <v>0</v>
      </c>
      <c r="D67" s="104">
        <f>IF(SalarioPromedio!B67="",0,C67*B67)</f>
        <v>0</v>
      </c>
      <c r="E67" s="104">
        <f t="shared" si="1"/>
        <v>0</v>
      </c>
      <c r="F67" s="104">
        <f t="shared" si="2"/>
        <v>0</v>
      </c>
      <c r="G67" s="107">
        <f t="shared" si="3"/>
        <v>0</v>
      </c>
      <c r="H67" s="108">
        <f t="shared" si="4"/>
        <v>0</v>
      </c>
      <c r="I67" s="104">
        <f t="shared" si="5"/>
        <v>0</v>
      </c>
      <c r="J67" s="108">
        <f t="shared" si="6"/>
        <v>0</v>
      </c>
      <c r="K67" s="111">
        <f t="shared" si="7"/>
        <v>0</v>
      </c>
      <c r="L67" s="108">
        <f t="shared" si="8"/>
        <v>0</v>
      </c>
      <c r="M67" s="102"/>
      <c r="N67" s="111">
        <f t="shared" si="9"/>
        <v>0</v>
      </c>
      <c r="O67" s="111">
        <f t="shared" si="10"/>
        <v>0</v>
      </c>
      <c r="P67" s="111">
        <f t="shared" si="11"/>
        <v>0</v>
      </c>
      <c r="Q67" s="111">
        <f t="shared" si="12"/>
        <v>0</v>
      </c>
      <c r="R67" s="102"/>
    </row>
    <row r="68">
      <c r="A68" s="106">
        <f>IFERROR(YEAR(SalarioPromedio!B68),"")</f>
        <v>1899</v>
      </c>
      <c r="B68" s="106" t="str">
        <f>SalarioPromedio!D68</f>
        <v/>
      </c>
      <c r="C68" s="105">
        <f>IF(SalarioPromedio!B68="",0,SalarioPromedio!C68-SalarioPromedio!B68+1)</f>
        <v>0</v>
      </c>
      <c r="D68" s="104">
        <f>IF(SalarioPromedio!B68="",0,C68*B68)</f>
        <v>0</v>
      </c>
      <c r="E68" s="104">
        <f t="shared" si="1"/>
        <v>0</v>
      </c>
      <c r="F68" s="104">
        <f t="shared" si="2"/>
        <v>0</v>
      </c>
      <c r="G68" s="107">
        <f t="shared" si="3"/>
        <v>0</v>
      </c>
      <c r="H68" s="108">
        <f t="shared" si="4"/>
        <v>0</v>
      </c>
      <c r="I68" s="104">
        <f t="shared" si="5"/>
        <v>0</v>
      </c>
      <c r="J68" s="108">
        <f t="shared" si="6"/>
        <v>0</v>
      </c>
      <c r="K68" s="111">
        <f t="shared" si="7"/>
        <v>0</v>
      </c>
      <c r="L68" s="108">
        <f t="shared" si="8"/>
        <v>0</v>
      </c>
      <c r="M68" s="102"/>
      <c r="N68" s="111">
        <f t="shared" si="9"/>
        <v>0</v>
      </c>
      <c r="O68" s="111">
        <f t="shared" si="10"/>
        <v>0</v>
      </c>
      <c r="P68" s="111">
        <f t="shared" si="11"/>
        <v>0</v>
      </c>
      <c r="Q68" s="111">
        <f t="shared" si="12"/>
        <v>0</v>
      </c>
      <c r="R68" s="102"/>
    </row>
    <row r="69">
      <c r="A69" s="106">
        <f>IFERROR(YEAR(SalarioPromedio!B69),"")</f>
        <v>1899</v>
      </c>
      <c r="B69" s="106" t="str">
        <f>SalarioPromedio!D69</f>
        <v/>
      </c>
      <c r="C69" s="105">
        <f>IF(SalarioPromedio!B69="",0,SalarioPromedio!C69-SalarioPromedio!B69+1)</f>
        <v>0</v>
      </c>
      <c r="D69" s="104">
        <f>IF(SalarioPromedio!B69="",0,C69*B69)</f>
        <v>0</v>
      </c>
      <c r="E69" s="104">
        <f t="shared" si="1"/>
        <v>0</v>
      </c>
      <c r="F69" s="104">
        <f t="shared" si="2"/>
        <v>0</v>
      </c>
      <c r="G69" s="107">
        <f t="shared" si="3"/>
        <v>0</v>
      </c>
      <c r="H69" s="108">
        <f t="shared" si="4"/>
        <v>0</v>
      </c>
      <c r="I69" s="104">
        <f t="shared" si="5"/>
        <v>0</v>
      </c>
      <c r="J69" s="108">
        <f t="shared" si="6"/>
        <v>0</v>
      </c>
      <c r="K69" s="111">
        <f t="shared" si="7"/>
        <v>0</v>
      </c>
      <c r="L69" s="108">
        <f t="shared" si="8"/>
        <v>0</v>
      </c>
      <c r="M69" s="102"/>
      <c r="N69" s="111">
        <f t="shared" si="9"/>
        <v>0</v>
      </c>
      <c r="O69" s="111">
        <f t="shared" si="10"/>
        <v>0</v>
      </c>
      <c r="P69" s="111">
        <f t="shared" si="11"/>
        <v>0</v>
      </c>
      <c r="Q69" s="111">
        <f t="shared" si="12"/>
        <v>0</v>
      </c>
      <c r="R69" s="102"/>
    </row>
    <row r="70">
      <c r="A70" s="106">
        <f>IFERROR(YEAR(SalarioPromedio!B70),"")</f>
        <v>1899</v>
      </c>
      <c r="B70" s="106" t="str">
        <f>SalarioPromedio!D70</f>
        <v/>
      </c>
      <c r="C70" s="105">
        <f>IF(SalarioPromedio!B70="",0,SalarioPromedio!C70-SalarioPromedio!B70+1)</f>
        <v>0</v>
      </c>
      <c r="D70" s="104">
        <f>IF(SalarioPromedio!B70="",0,C70*B70)</f>
        <v>0</v>
      </c>
      <c r="E70" s="104">
        <f t="shared" si="1"/>
        <v>0</v>
      </c>
      <c r="F70" s="104">
        <f t="shared" si="2"/>
        <v>0</v>
      </c>
      <c r="G70" s="107">
        <f t="shared" si="3"/>
        <v>0</v>
      </c>
      <c r="H70" s="108">
        <f t="shared" si="4"/>
        <v>0</v>
      </c>
      <c r="I70" s="104">
        <f t="shared" si="5"/>
        <v>0</v>
      </c>
      <c r="J70" s="108">
        <f t="shared" si="6"/>
        <v>0</v>
      </c>
      <c r="K70" s="111">
        <f t="shared" si="7"/>
        <v>0</v>
      </c>
      <c r="L70" s="108">
        <f t="shared" si="8"/>
        <v>0</v>
      </c>
      <c r="M70" s="102"/>
      <c r="N70" s="111">
        <f t="shared" si="9"/>
        <v>0</v>
      </c>
      <c r="O70" s="111">
        <f t="shared" si="10"/>
        <v>0</v>
      </c>
      <c r="P70" s="111">
        <f t="shared" si="11"/>
        <v>0</v>
      </c>
      <c r="Q70" s="111">
        <f t="shared" si="12"/>
        <v>0</v>
      </c>
      <c r="R70" s="102"/>
    </row>
    <row r="71">
      <c r="A71" s="106">
        <f>IFERROR(YEAR(SalarioPromedio!B71),"")</f>
        <v>1899</v>
      </c>
      <c r="B71" s="106" t="str">
        <f>SalarioPromedio!D71</f>
        <v/>
      </c>
      <c r="C71" s="105">
        <f>IF(SalarioPromedio!B71="",0,SalarioPromedio!C71-SalarioPromedio!B71+1)</f>
        <v>0</v>
      </c>
      <c r="D71" s="104">
        <f>IF(SalarioPromedio!B71="",0,C71*B71)</f>
        <v>0</v>
      </c>
      <c r="E71" s="104">
        <f t="shared" si="1"/>
        <v>0</v>
      </c>
      <c r="F71" s="104">
        <f t="shared" si="2"/>
        <v>0</v>
      </c>
      <c r="G71" s="107">
        <f t="shared" si="3"/>
        <v>0</v>
      </c>
      <c r="H71" s="108">
        <f t="shared" si="4"/>
        <v>0</v>
      </c>
      <c r="I71" s="104">
        <f t="shared" si="5"/>
        <v>0</v>
      </c>
      <c r="J71" s="108">
        <f t="shared" si="6"/>
        <v>0</v>
      </c>
      <c r="K71" s="111">
        <f t="shared" si="7"/>
        <v>0</v>
      </c>
      <c r="L71" s="108">
        <f t="shared" si="8"/>
        <v>0</v>
      </c>
      <c r="M71" s="102"/>
      <c r="N71" s="111">
        <f t="shared" si="9"/>
        <v>0</v>
      </c>
      <c r="O71" s="111">
        <f t="shared" si="10"/>
        <v>0</v>
      </c>
      <c r="P71" s="111">
        <f t="shared" si="11"/>
        <v>0</v>
      </c>
      <c r="Q71" s="111">
        <f t="shared" si="12"/>
        <v>0</v>
      </c>
      <c r="R71" s="102"/>
    </row>
    <row r="72">
      <c r="A72" s="106">
        <f>IFERROR(YEAR(SalarioPromedio!B72),"")</f>
        <v>1899</v>
      </c>
      <c r="B72" s="106" t="str">
        <f>SalarioPromedio!D72</f>
        <v/>
      </c>
      <c r="C72" s="105">
        <f>IF(SalarioPromedio!B72="",0,SalarioPromedio!C72-SalarioPromedio!B72+1)</f>
        <v>0</v>
      </c>
      <c r="D72" s="104">
        <f>IF(SalarioPromedio!B72="",0,C72*B72)</f>
        <v>0</v>
      </c>
      <c r="E72" s="104">
        <f t="shared" si="1"/>
        <v>0</v>
      </c>
      <c r="F72" s="104">
        <f t="shared" si="2"/>
        <v>0</v>
      </c>
      <c r="G72" s="107">
        <f t="shared" si="3"/>
        <v>0</v>
      </c>
      <c r="H72" s="108">
        <f t="shared" si="4"/>
        <v>0</v>
      </c>
      <c r="I72" s="104">
        <f t="shared" si="5"/>
        <v>0</v>
      </c>
      <c r="J72" s="108">
        <f t="shared" si="6"/>
        <v>0</v>
      </c>
      <c r="K72" s="111">
        <f t="shared" si="7"/>
        <v>0</v>
      </c>
      <c r="L72" s="108">
        <f t="shared" si="8"/>
        <v>0</v>
      </c>
      <c r="M72" s="102"/>
      <c r="N72" s="111">
        <f t="shared" si="9"/>
        <v>0</v>
      </c>
      <c r="O72" s="111">
        <f t="shared" si="10"/>
        <v>0</v>
      </c>
      <c r="P72" s="111">
        <f t="shared" si="11"/>
        <v>0</v>
      </c>
      <c r="Q72" s="111">
        <f t="shared" si="12"/>
        <v>0</v>
      </c>
      <c r="R72" s="102"/>
    </row>
    <row r="73">
      <c r="A73" s="106">
        <f>IFERROR(YEAR(SalarioPromedio!B73),"")</f>
        <v>1899</v>
      </c>
      <c r="B73" s="106" t="str">
        <f>SalarioPromedio!D73</f>
        <v/>
      </c>
      <c r="C73" s="105">
        <f>IF(SalarioPromedio!B73="",0,SalarioPromedio!C73-SalarioPromedio!B73+1)</f>
        <v>0</v>
      </c>
      <c r="D73" s="104">
        <f>IF(SalarioPromedio!B73="",0,C73*B73)</f>
        <v>0</v>
      </c>
      <c r="E73" s="104">
        <f t="shared" si="1"/>
        <v>0</v>
      </c>
      <c r="F73" s="104">
        <f t="shared" si="2"/>
        <v>0</v>
      </c>
      <c r="G73" s="107">
        <f t="shared" si="3"/>
        <v>0</v>
      </c>
      <c r="H73" s="108">
        <f t="shared" si="4"/>
        <v>0</v>
      </c>
      <c r="I73" s="104">
        <f t="shared" si="5"/>
        <v>0</v>
      </c>
      <c r="J73" s="108">
        <f t="shared" si="6"/>
        <v>0</v>
      </c>
      <c r="K73" s="111">
        <f t="shared" si="7"/>
        <v>0</v>
      </c>
      <c r="L73" s="108">
        <f t="shared" si="8"/>
        <v>0</v>
      </c>
      <c r="M73" s="102"/>
      <c r="N73" s="111">
        <f t="shared" si="9"/>
        <v>0</v>
      </c>
      <c r="O73" s="111">
        <f t="shared" si="10"/>
        <v>0</v>
      </c>
      <c r="P73" s="111">
        <f t="shared" si="11"/>
        <v>0</v>
      </c>
      <c r="Q73" s="111">
        <f t="shared" si="12"/>
        <v>0</v>
      </c>
      <c r="R73" s="102"/>
    </row>
    <row r="74">
      <c r="A74" s="106">
        <f>IFERROR(YEAR(SalarioPromedio!B74),"")</f>
        <v>1899</v>
      </c>
      <c r="B74" s="106" t="str">
        <f>SalarioPromedio!D74</f>
        <v/>
      </c>
      <c r="C74" s="105">
        <f>IF(SalarioPromedio!B74="",0,SalarioPromedio!C74-SalarioPromedio!B74+1)</f>
        <v>0</v>
      </c>
      <c r="D74" s="104">
        <f>IF(SalarioPromedio!B74="",0,C74*B74)</f>
        <v>0</v>
      </c>
      <c r="E74" s="104">
        <f t="shared" si="1"/>
        <v>0</v>
      </c>
      <c r="F74" s="104">
        <f t="shared" si="2"/>
        <v>0</v>
      </c>
      <c r="G74" s="107">
        <f t="shared" si="3"/>
        <v>0</v>
      </c>
      <c r="H74" s="108">
        <f t="shared" si="4"/>
        <v>0</v>
      </c>
      <c r="I74" s="104">
        <f t="shared" si="5"/>
        <v>0</v>
      </c>
      <c r="J74" s="108">
        <f t="shared" si="6"/>
        <v>0</v>
      </c>
      <c r="K74" s="111">
        <f t="shared" si="7"/>
        <v>0</v>
      </c>
      <c r="L74" s="108">
        <f t="shared" si="8"/>
        <v>0</v>
      </c>
      <c r="M74" s="102"/>
      <c r="N74" s="111">
        <f t="shared" si="9"/>
        <v>0</v>
      </c>
      <c r="O74" s="111">
        <f t="shared" si="10"/>
        <v>0</v>
      </c>
      <c r="P74" s="111">
        <f t="shared" si="11"/>
        <v>0</v>
      </c>
      <c r="Q74" s="111">
        <f t="shared" si="12"/>
        <v>0</v>
      </c>
      <c r="R74" s="102"/>
    </row>
    <row r="75">
      <c r="A75" s="106">
        <f>IFERROR(YEAR(SalarioPromedio!B75),"")</f>
        <v>1899</v>
      </c>
      <c r="B75" s="106" t="str">
        <f>SalarioPromedio!D75</f>
        <v/>
      </c>
      <c r="C75" s="105">
        <f>IF(SalarioPromedio!B75="",0,SalarioPromedio!C75-SalarioPromedio!B75+1)</f>
        <v>0</v>
      </c>
      <c r="D75" s="104">
        <f>IF(SalarioPromedio!B75="",0,C75*B75)</f>
        <v>0</v>
      </c>
      <c r="E75" s="104">
        <f t="shared" si="1"/>
        <v>0</v>
      </c>
      <c r="F75" s="104">
        <f t="shared" si="2"/>
        <v>0</v>
      </c>
      <c r="G75" s="107">
        <f t="shared" si="3"/>
        <v>0</v>
      </c>
      <c r="H75" s="108">
        <f t="shared" si="4"/>
        <v>0</v>
      </c>
      <c r="I75" s="104">
        <f t="shared" si="5"/>
        <v>0</v>
      </c>
      <c r="J75" s="108">
        <f t="shared" si="6"/>
        <v>0</v>
      </c>
      <c r="K75" s="111">
        <f t="shared" si="7"/>
        <v>0</v>
      </c>
      <c r="L75" s="108">
        <f t="shared" si="8"/>
        <v>0</v>
      </c>
      <c r="M75" s="102"/>
      <c r="N75" s="111">
        <f t="shared" si="9"/>
        <v>0</v>
      </c>
      <c r="O75" s="111">
        <f t="shared" si="10"/>
        <v>0</v>
      </c>
      <c r="P75" s="111">
        <f t="shared" si="11"/>
        <v>0</v>
      </c>
      <c r="Q75" s="111">
        <f t="shared" si="12"/>
        <v>0</v>
      </c>
      <c r="R75" s="102"/>
    </row>
    <row r="76">
      <c r="A76" s="106">
        <f>IFERROR(YEAR(SalarioPromedio!B76),"")</f>
        <v>1899</v>
      </c>
      <c r="B76" s="106" t="str">
        <f>SalarioPromedio!D76</f>
        <v/>
      </c>
      <c r="C76" s="105">
        <f>IF(SalarioPromedio!B76="",0,SalarioPromedio!C76-SalarioPromedio!B76+1)</f>
        <v>0</v>
      </c>
      <c r="D76" s="104">
        <f>IF(SalarioPromedio!B76="",0,C76*B76)</f>
        <v>0</v>
      </c>
      <c r="E76" s="104">
        <f t="shared" si="1"/>
        <v>0</v>
      </c>
      <c r="F76" s="104">
        <f t="shared" si="2"/>
        <v>0</v>
      </c>
      <c r="G76" s="107">
        <f t="shared" si="3"/>
        <v>0</v>
      </c>
      <c r="H76" s="108">
        <f t="shared" si="4"/>
        <v>0</v>
      </c>
      <c r="I76" s="104">
        <f t="shared" si="5"/>
        <v>0</v>
      </c>
      <c r="J76" s="108">
        <f t="shared" si="6"/>
        <v>0</v>
      </c>
      <c r="K76" s="111">
        <f t="shared" si="7"/>
        <v>0</v>
      </c>
      <c r="L76" s="108">
        <f t="shared" si="8"/>
        <v>0</v>
      </c>
      <c r="M76" s="102"/>
      <c r="N76" s="111">
        <f t="shared" si="9"/>
        <v>0</v>
      </c>
      <c r="O76" s="111">
        <f t="shared" si="10"/>
        <v>0</v>
      </c>
      <c r="P76" s="111">
        <f t="shared" si="11"/>
        <v>0</v>
      </c>
      <c r="Q76" s="111">
        <f t="shared" si="12"/>
        <v>0</v>
      </c>
      <c r="R76" s="102"/>
    </row>
    <row r="77">
      <c r="A77" s="106">
        <f>IFERROR(YEAR(SalarioPromedio!B77),"")</f>
        <v>1899</v>
      </c>
      <c r="B77" s="106" t="str">
        <f>SalarioPromedio!D77</f>
        <v/>
      </c>
      <c r="C77" s="105">
        <f>IF(SalarioPromedio!B77="",0,SalarioPromedio!C77-SalarioPromedio!B77+1)</f>
        <v>0</v>
      </c>
      <c r="D77" s="104">
        <f>IF(SalarioPromedio!B77="",0,C77*B77)</f>
        <v>0</v>
      </c>
      <c r="E77" s="104">
        <f t="shared" si="1"/>
        <v>0</v>
      </c>
      <c r="F77" s="104">
        <f t="shared" si="2"/>
        <v>0</v>
      </c>
      <c r="G77" s="107">
        <f t="shared" si="3"/>
        <v>0</v>
      </c>
      <c r="H77" s="108">
        <f t="shared" si="4"/>
        <v>0</v>
      </c>
      <c r="I77" s="104">
        <f t="shared" si="5"/>
        <v>0</v>
      </c>
      <c r="J77" s="108">
        <f t="shared" si="6"/>
        <v>0</v>
      </c>
      <c r="K77" s="111">
        <f t="shared" si="7"/>
        <v>0</v>
      </c>
      <c r="L77" s="108">
        <f t="shared" si="8"/>
        <v>0</v>
      </c>
      <c r="M77" s="102"/>
      <c r="N77" s="111">
        <f t="shared" si="9"/>
        <v>0</v>
      </c>
      <c r="O77" s="111">
        <f t="shared" si="10"/>
        <v>0</v>
      </c>
      <c r="P77" s="111">
        <f t="shared" si="11"/>
        <v>0</v>
      </c>
      <c r="Q77" s="111">
        <f t="shared" si="12"/>
        <v>0</v>
      </c>
      <c r="R77" s="102"/>
    </row>
    <row r="78">
      <c r="A78" s="106">
        <f>IFERROR(YEAR(SalarioPromedio!B78),"")</f>
        <v>1899</v>
      </c>
      <c r="B78" s="106" t="str">
        <f>SalarioPromedio!D78</f>
        <v/>
      </c>
      <c r="C78" s="105">
        <f>IF(SalarioPromedio!B78="",0,SalarioPromedio!C78-SalarioPromedio!B78+1)</f>
        <v>0</v>
      </c>
      <c r="D78" s="104">
        <f>IF(SalarioPromedio!B78="",0,C78*B78)</f>
        <v>0</v>
      </c>
      <c r="E78" s="104">
        <f t="shared" si="1"/>
        <v>0</v>
      </c>
      <c r="F78" s="104">
        <f t="shared" si="2"/>
        <v>0</v>
      </c>
      <c r="G78" s="107">
        <f t="shared" si="3"/>
        <v>0</v>
      </c>
      <c r="H78" s="108">
        <f t="shared" si="4"/>
        <v>0</v>
      </c>
      <c r="I78" s="104">
        <f t="shared" si="5"/>
        <v>0</v>
      </c>
      <c r="J78" s="108">
        <f t="shared" si="6"/>
        <v>0</v>
      </c>
      <c r="K78" s="111">
        <f t="shared" si="7"/>
        <v>0</v>
      </c>
      <c r="L78" s="108">
        <f t="shared" si="8"/>
        <v>0</v>
      </c>
      <c r="M78" s="102"/>
      <c r="N78" s="111">
        <f t="shared" si="9"/>
        <v>0</v>
      </c>
      <c r="O78" s="111">
        <f t="shared" si="10"/>
        <v>0</v>
      </c>
      <c r="P78" s="111">
        <f t="shared" si="11"/>
        <v>0</v>
      </c>
      <c r="Q78" s="111">
        <f t="shared" si="12"/>
        <v>0</v>
      </c>
      <c r="R78" s="102"/>
    </row>
    <row r="79">
      <c r="A79" s="106">
        <f>IFERROR(YEAR(SalarioPromedio!B79),"")</f>
        <v>1899</v>
      </c>
      <c r="B79" s="106" t="str">
        <f>SalarioPromedio!D79</f>
        <v/>
      </c>
      <c r="C79" s="105">
        <f>IF(SalarioPromedio!B79="",0,SalarioPromedio!C79-SalarioPromedio!B79+1)</f>
        <v>0</v>
      </c>
      <c r="D79" s="104">
        <f>IF(SalarioPromedio!B79="",0,C79*B79)</f>
        <v>0</v>
      </c>
      <c r="E79" s="104">
        <f t="shared" si="1"/>
        <v>0</v>
      </c>
      <c r="F79" s="104">
        <f t="shared" si="2"/>
        <v>0</v>
      </c>
      <c r="G79" s="107">
        <f t="shared" si="3"/>
        <v>0</v>
      </c>
      <c r="H79" s="108">
        <f t="shared" si="4"/>
        <v>0</v>
      </c>
      <c r="I79" s="104">
        <f t="shared" si="5"/>
        <v>0</v>
      </c>
      <c r="J79" s="108">
        <f t="shared" si="6"/>
        <v>0</v>
      </c>
      <c r="K79" s="111">
        <f t="shared" si="7"/>
        <v>0</v>
      </c>
      <c r="L79" s="108">
        <f t="shared" si="8"/>
        <v>0</v>
      </c>
      <c r="M79" s="102"/>
      <c r="N79" s="111">
        <f t="shared" si="9"/>
        <v>0</v>
      </c>
      <c r="O79" s="111">
        <f t="shared" si="10"/>
        <v>0</v>
      </c>
      <c r="P79" s="111">
        <f t="shared" si="11"/>
        <v>0</v>
      </c>
      <c r="Q79" s="111">
        <f t="shared" si="12"/>
        <v>0</v>
      </c>
      <c r="R79" s="102"/>
    </row>
    <row r="80">
      <c r="A80" s="106">
        <f>IFERROR(YEAR(SalarioPromedio!B80),"")</f>
        <v>1899</v>
      </c>
      <c r="B80" s="106" t="str">
        <f>SalarioPromedio!D80</f>
        <v/>
      </c>
      <c r="C80" s="105">
        <f>IF(SalarioPromedio!B80="",0,SalarioPromedio!C80-SalarioPromedio!B80+1)</f>
        <v>0</v>
      </c>
      <c r="D80" s="104">
        <f>IF(SalarioPromedio!B80="",0,C80*B80)</f>
        <v>0</v>
      </c>
      <c r="E80" s="104">
        <f t="shared" si="1"/>
        <v>0</v>
      </c>
      <c r="F80" s="104">
        <f t="shared" si="2"/>
        <v>0</v>
      </c>
      <c r="G80" s="107">
        <f t="shared" si="3"/>
        <v>0</v>
      </c>
      <c r="H80" s="108">
        <f t="shared" si="4"/>
        <v>0</v>
      </c>
      <c r="I80" s="104">
        <f t="shared" si="5"/>
        <v>0</v>
      </c>
      <c r="J80" s="108">
        <f t="shared" si="6"/>
        <v>0</v>
      </c>
      <c r="K80" s="111">
        <f t="shared" si="7"/>
        <v>0</v>
      </c>
      <c r="L80" s="108">
        <f t="shared" si="8"/>
        <v>0</v>
      </c>
      <c r="M80" s="102"/>
      <c r="N80" s="111">
        <f t="shared" si="9"/>
        <v>0</v>
      </c>
      <c r="O80" s="111">
        <f t="shared" si="10"/>
        <v>0</v>
      </c>
      <c r="P80" s="111">
        <f t="shared" si="11"/>
        <v>0</v>
      </c>
      <c r="Q80" s="111">
        <f t="shared" si="12"/>
        <v>0</v>
      </c>
      <c r="R80" s="102"/>
    </row>
    <row r="81">
      <c r="A81" s="106">
        <f>IFERROR(YEAR(SalarioPromedio!B81),"")</f>
        <v>1899</v>
      </c>
      <c r="B81" s="106" t="str">
        <f>SalarioPromedio!D81</f>
        <v/>
      </c>
      <c r="C81" s="105">
        <f>IF(SalarioPromedio!B81="",0,SalarioPromedio!C81-SalarioPromedio!B81+1)</f>
        <v>0</v>
      </c>
      <c r="D81" s="104">
        <f>IF(SalarioPromedio!B81="",0,C81*B81)</f>
        <v>0</v>
      </c>
      <c r="E81" s="104">
        <f t="shared" si="1"/>
        <v>0</v>
      </c>
      <c r="F81" s="104">
        <f t="shared" si="2"/>
        <v>0</v>
      </c>
      <c r="G81" s="107">
        <f t="shared" si="3"/>
        <v>0</v>
      </c>
      <c r="H81" s="108">
        <f t="shared" si="4"/>
        <v>0</v>
      </c>
      <c r="I81" s="104">
        <f t="shared" si="5"/>
        <v>0</v>
      </c>
      <c r="J81" s="108">
        <f t="shared" si="6"/>
        <v>0</v>
      </c>
      <c r="K81" s="111">
        <f t="shared" si="7"/>
        <v>0</v>
      </c>
      <c r="L81" s="108">
        <f t="shared" si="8"/>
        <v>0</v>
      </c>
      <c r="M81" s="102"/>
      <c r="N81" s="111">
        <f t="shared" si="9"/>
        <v>0</v>
      </c>
      <c r="O81" s="111">
        <f t="shared" si="10"/>
        <v>0</v>
      </c>
      <c r="P81" s="111">
        <f t="shared" si="11"/>
        <v>0</v>
      </c>
      <c r="Q81" s="111">
        <f t="shared" si="12"/>
        <v>0</v>
      </c>
      <c r="R81" s="102"/>
    </row>
    <row r="82">
      <c r="A82" s="106">
        <f>IFERROR(YEAR(SalarioPromedio!B82),"")</f>
        <v>1899</v>
      </c>
      <c r="B82" s="106" t="str">
        <f>SalarioPromedio!D82</f>
        <v/>
      </c>
      <c r="C82" s="105">
        <f>IF(SalarioPromedio!B82="",0,SalarioPromedio!C82-SalarioPromedio!B82+1)</f>
        <v>0</v>
      </c>
      <c r="D82" s="104">
        <f>IF(SalarioPromedio!B82="",0,C82*B82)</f>
        <v>0</v>
      </c>
      <c r="E82" s="104">
        <f t="shared" si="1"/>
        <v>0</v>
      </c>
      <c r="F82" s="104">
        <f t="shared" si="2"/>
        <v>0</v>
      </c>
      <c r="G82" s="107">
        <f t="shared" si="3"/>
        <v>0</v>
      </c>
      <c r="H82" s="108">
        <f t="shared" si="4"/>
        <v>0</v>
      </c>
      <c r="I82" s="104">
        <f t="shared" si="5"/>
        <v>0</v>
      </c>
      <c r="J82" s="108">
        <f t="shared" si="6"/>
        <v>0</v>
      </c>
      <c r="K82" s="111">
        <f t="shared" si="7"/>
        <v>0</v>
      </c>
      <c r="L82" s="108">
        <f t="shared" si="8"/>
        <v>0</v>
      </c>
      <c r="M82" s="102"/>
      <c r="N82" s="111">
        <f t="shared" si="9"/>
        <v>0</v>
      </c>
      <c r="O82" s="111">
        <f t="shared" si="10"/>
        <v>0</v>
      </c>
      <c r="P82" s="111">
        <f t="shared" si="11"/>
        <v>0</v>
      </c>
      <c r="Q82" s="111">
        <f t="shared" si="12"/>
        <v>0</v>
      </c>
      <c r="R82" s="102"/>
    </row>
    <row r="83">
      <c r="A83" s="106">
        <f>IFERROR(YEAR(SalarioPromedio!B83),"")</f>
        <v>1899</v>
      </c>
      <c r="B83" s="106" t="str">
        <f>SalarioPromedio!D83</f>
        <v/>
      </c>
      <c r="C83" s="105">
        <f>IF(SalarioPromedio!B83="",0,SalarioPromedio!C83-SalarioPromedio!B83+1)</f>
        <v>0</v>
      </c>
      <c r="D83" s="104">
        <f>IF(SalarioPromedio!B83="",0,C83*B83)</f>
        <v>0</v>
      </c>
      <c r="E83" s="104">
        <f t="shared" si="1"/>
        <v>0</v>
      </c>
      <c r="F83" s="104">
        <f t="shared" si="2"/>
        <v>0</v>
      </c>
      <c r="G83" s="107">
        <f t="shared" si="3"/>
        <v>0</v>
      </c>
      <c r="H83" s="108">
        <f t="shared" si="4"/>
        <v>0</v>
      </c>
      <c r="I83" s="104">
        <f t="shared" si="5"/>
        <v>0</v>
      </c>
      <c r="J83" s="108">
        <f t="shared" si="6"/>
        <v>0</v>
      </c>
      <c r="K83" s="111">
        <f t="shared" si="7"/>
        <v>0</v>
      </c>
      <c r="L83" s="108">
        <f t="shared" si="8"/>
        <v>0</v>
      </c>
      <c r="M83" s="102"/>
      <c r="N83" s="111">
        <f t="shared" si="9"/>
        <v>0</v>
      </c>
      <c r="O83" s="111">
        <f t="shared" si="10"/>
        <v>0</v>
      </c>
      <c r="P83" s="111">
        <f t="shared" si="11"/>
        <v>0</v>
      </c>
      <c r="Q83" s="111">
        <f t="shared" si="12"/>
        <v>0</v>
      </c>
      <c r="R83" s="102"/>
    </row>
    <row r="84">
      <c r="A84" s="106">
        <f>IFERROR(YEAR(SalarioPromedio!B84),"")</f>
        <v>1899</v>
      </c>
      <c r="B84" s="106" t="str">
        <f>SalarioPromedio!D84</f>
        <v/>
      </c>
      <c r="C84" s="105">
        <f>IF(SalarioPromedio!B84="",0,SalarioPromedio!C84-SalarioPromedio!B84+1)</f>
        <v>0</v>
      </c>
      <c r="D84" s="104">
        <f>IF(SalarioPromedio!B84="",0,C84*B84)</f>
        <v>0</v>
      </c>
      <c r="E84" s="104">
        <f t="shared" si="1"/>
        <v>0</v>
      </c>
      <c r="F84" s="104">
        <f t="shared" si="2"/>
        <v>0</v>
      </c>
      <c r="G84" s="107">
        <f t="shared" si="3"/>
        <v>0</v>
      </c>
      <c r="H84" s="108">
        <f t="shared" si="4"/>
        <v>0</v>
      </c>
      <c r="I84" s="104">
        <f t="shared" si="5"/>
        <v>0</v>
      </c>
      <c r="J84" s="108">
        <f t="shared" si="6"/>
        <v>0</v>
      </c>
      <c r="K84" s="111">
        <f t="shared" si="7"/>
        <v>0</v>
      </c>
      <c r="L84" s="108">
        <f t="shared" si="8"/>
        <v>0</v>
      </c>
      <c r="M84" s="102"/>
      <c r="N84" s="111">
        <f t="shared" si="9"/>
        <v>0</v>
      </c>
      <c r="O84" s="111">
        <f t="shared" si="10"/>
        <v>0</v>
      </c>
      <c r="P84" s="111">
        <f t="shared" si="11"/>
        <v>0</v>
      </c>
      <c r="Q84" s="111">
        <f t="shared" si="12"/>
        <v>0</v>
      </c>
      <c r="R84" s="102"/>
    </row>
    <row r="85">
      <c r="A85" s="106">
        <f>IFERROR(YEAR(SalarioPromedio!B85),"")</f>
        <v>1899</v>
      </c>
      <c r="B85" s="106" t="str">
        <f>SalarioPromedio!D85</f>
        <v/>
      </c>
      <c r="C85" s="105">
        <f>IF(SalarioPromedio!B85="",0,SalarioPromedio!C85-SalarioPromedio!B85+1)</f>
        <v>0</v>
      </c>
      <c r="D85" s="104">
        <f>IF(SalarioPromedio!B85="",0,C85*B85)</f>
        <v>0</v>
      </c>
      <c r="E85" s="104">
        <f t="shared" si="1"/>
        <v>0</v>
      </c>
      <c r="F85" s="104">
        <f t="shared" si="2"/>
        <v>0</v>
      </c>
      <c r="G85" s="107">
        <f t="shared" si="3"/>
        <v>0</v>
      </c>
      <c r="H85" s="108">
        <f t="shared" si="4"/>
        <v>0</v>
      </c>
      <c r="I85" s="104">
        <f t="shared" si="5"/>
        <v>0</v>
      </c>
      <c r="J85" s="108">
        <f t="shared" si="6"/>
        <v>0</v>
      </c>
      <c r="K85" s="111">
        <f t="shared" si="7"/>
        <v>0</v>
      </c>
      <c r="L85" s="108">
        <f t="shared" si="8"/>
        <v>0</v>
      </c>
      <c r="M85" s="102"/>
      <c r="N85" s="111">
        <f t="shared" si="9"/>
        <v>0</v>
      </c>
      <c r="O85" s="111">
        <f t="shared" si="10"/>
        <v>0</v>
      </c>
      <c r="P85" s="111">
        <f t="shared" si="11"/>
        <v>0</v>
      </c>
      <c r="Q85" s="111">
        <f t="shared" si="12"/>
        <v>0</v>
      </c>
      <c r="R85" s="102"/>
    </row>
    <row r="86">
      <c r="A86" s="106">
        <f>IFERROR(YEAR(SalarioPromedio!B86),"")</f>
        <v>1899</v>
      </c>
      <c r="B86" s="106" t="str">
        <f>SalarioPromedio!D86</f>
        <v/>
      </c>
      <c r="C86" s="105">
        <f>IF(SalarioPromedio!B86="",0,SalarioPromedio!C86-SalarioPromedio!B86+1)</f>
        <v>0</v>
      </c>
      <c r="D86" s="104">
        <f>IF(SalarioPromedio!B86="",0,C86*B86)</f>
        <v>0</v>
      </c>
      <c r="E86" s="104">
        <f t="shared" si="1"/>
        <v>0</v>
      </c>
      <c r="F86" s="104">
        <f t="shared" si="2"/>
        <v>0</v>
      </c>
      <c r="G86" s="107">
        <f t="shared" si="3"/>
        <v>0</v>
      </c>
      <c r="H86" s="108">
        <f t="shared" si="4"/>
        <v>0</v>
      </c>
      <c r="I86" s="104">
        <f t="shared" si="5"/>
        <v>0</v>
      </c>
      <c r="J86" s="108">
        <f t="shared" si="6"/>
        <v>0</v>
      </c>
      <c r="K86" s="111">
        <f t="shared" si="7"/>
        <v>0</v>
      </c>
      <c r="L86" s="108">
        <f t="shared" si="8"/>
        <v>0</v>
      </c>
      <c r="M86" s="102"/>
      <c r="N86" s="111">
        <f t="shared" si="9"/>
        <v>0</v>
      </c>
      <c r="O86" s="111">
        <f t="shared" si="10"/>
        <v>0</v>
      </c>
      <c r="P86" s="111">
        <f t="shared" si="11"/>
        <v>0</v>
      </c>
      <c r="Q86" s="111">
        <f t="shared" si="12"/>
        <v>0</v>
      </c>
      <c r="R86" s="102"/>
    </row>
    <row r="87">
      <c r="A87" s="106">
        <f>IFERROR(YEAR(SalarioPromedio!B87),"")</f>
        <v>1899</v>
      </c>
      <c r="B87" s="106" t="str">
        <f>SalarioPromedio!D87</f>
        <v/>
      </c>
      <c r="C87" s="105">
        <f>IF(SalarioPromedio!B87="",0,SalarioPromedio!C87-SalarioPromedio!B87+1)</f>
        <v>0</v>
      </c>
      <c r="D87" s="104">
        <f>IF(SalarioPromedio!B87="",0,C87*B87)</f>
        <v>0</v>
      </c>
      <c r="E87" s="104">
        <f t="shared" si="1"/>
        <v>0</v>
      </c>
      <c r="F87" s="104">
        <f t="shared" si="2"/>
        <v>0</v>
      </c>
      <c r="G87" s="107">
        <f t="shared" si="3"/>
        <v>0</v>
      </c>
      <c r="H87" s="108">
        <f t="shared" si="4"/>
        <v>0</v>
      </c>
      <c r="I87" s="104">
        <f t="shared" si="5"/>
        <v>0</v>
      </c>
      <c r="J87" s="108">
        <f t="shared" si="6"/>
        <v>0</v>
      </c>
      <c r="K87" s="111">
        <f t="shared" si="7"/>
        <v>0</v>
      </c>
      <c r="L87" s="108">
        <f t="shared" si="8"/>
        <v>0</v>
      </c>
      <c r="M87" s="102"/>
      <c r="N87" s="111">
        <f t="shared" si="9"/>
        <v>0</v>
      </c>
      <c r="O87" s="111">
        <f t="shared" si="10"/>
        <v>0</v>
      </c>
      <c r="P87" s="111">
        <f t="shared" si="11"/>
        <v>0</v>
      </c>
      <c r="Q87" s="111">
        <f t="shared" si="12"/>
        <v>0</v>
      </c>
      <c r="R87" s="102"/>
    </row>
    <row r="88">
      <c r="A88" s="106">
        <f>IFERROR(YEAR(SalarioPromedio!B88),"")</f>
        <v>1899</v>
      </c>
      <c r="B88" s="106" t="str">
        <f>SalarioPromedio!D88</f>
        <v/>
      </c>
      <c r="C88" s="105">
        <f>IF(SalarioPromedio!B88="",0,SalarioPromedio!C88-SalarioPromedio!B88+1)</f>
        <v>0</v>
      </c>
      <c r="D88" s="104">
        <f>IF(SalarioPromedio!B88="",0,C88*B88)</f>
        <v>0</v>
      </c>
      <c r="E88" s="104">
        <f t="shared" si="1"/>
        <v>0</v>
      </c>
      <c r="F88" s="104">
        <f t="shared" si="2"/>
        <v>0</v>
      </c>
      <c r="G88" s="107">
        <f t="shared" si="3"/>
        <v>0</v>
      </c>
      <c r="H88" s="108">
        <f t="shared" si="4"/>
        <v>0</v>
      </c>
      <c r="I88" s="104">
        <f t="shared" si="5"/>
        <v>0</v>
      </c>
      <c r="J88" s="108">
        <f t="shared" si="6"/>
        <v>0</v>
      </c>
      <c r="K88" s="111">
        <f t="shared" si="7"/>
        <v>0</v>
      </c>
      <c r="L88" s="108">
        <f t="shared" si="8"/>
        <v>0</v>
      </c>
      <c r="M88" s="102"/>
      <c r="N88" s="111">
        <f t="shared" si="9"/>
        <v>0</v>
      </c>
      <c r="O88" s="111">
        <f t="shared" si="10"/>
        <v>0</v>
      </c>
      <c r="P88" s="111">
        <f t="shared" si="11"/>
        <v>0</v>
      </c>
      <c r="Q88" s="111">
        <f t="shared" si="12"/>
        <v>0</v>
      </c>
      <c r="R88" s="102"/>
    </row>
    <row r="89">
      <c r="A89" s="106">
        <f>IFERROR(YEAR(SalarioPromedio!B89),"")</f>
        <v>1899</v>
      </c>
      <c r="B89" s="106" t="str">
        <f>SalarioPromedio!D89</f>
        <v/>
      </c>
      <c r="C89" s="105">
        <f>IF(SalarioPromedio!B89="",0,SalarioPromedio!C89-SalarioPromedio!B89+1)</f>
        <v>0</v>
      </c>
      <c r="D89" s="104">
        <f>IF(SalarioPromedio!B89="",0,C89*B89)</f>
        <v>0</v>
      </c>
      <c r="E89" s="104">
        <f t="shared" si="1"/>
        <v>0</v>
      </c>
      <c r="F89" s="104">
        <f t="shared" si="2"/>
        <v>0</v>
      </c>
      <c r="G89" s="107">
        <f t="shared" si="3"/>
        <v>0</v>
      </c>
      <c r="H89" s="108">
        <f t="shared" si="4"/>
        <v>0</v>
      </c>
      <c r="I89" s="104">
        <f t="shared" si="5"/>
        <v>0</v>
      </c>
      <c r="J89" s="108">
        <f t="shared" si="6"/>
        <v>0</v>
      </c>
      <c r="K89" s="111">
        <f t="shared" si="7"/>
        <v>0</v>
      </c>
      <c r="L89" s="108">
        <f t="shared" si="8"/>
        <v>0</v>
      </c>
      <c r="M89" s="102"/>
      <c r="N89" s="111">
        <f t="shared" si="9"/>
        <v>0</v>
      </c>
      <c r="O89" s="111">
        <f t="shared" si="10"/>
        <v>0</v>
      </c>
      <c r="P89" s="111">
        <f t="shared" si="11"/>
        <v>0</v>
      </c>
      <c r="Q89" s="111">
        <f t="shared" si="12"/>
        <v>0</v>
      </c>
      <c r="R89" s="102"/>
    </row>
    <row r="90">
      <c r="A90" s="106">
        <f>IFERROR(YEAR(SalarioPromedio!B90),"")</f>
        <v>1899</v>
      </c>
      <c r="B90" s="106" t="str">
        <f>SalarioPromedio!D90</f>
        <v/>
      </c>
      <c r="C90" s="105">
        <f>IF(SalarioPromedio!B90="",0,SalarioPromedio!C90-SalarioPromedio!B90+1)</f>
        <v>0</v>
      </c>
      <c r="D90" s="104">
        <f>IF(SalarioPromedio!B90="",0,C90*B90)</f>
        <v>0</v>
      </c>
      <c r="E90" s="104">
        <f t="shared" si="1"/>
        <v>0</v>
      </c>
      <c r="F90" s="104">
        <f t="shared" si="2"/>
        <v>0</v>
      </c>
      <c r="G90" s="107">
        <f t="shared" si="3"/>
        <v>0</v>
      </c>
      <c r="H90" s="108">
        <f t="shared" si="4"/>
        <v>0</v>
      </c>
      <c r="I90" s="104">
        <f t="shared" si="5"/>
        <v>0</v>
      </c>
      <c r="J90" s="108">
        <f t="shared" si="6"/>
        <v>0</v>
      </c>
      <c r="K90" s="111">
        <f t="shared" si="7"/>
        <v>0</v>
      </c>
      <c r="L90" s="108">
        <f t="shared" si="8"/>
        <v>0</v>
      </c>
      <c r="M90" s="102"/>
      <c r="N90" s="111">
        <f t="shared" si="9"/>
        <v>0</v>
      </c>
      <c r="O90" s="111">
        <f t="shared" si="10"/>
        <v>0</v>
      </c>
      <c r="P90" s="111">
        <f t="shared" si="11"/>
        <v>0</v>
      </c>
      <c r="Q90" s="111">
        <f t="shared" si="12"/>
        <v>0</v>
      </c>
      <c r="R90" s="102"/>
    </row>
    <row r="91">
      <c r="A91" s="106">
        <f>IFERROR(YEAR(SalarioPromedio!B91),"")</f>
        <v>1899</v>
      </c>
      <c r="B91" s="106" t="str">
        <f>SalarioPromedio!D91</f>
        <v/>
      </c>
      <c r="C91" s="105">
        <f>IF(SalarioPromedio!B91="",0,SalarioPromedio!C91-SalarioPromedio!B91+1)</f>
        <v>0</v>
      </c>
      <c r="D91" s="104">
        <f>IF(SalarioPromedio!B91="",0,C91*B91)</f>
        <v>0</v>
      </c>
      <c r="E91" s="104">
        <f t="shared" si="1"/>
        <v>0</v>
      </c>
      <c r="F91" s="104">
        <f t="shared" si="2"/>
        <v>0</v>
      </c>
      <c r="G91" s="107">
        <f t="shared" si="3"/>
        <v>0</v>
      </c>
      <c r="H91" s="108">
        <f t="shared" si="4"/>
        <v>0</v>
      </c>
      <c r="I91" s="104">
        <f t="shared" si="5"/>
        <v>0</v>
      </c>
      <c r="J91" s="108">
        <f t="shared" si="6"/>
        <v>0</v>
      </c>
      <c r="K91" s="111">
        <f t="shared" si="7"/>
        <v>0</v>
      </c>
      <c r="L91" s="108">
        <f t="shared" si="8"/>
        <v>0</v>
      </c>
      <c r="M91" s="102"/>
      <c r="N91" s="111">
        <f t="shared" si="9"/>
        <v>0</v>
      </c>
      <c r="O91" s="111">
        <f t="shared" si="10"/>
        <v>0</v>
      </c>
      <c r="P91" s="111">
        <f t="shared" si="11"/>
        <v>0</v>
      </c>
      <c r="Q91" s="111">
        <f t="shared" si="12"/>
        <v>0</v>
      </c>
      <c r="R91" s="102"/>
    </row>
    <row r="92">
      <c r="A92" s="106">
        <f>IFERROR(YEAR(SalarioPromedio!B92),"")</f>
        <v>1899</v>
      </c>
      <c r="B92" s="106" t="str">
        <f>SalarioPromedio!D92</f>
        <v/>
      </c>
      <c r="C92" s="105">
        <f>IF(SalarioPromedio!B92="",0,SalarioPromedio!C92-SalarioPromedio!B92+1)</f>
        <v>0</v>
      </c>
      <c r="D92" s="104">
        <f>IF(SalarioPromedio!B92="",0,C92*B92)</f>
        <v>0</v>
      </c>
      <c r="E92" s="104">
        <f t="shared" si="1"/>
        <v>0</v>
      </c>
      <c r="F92" s="104">
        <f t="shared" si="2"/>
        <v>0</v>
      </c>
      <c r="G92" s="107">
        <f t="shared" si="3"/>
        <v>0</v>
      </c>
      <c r="H92" s="108">
        <f t="shared" si="4"/>
        <v>0</v>
      </c>
      <c r="I92" s="104">
        <f t="shared" si="5"/>
        <v>0</v>
      </c>
      <c r="J92" s="108">
        <f t="shared" si="6"/>
        <v>0</v>
      </c>
      <c r="K92" s="111">
        <f t="shared" si="7"/>
        <v>0</v>
      </c>
      <c r="L92" s="108">
        <f t="shared" si="8"/>
        <v>0</v>
      </c>
      <c r="M92" s="102"/>
      <c r="N92" s="111">
        <f t="shared" si="9"/>
        <v>0</v>
      </c>
      <c r="O92" s="111">
        <f t="shared" si="10"/>
        <v>0</v>
      </c>
      <c r="P92" s="111">
        <f t="shared" si="11"/>
        <v>0</v>
      </c>
      <c r="Q92" s="111">
        <f t="shared" si="12"/>
        <v>0</v>
      </c>
      <c r="R92" s="102"/>
    </row>
    <row r="93">
      <c r="A93" s="106">
        <f>IFERROR(YEAR(SalarioPromedio!B93),"")</f>
        <v>1899</v>
      </c>
      <c r="B93" s="106" t="str">
        <f>SalarioPromedio!D93</f>
        <v/>
      </c>
      <c r="C93" s="105">
        <f>IF(SalarioPromedio!B93="",0,SalarioPromedio!C93-SalarioPromedio!B93+1)</f>
        <v>0</v>
      </c>
      <c r="D93" s="104">
        <f>IF(SalarioPromedio!B93="",0,C93*B93)</f>
        <v>0</v>
      </c>
      <c r="E93" s="104">
        <f t="shared" si="1"/>
        <v>0</v>
      </c>
      <c r="F93" s="104">
        <f t="shared" si="2"/>
        <v>0</v>
      </c>
      <c r="G93" s="107">
        <f t="shared" si="3"/>
        <v>0</v>
      </c>
      <c r="H93" s="108">
        <f t="shared" si="4"/>
        <v>0</v>
      </c>
      <c r="I93" s="104">
        <f t="shared" si="5"/>
        <v>0</v>
      </c>
      <c r="J93" s="108">
        <f t="shared" si="6"/>
        <v>0</v>
      </c>
      <c r="K93" s="111">
        <f t="shared" si="7"/>
        <v>0</v>
      </c>
      <c r="L93" s="108">
        <f t="shared" si="8"/>
        <v>0</v>
      </c>
      <c r="M93" s="102"/>
      <c r="N93" s="111">
        <f t="shared" si="9"/>
        <v>0</v>
      </c>
      <c r="O93" s="111">
        <f t="shared" si="10"/>
        <v>0</v>
      </c>
      <c r="P93" s="111">
        <f t="shared" si="11"/>
        <v>0</v>
      </c>
      <c r="Q93" s="111">
        <f t="shared" si="12"/>
        <v>0</v>
      </c>
      <c r="R93" s="102"/>
    </row>
    <row r="94">
      <c r="A94" s="106">
        <f>IFERROR(YEAR(SalarioPromedio!B94),"")</f>
        <v>1899</v>
      </c>
      <c r="B94" s="106" t="str">
        <f>SalarioPromedio!D94</f>
        <v/>
      </c>
      <c r="C94" s="105">
        <f>IF(SalarioPromedio!B94="",0,SalarioPromedio!C94-SalarioPromedio!B94+1)</f>
        <v>0</v>
      </c>
      <c r="D94" s="104">
        <f>IF(SalarioPromedio!B94="",0,C94*B94)</f>
        <v>0</v>
      </c>
      <c r="E94" s="104">
        <f t="shared" si="1"/>
        <v>0</v>
      </c>
      <c r="F94" s="104">
        <f t="shared" si="2"/>
        <v>0</v>
      </c>
      <c r="G94" s="107">
        <f t="shared" si="3"/>
        <v>0</v>
      </c>
      <c r="H94" s="108">
        <f t="shared" si="4"/>
        <v>0</v>
      </c>
      <c r="I94" s="104">
        <f t="shared" si="5"/>
        <v>0</v>
      </c>
      <c r="J94" s="108">
        <f t="shared" si="6"/>
        <v>0</v>
      </c>
      <c r="K94" s="111">
        <f t="shared" si="7"/>
        <v>0</v>
      </c>
      <c r="L94" s="108">
        <f t="shared" si="8"/>
        <v>0</v>
      </c>
      <c r="M94" s="102"/>
      <c r="N94" s="111">
        <f t="shared" si="9"/>
        <v>0</v>
      </c>
      <c r="O94" s="111">
        <f t="shared" si="10"/>
        <v>0</v>
      </c>
      <c r="P94" s="111">
        <f t="shared" si="11"/>
        <v>0</v>
      </c>
      <c r="Q94" s="111">
        <f t="shared" si="12"/>
        <v>0</v>
      </c>
      <c r="R94" s="102"/>
    </row>
    <row r="95">
      <c r="A95" s="106">
        <f>IFERROR(YEAR(SalarioPromedio!B95),"")</f>
        <v>1899</v>
      </c>
      <c r="B95" s="106" t="str">
        <f>SalarioPromedio!D95</f>
        <v/>
      </c>
      <c r="C95" s="105">
        <f>IF(SalarioPromedio!B95="",0,SalarioPromedio!C95-SalarioPromedio!B95+1)</f>
        <v>0</v>
      </c>
      <c r="D95" s="104">
        <f>IF(SalarioPromedio!B95="",0,C95*B95)</f>
        <v>0</v>
      </c>
      <c r="E95" s="104">
        <f t="shared" si="1"/>
        <v>0</v>
      </c>
      <c r="F95" s="104">
        <f t="shared" si="2"/>
        <v>0</v>
      </c>
      <c r="G95" s="107">
        <f t="shared" si="3"/>
        <v>0</v>
      </c>
      <c r="H95" s="108">
        <f t="shared" si="4"/>
        <v>0</v>
      </c>
      <c r="I95" s="104">
        <f t="shared" si="5"/>
        <v>0</v>
      </c>
      <c r="J95" s="108">
        <f t="shared" si="6"/>
        <v>0</v>
      </c>
      <c r="K95" s="111">
        <f t="shared" si="7"/>
        <v>0</v>
      </c>
      <c r="L95" s="108">
        <f t="shared" si="8"/>
        <v>0</v>
      </c>
      <c r="M95" s="102"/>
      <c r="N95" s="111">
        <f t="shared" si="9"/>
        <v>0</v>
      </c>
      <c r="O95" s="111">
        <f t="shared" si="10"/>
        <v>0</v>
      </c>
      <c r="P95" s="111">
        <f t="shared" si="11"/>
        <v>0</v>
      </c>
      <c r="Q95" s="111">
        <f t="shared" si="12"/>
        <v>0</v>
      </c>
      <c r="R95" s="102"/>
    </row>
    <row r="96">
      <c r="A96" s="106">
        <f>IFERROR(YEAR(SalarioPromedio!B96),"")</f>
        <v>1899</v>
      </c>
      <c r="B96" s="106" t="str">
        <f>SalarioPromedio!D96</f>
        <v/>
      </c>
      <c r="C96" s="105">
        <f>IF(SalarioPromedio!B96="",0,SalarioPromedio!C96-SalarioPromedio!B96+1)</f>
        <v>0</v>
      </c>
      <c r="D96" s="104">
        <f>IF(SalarioPromedio!B96="",0,C96*B96)</f>
        <v>0</v>
      </c>
      <c r="E96" s="104">
        <f t="shared" si="1"/>
        <v>0</v>
      </c>
      <c r="F96" s="104">
        <f t="shared" si="2"/>
        <v>0</v>
      </c>
      <c r="G96" s="107">
        <f t="shared" si="3"/>
        <v>0</v>
      </c>
      <c r="H96" s="108">
        <f t="shared" si="4"/>
        <v>0</v>
      </c>
      <c r="I96" s="104">
        <f t="shared" si="5"/>
        <v>0</v>
      </c>
      <c r="J96" s="108">
        <f t="shared" si="6"/>
        <v>0</v>
      </c>
      <c r="K96" s="111">
        <f t="shared" si="7"/>
        <v>0</v>
      </c>
      <c r="L96" s="108">
        <f t="shared" si="8"/>
        <v>0</v>
      </c>
      <c r="M96" s="102"/>
      <c r="N96" s="111">
        <f t="shared" si="9"/>
        <v>0</v>
      </c>
      <c r="O96" s="111">
        <f t="shared" si="10"/>
        <v>0</v>
      </c>
      <c r="P96" s="111">
        <f t="shared" si="11"/>
        <v>0</v>
      </c>
      <c r="Q96" s="111">
        <f t="shared" si="12"/>
        <v>0</v>
      </c>
      <c r="R96" s="102"/>
    </row>
    <row r="97">
      <c r="A97" s="106">
        <f>IFERROR(YEAR(SalarioPromedio!B97),"")</f>
        <v>1899</v>
      </c>
      <c r="B97" s="106" t="str">
        <f>SalarioPromedio!D97</f>
        <v/>
      </c>
      <c r="C97" s="105">
        <f>IF(SalarioPromedio!B97="",0,SalarioPromedio!C97-SalarioPromedio!B97+1)</f>
        <v>0</v>
      </c>
      <c r="D97" s="104">
        <f>IF(SalarioPromedio!B97="",0,C97*B97)</f>
        <v>0</v>
      </c>
      <c r="E97" s="104">
        <f t="shared" si="1"/>
        <v>0</v>
      </c>
      <c r="F97" s="104">
        <f t="shared" si="2"/>
        <v>0</v>
      </c>
      <c r="G97" s="107">
        <f t="shared" si="3"/>
        <v>0</v>
      </c>
      <c r="H97" s="108">
        <f t="shared" si="4"/>
        <v>0</v>
      </c>
      <c r="I97" s="104">
        <f t="shared" si="5"/>
        <v>0</v>
      </c>
      <c r="J97" s="108">
        <f t="shared" si="6"/>
        <v>0</v>
      </c>
      <c r="K97" s="111">
        <f t="shared" si="7"/>
        <v>0</v>
      </c>
      <c r="L97" s="108">
        <f t="shared" si="8"/>
        <v>0</v>
      </c>
      <c r="M97" s="102"/>
      <c r="N97" s="111">
        <f t="shared" si="9"/>
        <v>0</v>
      </c>
      <c r="O97" s="111">
        <f t="shared" si="10"/>
        <v>0</v>
      </c>
      <c r="P97" s="111">
        <f t="shared" si="11"/>
        <v>0</v>
      </c>
      <c r="Q97" s="111">
        <f t="shared" si="12"/>
        <v>0</v>
      </c>
      <c r="R97" s="102"/>
    </row>
    <row r="98">
      <c r="A98" s="106">
        <f>IFERROR(YEAR(SalarioPromedio!B98),"")</f>
        <v>1899</v>
      </c>
      <c r="B98" s="106" t="str">
        <f>SalarioPromedio!D98</f>
        <v/>
      </c>
      <c r="C98" s="105">
        <f>IF(SalarioPromedio!B98="",0,SalarioPromedio!C98-SalarioPromedio!B98+1)</f>
        <v>0</v>
      </c>
      <c r="D98" s="104">
        <f>IF(SalarioPromedio!B98="",0,C98*B98)</f>
        <v>0</v>
      </c>
      <c r="E98" s="104">
        <f t="shared" si="1"/>
        <v>0</v>
      </c>
      <c r="F98" s="104">
        <f t="shared" si="2"/>
        <v>0</v>
      </c>
      <c r="G98" s="107">
        <f t="shared" si="3"/>
        <v>0</v>
      </c>
      <c r="H98" s="108">
        <f t="shared" si="4"/>
        <v>0</v>
      </c>
      <c r="I98" s="104">
        <f t="shared" si="5"/>
        <v>0</v>
      </c>
      <c r="J98" s="108">
        <f t="shared" si="6"/>
        <v>0</v>
      </c>
      <c r="K98" s="111">
        <f t="shared" si="7"/>
        <v>0</v>
      </c>
      <c r="L98" s="108">
        <f t="shared" si="8"/>
        <v>0</v>
      </c>
      <c r="M98" s="102"/>
      <c r="N98" s="111">
        <f t="shared" si="9"/>
        <v>0</v>
      </c>
      <c r="O98" s="111">
        <f t="shared" si="10"/>
        <v>0</v>
      </c>
      <c r="P98" s="111">
        <f t="shared" si="11"/>
        <v>0</v>
      </c>
      <c r="Q98" s="111">
        <f t="shared" si="12"/>
        <v>0</v>
      </c>
      <c r="R98" s="102"/>
    </row>
    <row r="99">
      <c r="A99" s="106">
        <f>IFERROR(YEAR(SalarioPromedio!B99),"")</f>
        <v>1899</v>
      </c>
      <c r="B99" s="106" t="str">
        <f>SalarioPromedio!D99</f>
        <v/>
      </c>
      <c r="C99" s="105">
        <f>IF(SalarioPromedio!B99="",0,SalarioPromedio!C99-SalarioPromedio!B99+1)</f>
        <v>0</v>
      </c>
      <c r="D99" s="104">
        <f>IF(SalarioPromedio!B99="",0,C99*B99)</f>
        <v>0</v>
      </c>
      <c r="E99" s="104">
        <f t="shared" si="1"/>
        <v>0</v>
      </c>
      <c r="F99" s="104">
        <f t="shared" si="2"/>
        <v>0</v>
      </c>
      <c r="G99" s="107">
        <f t="shared" si="3"/>
        <v>0</v>
      </c>
      <c r="H99" s="108">
        <f t="shared" si="4"/>
        <v>0</v>
      </c>
      <c r="I99" s="104">
        <f t="shared" si="5"/>
        <v>0</v>
      </c>
      <c r="J99" s="108">
        <f t="shared" si="6"/>
        <v>0</v>
      </c>
      <c r="K99" s="111">
        <f t="shared" si="7"/>
        <v>0</v>
      </c>
      <c r="L99" s="108">
        <f t="shared" si="8"/>
        <v>0</v>
      </c>
      <c r="M99" s="102"/>
      <c r="N99" s="111">
        <f t="shared" si="9"/>
        <v>0</v>
      </c>
      <c r="O99" s="111">
        <f t="shared" si="10"/>
        <v>0</v>
      </c>
      <c r="P99" s="111">
        <f t="shared" si="11"/>
        <v>0</v>
      </c>
      <c r="Q99" s="111">
        <f t="shared" si="12"/>
        <v>0</v>
      </c>
      <c r="R99" s="102"/>
    </row>
    <row r="100">
      <c r="A100" s="106">
        <f>IFERROR(YEAR(SalarioPromedio!B100),"")</f>
        <v>1899</v>
      </c>
      <c r="B100" s="106" t="str">
        <f>SalarioPromedio!D100</f>
        <v/>
      </c>
      <c r="C100" s="105">
        <f>IF(SalarioPromedio!B100="",0,SalarioPromedio!C100-SalarioPromedio!B100+1)</f>
        <v>0</v>
      </c>
      <c r="D100" s="104">
        <f>IF(SalarioPromedio!B100="",0,C100*B100)</f>
        <v>0</v>
      </c>
      <c r="E100" s="104">
        <f t="shared" si="1"/>
        <v>0</v>
      </c>
      <c r="F100" s="104">
        <f t="shared" si="2"/>
        <v>0</v>
      </c>
      <c r="G100" s="107">
        <f t="shared" si="3"/>
        <v>0</v>
      </c>
      <c r="H100" s="108">
        <f t="shared" si="4"/>
        <v>0</v>
      </c>
      <c r="I100" s="104">
        <f t="shared" si="5"/>
        <v>0</v>
      </c>
      <c r="J100" s="108">
        <f t="shared" si="6"/>
        <v>0</v>
      </c>
      <c r="K100" s="111">
        <f t="shared" si="7"/>
        <v>0</v>
      </c>
      <c r="L100" s="108">
        <f t="shared" si="8"/>
        <v>0</v>
      </c>
      <c r="M100" s="102"/>
      <c r="N100" s="111">
        <f t="shared" si="9"/>
        <v>0</v>
      </c>
      <c r="O100" s="111">
        <f t="shared" si="10"/>
        <v>0</v>
      </c>
      <c r="P100" s="111">
        <f t="shared" si="11"/>
        <v>0</v>
      </c>
      <c r="Q100" s="111">
        <f t="shared" si="12"/>
        <v>0</v>
      </c>
      <c r="R100" s="102"/>
    </row>
    <row r="101">
      <c r="A101" s="106">
        <f>IFERROR(YEAR(SalarioPromedio!B101),"")</f>
        <v>1899</v>
      </c>
      <c r="B101" s="106" t="str">
        <f>SalarioPromedio!D101</f>
        <v/>
      </c>
      <c r="C101" s="105">
        <f>IF(SalarioPromedio!B101="",0,SalarioPromedio!C101-SalarioPromedio!B101+1)</f>
        <v>0</v>
      </c>
      <c r="D101" s="104">
        <f>IF(SalarioPromedio!B101="",0,C101*B101)</f>
        <v>0</v>
      </c>
      <c r="E101" s="104">
        <f t="shared" si="1"/>
        <v>0</v>
      </c>
      <c r="F101" s="104">
        <f t="shared" si="2"/>
        <v>0</v>
      </c>
      <c r="G101" s="107">
        <f t="shared" si="3"/>
        <v>0</v>
      </c>
      <c r="H101" s="108">
        <f t="shared" si="4"/>
        <v>0</v>
      </c>
      <c r="I101" s="104">
        <f t="shared" si="5"/>
        <v>0</v>
      </c>
      <c r="J101" s="108">
        <f t="shared" si="6"/>
        <v>0</v>
      </c>
      <c r="K101" s="111">
        <f t="shared" si="7"/>
        <v>0</v>
      </c>
      <c r="L101" s="108">
        <f t="shared" si="8"/>
        <v>0</v>
      </c>
      <c r="M101" s="102"/>
      <c r="N101" s="111">
        <f t="shared" si="9"/>
        <v>0</v>
      </c>
      <c r="O101" s="111">
        <f t="shared" si="10"/>
        <v>0</v>
      </c>
      <c r="P101" s="111">
        <f t="shared" si="11"/>
        <v>0</v>
      </c>
      <c r="Q101" s="111">
        <f t="shared" si="12"/>
        <v>0</v>
      </c>
      <c r="R101" s="102"/>
    </row>
    <row r="102">
      <c r="A102" s="106">
        <f>IFERROR(YEAR(SalarioPromedio!B102),"")</f>
        <v>1899</v>
      </c>
      <c r="B102" s="106" t="str">
        <f>SalarioPromedio!D102</f>
        <v/>
      </c>
      <c r="C102" s="105">
        <f>IF(SalarioPromedio!B102="",0,SalarioPromedio!C102-SalarioPromedio!B102+1)</f>
        <v>0</v>
      </c>
      <c r="D102" s="104">
        <f>IF(SalarioPromedio!B102="",0,C102*B102)</f>
        <v>0</v>
      </c>
      <c r="E102" s="104">
        <f t="shared" si="1"/>
        <v>0</v>
      </c>
      <c r="F102" s="104">
        <f t="shared" si="2"/>
        <v>0</v>
      </c>
      <c r="G102" s="107">
        <f t="shared" si="3"/>
        <v>0</v>
      </c>
      <c r="H102" s="108">
        <f t="shared" si="4"/>
        <v>0</v>
      </c>
      <c r="I102" s="104">
        <f t="shared" si="5"/>
        <v>0</v>
      </c>
      <c r="J102" s="108">
        <f t="shared" si="6"/>
        <v>0</v>
      </c>
      <c r="K102" s="111">
        <f t="shared" si="7"/>
        <v>0</v>
      </c>
      <c r="L102" s="108">
        <f t="shared" si="8"/>
        <v>0</v>
      </c>
      <c r="M102" s="102"/>
      <c r="N102" s="111">
        <f t="shared" si="9"/>
        <v>0</v>
      </c>
      <c r="O102" s="111">
        <f t="shared" si="10"/>
        <v>0</v>
      </c>
      <c r="P102" s="111">
        <f t="shared" si="11"/>
        <v>0</v>
      </c>
      <c r="Q102" s="111">
        <f t="shared" si="12"/>
        <v>0</v>
      </c>
      <c r="R102" s="102"/>
    </row>
    <row r="103">
      <c r="A103" s="106">
        <f>IFERROR(YEAR(SalarioPromedio!B103),"")</f>
        <v>1899</v>
      </c>
      <c r="B103" s="106" t="str">
        <f>SalarioPromedio!D103</f>
        <v/>
      </c>
      <c r="C103" s="105">
        <f>IF(SalarioPromedio!B103="",0,SalarioPromedio!C103-SalarioPromedio!B103+1)</f>
        <v>0</v>
      </c>
      <c r="D103" s="104">
        <f>IF(SalarioPromedio!B103="",0,C103*B103)</f>
        <v>0</v>
      </c>
      <c r="E103" s="104">
        <f t="shared" si="1"/>
        <v>0</v>
      </c>
      <c r="F103" s="104">
        <f t="shared" si="2"/>
        <v>0</v>
      </c>
      <c r="G103" s="107">
        <f t="shared" si="3"/>
        <v>0</v>
      </c>
      <c r="H103" s="108">
        <f t="shared" si="4"/>
        <v>0</v>
      </c>
      <c r="I103" s="104">
        <f t="shared" si="5"/>
        <v>0</v>
      </c>
      <c r="J103" s="108">
        <f t="shared" si="6"/>
        <v>0</v>
      </c>
      <c r="K103" s="111">
        <f t="shared" si="7"/>
        <v>0</v>
      </c>
      <c r="L103" s="108">
        <f t="shared" si="8"/>
        <v>0</v>
      </c>
      <c r="M103" s="102"/>
      <c r="N103" s="111">
        <f t="shared" si="9"/>
        <v>0</v>
      </c>
      <c r="O103" s="111">
        <f t="shared" si="10"/>
        <v>0</v>
      </c>
      <c r="P103" s="111">
        <f t="shared" si="11"/>
        <v>0</v>
      </c>
      <c r="Q103" s="111">
        <f t="shared" si="12"/>
        <v>0</v>
      </c>
      <c r="R103" s="102"/>
    </row>
    <row r="104">
      <c r="A104" s="106">
        <f>IFERROR(YEAR(SalarioPromedio!B104),"")</f>
        <v>1899</v>
      </c>
      <c r="B104" s="106" t="str">
        <f>SalarioPromedio!D104</f>
        <v/>
      </c>
      <c r="C104" s="105">
        <f>IF(SalarioPromedio!B104="",0,SalarioPromedio!C104-SalarioPromedio!B104+1)</f>
        <v>0</v>
      </c>
      <c r="D104" s="104">
        <f>IF(SalarioPromedio!B104="",0,C104*B104)</f>
        <v>0</v>
      </c>
      <c r="E104" s="104">
        <f t="shared" si="1"/>
        <v>0</v>
      </c>
      <c r="F104" s="104">
        <f t="shared" si="2"/>
        <v>0</v>
      </c>
      <c r="G104" s="107">
        <f t="shared" si="3"/>
        <v>0</v>
      </c>
      <c r="H104" s="108">
        <f t="shared" si="4"/>
        <v>0</v>
      </c>
      <c r="I104" s="104">
        <f t="shared" si="5"/>
        <v>0</v>
      </c>
      <c r="J104" s="108">
        <f t="shared" si="6"/>
        <v>0</v>
      </c>
      <c r="K104" s="111">
        <f t="shared" si="7"/>
        <v>0</v>
      </c>
      <c r="L104" s="108">
        <f t="shared" si="8"/>
        <v>0</v>
      </c>
      <c r="M104" s="102"/>
      <c r="N104" s="111">
        <f t="shared" si="9"/>
        <v>0</v>
      </c>
      <c r="O104" s="111">
        <f t="shared" si="10"/>
        <v>0</v>
      </c>
      <c r="P104" s="111">
        <f t="shared" si="11"/>
        <v>0</v>
      </c>
      <c r="Q104" s="111">
        <f t="shared" si="12"/>
        <v>0</v>
      </c>
      <c r="R104" s="102"/>
    </row>
    <row r="105">
      <c r="A105" s="106">
        <f>IFERROR(YEAR(SalarioPromedio!B105),"")</f>
        <v>1899</v>
      </c>
      <c r="B105" s="106" t="str">
        <f>SalarioPromedio!D105</f>
        <v/>
      </c>
      <c r="C105" s="105">
        <f>IF(SalarioPromedio!B105="",0,SalarioPromedio!C105-SalarioPromedio!B105+1)</f>
        <v>0</v>
      </c>
      <c r="D105" s="104">
        <f>IF(SalarioPromedio!B105="",0,C105*B105)</f>
        <v>0</v>
      </c>
      <c r="E105" s="104">
        <f t="shared" si="1"/>
        <v>0</v>
      </c>
      <c r="F105" s="104">
        <f t="shared" si="2"/>
        <v>0</v>
      </c>
      <c r="G105" s="107">
        <f t="shared" si="3"/>
        <v>0</v>
      </c>
      <c r="H105" s="108">
        <f t="shared" si="4"/>
        <v>0</v>
      </c>
      <c r="I105" s="104">
        <f t="shared" si="5"/>
        <v>0</v>
      </c>
      <c r="J105" s="108">
        <f t="shared" si="6"/>
        <v>0</v>
      </c>
      <c r="K105" s="111">
        <f t="shared" si="7"/>
        <v>0</v>
      </c>
      <c r="L105" s="108">
        <f t="shared" si="8"/>
        <v>0</v>
      </c>
      <c r="M105" s="102"/>
      <c r="N105" s="111">
        <f t="shared" si="9"/>
        <v>0</v>
      </c>
      <c r="O105" s="111">
        <f t="shared" si="10"/>
        <v>0</v>
      </c>
      <c r="P105" s="111">
        <f t="shared" si="11"/>
        <v>0</v>
      </c>
      <c r="Q105" s="111">
        <f t="shared" si="12"/>
        <v>0</v>
      </c>
      <c r="R105" s="102"/>
    </row>
    <row r="106">
      <c r="A106" s="106">
        <f>IFERROR(YEAR(SalarioPromedio!B106),"")</f>
        <v>1899</v>
      </c>
      <c r="B106" s="106" t="str">
        <f>SalarioPromedio!D106</f>
        <v/>
      </c>
      <c r="C106" s="105">
        <f>IF(SalarioPromedio!B106="",0,SalarioPromedio!C106-SalarioPromedio!B106+1)</f>
        <v>0</v>
      </c>
      <c r="D106" s="104">
        <f>IF(SalarioPromedio!B106="",0,C106*B106)</f>
        <v>0</v>
      </c>
      <c r="E106" s="104">
        <f t="shared" si="1"/>
        <v>0</v>
      </c>
      <c r="F106" s="104">
        <f t="shared" si="2"/>
        <v>0</v>
      </c>
      <c r="G106" s="107">
        <f t="shared" si="3"/>
        <v>0</v>
      </c>
      <c r="H106" s="108">
        <f t="shared" si="4"/>
        <v>0</v>
      </c>
      <c r="I106" s="104">
        <f t="shared" si="5"/>
        <v>0</v>
      </c>
      <c r="J106" s="108">
        <f t="shared" si="6"/>
        <v>0</v>
      </c>
      <c r="K106" s="111">
        <f t="shared" si="7"/>
        <v>0</v>
      </c>
      <c r="L106" s="108">
        <f t="shared" si="8"/>
        <v>0</v>
      </c>
      <c r="M106" s="102"/>
      <c r="N106" s="111">
        <f t="shared" si="9"/>
        <v>0</v>
      </c>
      <c r="O106" s="111">
        <f t="shared" si="10"/>
        <v>0</v>
      </c>
      <c r="P106" s="111">
        <f t="shared" si="11"/>
        <v>0</v>
      </c>
      <c r="Q106" s="111">
        <f t="shared" si="12"/>
        <v>0</v>
      </c>
      <c r="R106" s="102"/>
    </row>
    <row r="107">
      <c r="A107" s="106">
        <f>IFERROR(YEAR(SalarioPromedio!B107),"")</f>
        <v>1899</v>
      </c>
      <c r="B107" s="106" t="str">
        <f>SalarioPromedio!D107</f>
        <v/>
      </c>
      <c r="C107" s="105">
        <f>IF(SalarioPromedio!B107="",0,SalarioPromedio!C107-SalarioPromedio!B107+1)</f>
        <v>0</v>
      </c>
      <c r="D107" s="104">
        <f>IF(SalarioPromedio!B107="",0,C107*B107)</f>
        <v>0</v>
      </c>
      <c r="E107" s="104">
        <f t="shared" si="1"/>
        <v>0</v>
      </c>
      <c r="F107" s="104">
        <f t="shared" si="2"/>
        <v>0</v>
      </c>
      <c r="G107" s="107">
        <f t="shared" si="3"/>
        <v>0</v>
      </c>
      <c r="H107" s="108">
        <f t="shared" si="4"/>
        <v>0</v>
      </c>
      <c r="I107" s="104">
        <f t="shared" si="5"/>
        <v>0</v>
      </c>
      <c r="J107" s="108">
        <f t="shared" si="6"/>
        <v>0</v>
      </c>
      <c r="K107" s="111">
        <f t="shared" si="7"/>
        <v>0</v>
      </c>
      <c r="L107" s="108">
        <f t="shared" si="8"/>
        <v>0</v>
      </c>
      <c r="M107" s="102"/>
      <c r="N107" s="111">
        <f t="shared" si="9"/>
        <v>0</v>
      </c>
      <c r="O107" s="111">
        <f t="shared" si="10"/>
        <v>0</v>
      </c>
      <c r="P107" s="111">
        <f t="shared" si="11"/>
        <v>0</v>
      </c>
      <c r="Q107" s="111">
        <f t="shared" si="12"/>
        <v>0</v>
      </c>
      <c r="R107" s="102"/>
    </row>
    <row r="108">
      <c r="A108" s="106">
        <f>IFERROR(YEAR(SalarioPromedio!B108),"")</f>
        <v>1899</v>
      </c>
      <c r="B108" s="106" t="str">
        <f>SalarioPromedio!D108</f>
        <v/>
      </c>
      <c r="C108" s="105">
        <f>IF(SalarioPromedio!B108="",0,SalarioPromedio!C108-SalarioPromedio!B108+1)</f>
        <v>0</v>
      </c>
      <c r="D108" s="104">
        <f>IF(SalarioPromedio!B108="",0,C108*B108)</f>
        <v>0</v>
      </c>
      <c r="E108" s="104">
        <f t="shared" si="1"/>
        <v>0</v>
      </c>
      <c r="F108" s="104">
        <f t="shared" si="2"/>
        <v>0</v>
      </c>
      <c r="G108" s="107">
        <f t="shared" si="3"/>
        <v>0</v>
      </c>
      <c r="H108" s="108">
        <f t="shared" si="4"/>
        <v>0</v>
      </c>
      <c r="I108" s="104">
        <f t="shared" si="5"/>
        <v>0</v>
      </c>
      <c r="J108" s="108">
        <f t="shared" si="6"/>
        <v>0</v>
      </c>
      <c r="K108" s="111">
        <f t="shared" si="7"/>
        <v>0</v>
      </c>
      <c r="L108" s="108">
        <f t="shared" si="8"/>
        <v>0</v>
      </c>
      <c r="M108" s="102"/>
      <c r="N108" s="111">
        <f t="shared" si="9"/>
        <v>0</v>
      </c>
      <c r="O108" s="111">
        <f t="shared" si="10"/>
        <v>0</v>
      </c>
      <c r="P108" s="111">
        <f t="shared" si="11"/>
        <v>0</v>
      </c>
      <c r="Q108" s="111">
        <f t="shared" si="12"/>
        <v>0</v>
      </c>
      <c r="R108" s="102"/>
    </row>
    <row r="109">
      <c r="A109" s="106">
        <f>IFERROR(YEAR(SalarioPromedio!B109),"")</f>
        <v>1899</v>
      </c>
      <c r="B109" s="106" t="str">
        <f>SalarioPromedio!D109</f>
        <v/>
      </c>
      <c r="C109" s="105">
        <f>IF(SalarioPromedio!B109="",0,SalarioPromedio!C109-SalarioPromedio!B109+1)</f>
        <v>0</v>
      </c>
      <c r="D109" s="104">
        <f>IF(SalarioPromedio!B109="",0,C109*B109)</f>
        <v>0</v>
      </c>
      <c r="E109" s="104">
        <f t="shared" si="1"/>
        <v>0</v>
      </c>
      <c r="F109" s="104">
        <f t="shared" si="2"/>
        <v>0</v>
      </c>
      <c r="G109" s="107">
        <f t="shared" si="3"/>
        <v>0</v>
      </c>
      <c r="H109" s="108">
        <f t="shared" si="4"/>
        <v>0</v>
      </c>
      <c r="I109" s="104">
        <f t="shared" si="5"/>
        <v>0</v>
      </c>
      <c r="J109" s="108">
        <f t="shared" si="6"/>
        <v>0</v>
      </c>
      <c r="K109" s="111">
        <f t="shared" si="7"/>
        <v>0</v>
      </c>
      <c r="L109" s="108">
        <f t="shared" si="8"/>
        <v>0</v>
      </c>
      <c r="M109" s="102"/>
      <c r="N109" s="111">
        <f t="shared" si="9"/>
        <v>0</v>
      </c>
      <c r="O109" s="111">
        <f t="shared" si="10"/>
        <v>0</v>
      </c>
      <c r="P109" s="111">
        <f t="shared" si="11"/>
        <v>0</v>
      </c>
      <c r="Q109" s="111">
        <f t="shared" si="12"/>
        <v>0</v>
      </c>
      <c r="R109" s="102"/>
    </row>
    <row r="110">
      <c r="A110" s="106">
        <f>IFERROR(YEAR(SalarioPromedio!B110),"")</f>
        <v>1899</v>
      </c>
      <c r="B110" s="106" t="str">
        <f>SalarioPromedio!D110</f>
        <v/>
      </c>
      <c r="C110" s="105">
        <f>IF(SalarioPromedio!B110="",0,SalarioPromedio!C110-SalarioPromedio!B110+1)</f>
        <v>0</v>
      </c>
      <c r="D110" s="104">
        <f>IF(SalarioPromedio!B110="",0,C110*B110)</f>
        <v>0</v>
      </c>
      <c r="E110" s="104">
        <f t="shared" si="1"/>
        <v>0</v>
      </c>
      <c r="F110" s="104">
        <f t="shared" si="2"/>
        <v>0</v>
      </c>
      <c r="G110" s="107">
        <f t="shared" si="3"/>
        <v>0</v>
      </c>
      <c r="H110" s="108">
        <f t="shared" si="4"/>
        <v>0</v>
      </c>
      <c r="I110" s="104">
        <f t="shared" si="5"/>
        <v>0</v>
      </c>
      <c r="J110" s="108">
        <f t="shared" si="6"/>
        <v>0</v>
      </c>
      <c r="K110" s="111">
        <f t="shared" si="7"/>
        <v>0</v>
      </c>
      <c r="L110" s="108">
        <f t="shared" si="8"/>
        <v>0</v>
      </c>
      <c r="M110" s="102"/>
      <c r="N110" s="111">
        <f t="shared" si="9"/>
        <v>0</v>
      </c>
      <c r="O110" s="111">
        <f t="shared" si="10"/>
        <v>0</v>
      </c>
      <c r="P110" s="111">
        <f t="shared" si="11"/>
        <v>0</v>
      </c>
      <c r="Q110" s="111">
        <f t="shared" si="12"/>
        <v>0</v>
      </c>
      <c r="R110" s="102"/>
    </row>
    <row r="111">
      <c r="A111" s="106">
        <f>IFERROR(YEAR(SalarioPromedio!B111),"")</f>
        <v>1899</v>
      </c>
      <c r="B111" s="106" t="str">
        <f>SalarioPromedio!D111</f>
        <v/>
      </c>
      <c r="C111" s="105">
        <f>IF(SalarioPromedio!B111="",0,SalarioPromedio!C111-SalarioPromedio!B111+1)</f>
        <v>0</v>
      </c>
      <c r="D111" s="104">
        <f>IF(SalarioPromedio!B111="",0,C111*B111)</f>
        <v>0</v>
      </c>
      <c r="E111" s="104">
        <f t="shared" si="1"/>
        <v>0</v>
      </c>
      <c r="F111" s="104">
        <f t="shared" si="2"/>
        <v>0</v>
      </c>
      <c r="G111" s="107">
        <f t="shared" si="3"/>
        <v>0</v>
      </c>
      <c r="H111" s="108">
        <f t="shared" si="4"/>
        <v>0</v>
      </c>
      <c r="I111" s="104">
        <f t="shared" si="5"/>
        <v>0</v>
      </c>
      <c r="J111" s="108">
        <f t="shared" si="6"/>
        <v>0</v>
      </c>
      <c r="K111" s="111">
        <f t="shared" si="7"/>
        <v>0</v>
      </c>
      <c r="L111" s="108">
        <f t="shared" si="8"/>
        <v>0</v>
      </c>
      <c r="M111" s="102"/>
      <c r="N111" s="111">
        <f t="shared" si="9"/>
        <v>0</v>
      </c>
      <c r="O111" s="111">
        <f t="shared" si="10"/>
        <v>0</v>
      </c>
      <c r="P111" s="111">
        <f t="shared" si="11"/>
        <v>0</v>
      </c>
      <c r="Q111" s="111">
        <f t="shared" si="12"/>
        <v>0</v>
      </c>
      <c r="R111" s="102"/>
    </row>
    <row r="112">
      <c r="A112" s="106">
        <f>IFERROR(YEAR(SalarioPromedio!B112),"")</f>
        <v>1899</v>
      </c>
      <c r="B112" s="106" t="str">
        <f>SalarioPromedio!D112</f>
        <v/>
      </c>
      <c r="C112" s="105">
        <f>IF(SalarioPromedio!B112="",0,SalarioPromedio!C112-SalarioPromedio!B112+1)</f>
        <v>0</v>
      </c>
      <c r="D112" s="104">
        <f>IF(SalarioPromedio!B112="",0,C112*B112)</f>
        <v>0</v>
      </c>
      <c r="E112" s="104">
        <f t="shared" si="1"/>
        <v>0</v>
      </c>
      <c r="F112" s="104">
        <f t="shared" si="2"/>
        <v>0</v>
      </c>
      <c r="G112" s="107">
        <f t="shared" si="3"/>
        <v>0</v>
      </c>
      <c r="H112" s="108">
        <f t="shared" si="4"/>
        <v>0</v>
      </c>
      <c r="I112" s="104">
        <f t="shared" si="5"/>
        <v>0</v>
      </c>
      <c r="J112" s="108">
        <f t="shared" si="6"/>
        <v>0</v>
      </c>
      <c r="K112" s="111">
        <f t="shared" si="7"/>
        <v>0</v>
      </c>
      <c r="L112" s="108">
        <f t="shared" si="8"/>
        <v>0</v>
      </c>
      <c r="M112" s="102"/>
      <c r="N112" s="111">
        <f t="shared" si="9"/>
        <v>0</v>
      </c>
      <c r="O112" s="111">
        <f t="shared" si="10"/>
        <v>0</v>
      </c>
      <c r="P112" s="111">
        <f t="shared" si="11"/>
        <v>0</v>
      </c>
      <c r="Q112" s="111">
        <f t="shared" si="12"/>
        <v>0</v>
      </c>
      <c r="R112" s="102"/>
    </row>
    <row r="113">
      <c r="A113" s="106">
        <f>IFERROR(YEAR(SalarioPromedio!B113),"")</f>
        <v>1899</v>
      </c>
      <c r="B113" s="106" t="str">
        <f>SalarioPromedio!D113</f>
        <v/>
      </c>
      <c r="C113" s="105">
        <f>IF(SalarioPromedio!B113="",0,SalarioPromedio!C113-SalarioPromedio!B113+1)</f>
        <v>0</v>
      </c>
      <c r="D113" s="104">
        <f>IF(SalarioPromedio!B113="",0,C113*B113)</f>
        <v>0</v>
      </c>
      <c r="E113" s="104">
        <f t="shared" si="1"/>
        <v>0</v>
      </c>
      <c r="F113" s="104">
        <f t="shared" si="2"/>
        <v>0</v>
      </c>
      <c r="G113" s="107">
        <f t="shared" si="3"/>
        <v>0</v>
      </c>
      <c r="H113" s="108">
        <f t="shared" si="4"/>
        <v>0</v>
      </c>
      <c r="I113" s="104">
        <f t="shared" si="5"/>
        <v>0</v>
      </c>
      <c r="J113" s="108">
        <f t="shared" si="6"/>
        <v>0</v>
      </c>
      <c r="K113" s="111">
        <f t="shared" si="7"/>
        <v>0</v>
      </c>
      <c r="L113" s="108">
        <f t="shared" si="8"/>
        <v>0</v>
      </c>
      <c r="M113" s="102"/>
      <c r="N113" s="111">
        <f t="shared" si="9"/>
        <v>0</v>
      </c>
      <c r="O113" s="111">
        <f t="shared" si="10"/>
        <v>0</v>
      </c>
      <c r="P113" s="111">
        <f t="shared" si="11"/>
        <v>0</v>
      </c>
      <c r="Q113" s="111">
        <f t="shared" si="12"/>
        <v>0</v>
      </c>
      <c r="R113" s="102"/>
    </row>
    <row r="114">
      <c r="A114" s="106">
        <f>IFERROR(YEAR(SalarioPromedio!B114),"")</f>
        <v>1899</v>
      </c>
      <c r="B114" s="106" t="str">
        <f>SalarioPromedio!D114</f>
        <v/>
      </c>
      <c r="C114" s="105">
        <f>IF(SalarioPromedio!B114="",0,SalarioPromedio!C114-SalarioPromedio!B114+1)</f>
        <v>0</v>
      </c>
      <c r="D114" s="104">
        <f>IF(SalarioPromedio!B114="",0,C114*B114)</f>
        <v>0</v>
      </c>
      <c r="E114" s="104">
        <f t="shared" si="1"/>
        <v>0</v>
      </c>
      <c r="F114" s="104">
        <f t="shared" si="2"/>
        <v>0</v>
      </c>
      <c r="G114" s="107">
        <f t="shared" si="3"/>
        <v>0</v>
      </c>
      <c r="H114" s="108">
        <f t="shared" si="4"/>
        <v>0</v>
      </c>
      <c r="I114" s="104">
        <f t="shared" si="5"/>
        <v>0</v>
      </c>
      <c r="J114" s="108">
        <f t="shared" si="6"/>
        <v>0</v>
      </c>
      <c r="K114" s="111">
        <f t="shared" si="7"/>
        <v>0</v>
      </c>
      <c r="L114" s="108">
        <f t="shared" si="8"/>
        <v>0</v>
      </c>
      <c r="M114" s="102"/>
      <c r="N114" s="111">
        <f t="shared" si="9"/>
        <v>0</v>
      </c>
      <c r="O114" s="111">
        <f t="shared" si="10"/>
        <v>0</v>
      </c>
      <c r="P114" s="111">
        <f t="shared" si="11"/>
        <v>0</v>
      </c>
      <c r="Q114" s="111">
        <f t="shared" si="12"/>
        <v>0</v>
      </c>
      <c r="R114" s="102"/>
    </row>
    <row r="115">
      <c r="A115" s="106">
        <f>IFERROR(YEAR(SalarioPromedio!B115),"")</f>
        <v>1899</v>
      </c>
      <c r="B115" s="106" t="str">
        <f>SalarioPromedio!D115</f>
        <v/>
      </c>
      <c r="C115" s="105">
        <f>IF(SalarioPromedio!B115="",0,SalarioPromedio!C115-SalarioPromedio!B115+1)</f>
        <v>0</v>
      </c>
      <c r="D115" s="104">
        <f>IF(SalarioPromedio!B115="",0,C115*B115)</f>
        <v>0</v>
      </c>
      <c r="E115" s="104">
        <f t="shared" si="1"/>
        <v>0</v>
      </c>
      <c r="F115" s="104">
        <f t="shared" si="2"/>
        <v>0</v>
      </c>
      <c r="G115" s="107">
        <f t="shared" si="3"/>
        <v>0</v>
      </c>
      <c r="H115" s="108">
        <f t="shared" si="4"/>
        <v>0</v>
      </c>
      <c r="I115" s="104">
        <f t="shared" si="5"/>
        <v>0</v>
      </c>
      <c r="J115" s="108">
        <f t="shared" si="6"/>
        <v>0</v>
      </c>
      <c r="K115" s="111">
        <f t="shared" si="7"/>
        <v>0</v>
      </c>
      <c r="L115" s="108">
        <f t="shared" si="8"/>
        <v>0</v>
      </c>
      <c r="M115" s="102"/>
      <c r="N115" s="111">
        <f t="shared" si="9"/>
        <v>0</v>
      </c>
      <c r="O115" s="111">
        <f t="shared" si="10"/>
        <v>0</v>
      </c>
      <c r="P115" s="111">
        <f t="shared" si="11"/>
        <v>0</v>
      </c>
      <c r="Q115" s="111">
        <f t="shared" si="12"/>
        <v>0</v>
      </c>
      <c r="R115" s="102"/>
    </row>
    <row r="116">
      <c r="A116" s="106">
        <f>IFERROR(YEAR(SalarioPromedio!B116),"")</f>
        <v>1899</v>
      </c>
      <c r="B116" s="106" t="str">
        <f>SalarioPromedio!D116</f>
        <v/>
      </c>
      <c r="C116" s="105">
        <f>IF(SalarioPromedio!B116="",0,SalarioPromedio!C116-SalarioPromedio!B116+1)</f>
        <v>0</v>
      </c>
      <c r="D116" s="104">
        <f>IF(SalarioPromedio!B116="",0,C116*B116)</f>
        <v>0</v>
      </c>
      <c r="E116" s="104">
        <f t="shared" si="1"/>
        <v>0</v>
      </c>
      <c r="F116" s="104">
        <f t="shared" si="2"/>
        <v>0</v>
      </c>
      <c r="G116" s="107">
        <f t="shared" si="3"/>
        <v>0</v>
      </c>
      <c r="H116" s="108">
        <f t="shared" si="4"/>
        <v>0</v>
      </c>
      <c r="I116" s="104">
        <f t="shared" si="5"/>
        <v>0</v>
      </c>
      <c r="J116" s="108">
        <f t="shared" si="6"/>
        <v>0</v>
      </c>
      <c r="K116" s="111">
        <f t="shared" si="7"/>
        <v>0</v>
      </c>
      <c r="L116" s="108">
        <f t="shared" si="8"/>
        <v>0</v>
      </c>
      <c r="M116" s="102"/>
      <c r="N116" s="111">
        <f t="shared" si="9"/>
        <v>0</v>
      </c>
      <c r="O116" s="111">
        <f t="shared" si="10"/>
        <v>0</v>
      </c>
      <c r="P116" s="111">
        <f t="shared" si="11"/>
        <v>0</v>
      </c>
      <c r="Q116" s="111">
        <f t="shared" si="12"/>
        <v>0</v>
      </c>
      <c r="R116" s="102"/>
    </row>
    <row r="117">
      <c r="A117" s="106">
        <f>IFERROR(YEAR(SalarioPromedio!B117),"")</f>
        <v>1899</v>
      </c>
      <c r="B117" s="106" t="str">
        <f>SalarioPromedio!D117</f>
        <v/>
      </c>
      <c r="C117" s="105">
        <f>IF(SalarioPromedio!B117="",0,SalarioPromedio!C117-SalarioPromedio!B117+1)</f>
        <v>0</v>
      </c>
      <c r="D117" s="104">
        <f>IF(SalarioPromedio!B117="",0,C117*B117)</f>
        <v>0</v>
      </c>
      <c r="E117" s="104">
        <f t="shared" si="1"/>
        <v>0</v>
      </c>
      <c r="F117" s="104">
        <f t="shared" si="2"/>
        <v>0</v>
      </c>
      <c r="G117" s="107">
        <f t="shared" si="3"/>
        <v>0</v>
      </c>
      <c r="H117" s="108">
        <f t="shared" si="4"/>
        <v>0</v>
      </c>
      <c r="I117" s="104">
        <f t="shared" si="5"/>
        <v>0</v>
      </c>
      <c r="J117" s="108">
        <f t="shared" si="6"/>
        <v>0</v>
      </c>
      <c r="K117" s="111">
        <f t="shared" si="7"/>
        <v>0</v>
      </c>
      <c r="L117" s="108">
        <f t="shared" si="8"/>
        <v>0</v>
      </c>
      <c r="M117" s="102"/>
      <c r="N117" s="111">
        <f t="shared" si="9"/>
        <v>0</v>
      </c>
      <c r="O117" s="111">
        <f t="shared" si="10"/>
        <v>0</v>
      </c>
      <c r="P117" s="111">
        <f t="shared" si="11"/>
        <v>0</v>
      </c>
      <c r="Q117" s="111">
        <f t="shared" si="12"/>
        <v>0</v>
      </c>
      <c r="R117" s="102"/>
    </row>
    <row r="118">
      <c r="A118" s="106">
        <f>IFERROR(YEAR(SalarioPromedio!B118),"")</f>
        <v>1899</v>
      </c>
      <c r="B118" s="106" t="str">
        <f>SalarioPromedio!D118</f>
        <v/>
      </c>
      <c r="C118" s="105">
        <f>IF(SalarioPromedio!B118="",0,SalarioPromedio!C118-SalarioPromedio!B118+1)</f>
        <v>0</v>
      </c>
      <c r="D118" s="104">
        <f>IF(SalarioPromedio!B118="",0,C118*B118)</f>
        <v>0</v>
      </c>
      <c r="E118" s="104">
        <f t="shared" si="1"/>
        <v>0</v>
      </c>
      <c r="F118" s="104">
        <f t="shared" si="2"/>
        <v>0</v>
      </c>
      <c r="G118" s="107">
        <f t="shared" si="3"/>
        <v>0</v>
      </c>
      <c r="H118" s="108">
        <f t="shared" si="4"/>
        <v>0</v>
      </c>
      <c r="I118" s="104">
        <f t="shared" si="5"/>
        <v>0</v>
      </c>
      <c r="J118" s="108">
        <f t="shared" si="6"/>
        <v>0</v>
      </c>
      <c r="K118" s="111">
        <f t="shared" si="7"/>
        <v>0</v>
      </c>
      <c r="L118" s="108">
        <f t="shared" si="8"/>
        <v>0</v>
      </c>
      <c r="M118" s="102"/>
      <c r="N118" s="111">
        <f t="shared" si="9"/>
        <v>0</v>
      </c>
      <c r="O118" s="111">
        <f t="shared" si="10"/>
        <v>0</v>
      </c>
      <c r="P118" s="111">
        <f t="shared" si="11"/>
        <v>0</v>
      </c>
      <c r="Q118" s="111">
        <f t="shared" si="12"/>
        <v>0</v>
      </c>
      <c r="R118" s="102"/>
    </row>
    <row r="119">
      <c r="A119" s="106">
        <f>IFERROR(YEAR(SalarioPromedio!B119),"")</f>
        <v>1899</v>
      </c>
      <c r="B119" s="106" t="str">
        <f>SalarioPromedio!D119</f>
        <v/>
      </c>
      <c r="C119" s="105">
        <f>IF(SalarioPromedio!B119="",0,SalarioPromedio!C119-SalarioPromedio!B119+1)</f>
        <v>0</v>
      </c>
      <c r="D119" s="104">
        <f>IF(SalarioPromedio!B119="",0,C119*B119)</f>
        <v>0</v>
      </c>
      <c r="E119" s="104">
        <f t="shared" si="1"/>
        <v>0</v>
      </c>
      <c r="F119" s="104">
        <f t="shared" si="2"/>
        <v>0</v>
      </c>
      <c r="G119" s="107">
        <f t="shared" si="3"/>
        <v>0</v>
      </c>
      <c r="H119" s="108">
        <f t="shared" si="4"/>
        <v>0</v>
      </c>
      <c r="I119" s="104">
        <f t="shared" si="5"/>
        <v>0</v>
      </c>
      <c r="J119" s="108">
        <f t="shared" si="6"/>
        <v>0</v>
      </c>
      <c r="K119" s="111">
        <f t="shared" si="7"/>
        <v>0</v>
      </c>
      <c r="L119" s="108">
        <f t="shared" si="8"/>
        <v>0</v>
      </c>
      <c r="M119" s="102"/>
      <c r="N119" s="111">
        <f t="shared" si="9"/>
        <v>0</v>
      </c>
      <c r="O119" s="111">
        <f t="shared" si="10"/>
        <v>0</v>
      </c>
      <c r="P119" s="111">
        <f t="shared" si="11"/>
        <v>0</v>
      </c>
      <c r="Q119" s="111">
        <f t="shared" si="12"/>
        <v>0</v>
      </c>
      <c r="R119" s="102"/>
    </row>
    <row r="120">
      <c r="A120" s="106">
        <f>IFERROR(YEAR(SalarioPromedio!B120),"")</f>
        <v>1899</v>
      </c>
      <c r="B120" s="106" t="str">
        <f>SalarioPromedio!D120</f>
        <v/>
      </c>
      <c r="C120" s="105">
        <f>IF(SalarioPromedio!B120="",0,SalarioPromedio!C120-SalarioPromedio!B120+1)</f>
        <v>0</v>
      </c>
      <c r="D120" s="104">
        <f>IF(SalarioPromedio!B120="",0,C120*B120)</f>
        <v>0</v>
      </c>
      <c r="E120" s="104">
        <f t="shared" si="1"/>
        <v>0</v>
      </c>
      <c r="F120" s="104">
        <f t="shared" si="2"/>
        <v>0</v>
      </c>
      <c r="G120" s="107">
        <f t="shared" si="3"/>
        <v>0</v>
      </c>
      <c r="H120" s="108">
        <f t="shared" si="4"/>
        <v>0</v>
      </c>
      <c r="I120" s="104">
        <f t="shared" si="5"/>
        <v>0</v>
      </c>
      <c r="J120" s="108">
        <f t="shared" si="6"/>
        <v>0</v>
      </c>
      <c r="K120" s="111">
        <f t="shared" si="7"/>
        <v>0</v>
      </c>
      <c r="L120" s="108">
        <f t="shared" si="8"/>
        <v>0</v>
      </c>
      <c r="M120" s="102"/>
      <c r="N120" s="111">
        <f t="shared" si="9"/>
        <v>0</v>
      </c>
      <c r="O120" s="111">
        <f t="shared" si="10"/>
        <v>0</v>
      </c>
      <c r="P120" s="111">
        <f t="shared" si="11"/>
        <v>0</v>
      </c>
      <c r="Q120" s="111">
        <f t="shared" si="12"/>
        <v>0</v>
      </c>
      <c r="R120" s="102"/>
    </row>
    <row r="121">
      <c r="A121" s="106">
        <f>IFERROR(YEAR(SalarioPromedio!B121),"")</f>
        <v>1899</v>
      </c>
      <c r="B121" s="106" t="str">
        <f>SalarioPromedio!D121</f>
        <v/>
      </c>
      <c r="C121" s="105">
        <f>IF(SalarioPromedio!B121="",0,SalarioPromedio!C121-SalarioPromedio!B121+1)</f>
        <v>0</v>
      </c>
      <c r="D121" s="104">
        <f>IF(SalarioPromedio!B121="",0,C121*B121)</f>
        <v>0</v>
      </c>
      <c r="E121" s="104">
        <f t="shared" si="1"/>
        <v>0</v>
      </c>
      <c r="F121" s="104">
        <f t="shared" si="2"/>
        <v>0</v>
      </c>
      <c r="G121" s="107">
        <f t="shared" si="3"/>
        <v>0</v>
      </c>
      <c r="H121" s="108">
        <f t="shared" si="4"/>
        <v>0</v>
      </c>
      <c r="I121" s="104">
        <f t="shared" si="5"/>
        <v>0</v>
      </c>
      <c r="J121" s="108">
        <f t="shared" si="6"/>
        <v>0</v>
      </c>
      <c r="K121" s="111">
        <f t="shared" si="7"/>
        <v>0</v>
      </c>
      <c r="L121" s="108">
        <f t="shared" si="8"/>
        <v>0</v>
      </c>
      <c r="M121" s="102"/>
      <c r="N121" s="111">
        <f t="shared" si="9"/>
        <v>0</v>
      </c>
      <c r="O121" s="111">
        <f t="shared" si="10"/>
        <v>0</v>
      </c>
      <c r="P121" s="111">
        <f t="shared" si="11"/>
        <v>0</v>
      </c>
      <c r="Q121" s="111">
        <f t="shared" si="12"/>
        <v>0</v>
      </c>
      <c r="R121" s="102"/>
    </row>
    <row r="122">
      <c r="A122" s="106">
        <f>IFERROR(YEAR(SalarioPromedio!B122),"")</f>
        <v>1899</v>
      </c>
      <c r="B122" s="106" t="str">
        <f>SalarioPromedio!D122</f>
        <v/>
      </c>
      <c r="C122" s="105">
        <f>IF(SalarioPromedio!B122="",0,SalarioPromedio!C122-SalarioPromedio!B122+1)</f>
        <v>0</v>
      </c>
      <c r="D122" s="104">
        <f>IF(SalarioPromedio!B122="",0,C122*B122)</f>
        <v>0</v>
      </c>
      <c r="E122" s="104">
        <f t="shared" si="1"/>
        <v>0</v>
      </c>
      <c r="F122" s="104">
        <f t="shared" si="2"/>
        <v>0</v>
      </c>
      <c r="G122" s="107">
        <f t="shared" si="3"/>
        <v>0</v>
      </c>
      <c r="H122" s="108">
        <f t="shared" si="4"/>
        <v>0</v>
      </c>
      <c r="I122" s="104">
        <f t="shared" si="5"/>
        <v>0</v>
      </c>
      <c r="J122" s="108">
        <f t="shared" si="6"/>
        <v>0</v>
      </c>
      <c r="K122" s="111">
        <f t="shared" si="7"/>
        <v>0</v>
      </c>
      <c r="L122" s="108">
        <f t="shared" si="8"/>
        <v>0</v>
      </c>
      <c r="M122" s="102"/>
      <c r="N122" s="111">
        <f t="shared" si="9"/>
        <v>0</v>
      </c>
      <c r="O122" s="111">
        <f t="shared" si="10"/>
        <v>0</v>
      </c>
      <c r="P122" s="111">
        <f t="shared" si="11"/>
        <v>0</v>
      </c>
      <c r="Q122" s="111">
        <f t="shared" si="12"/>
        <v>0</v>
      </c>
      <c r="R122" s="102"/>
    </row>
    <row r="123">
      <c r="A123" s="106">
        <f>IFERROR(YEAR(SalarioPromedio!B123),"")</f>
        <v>1899</v>
      </c>
      <c r="B123" s="106" t="str">
        <f>SalarioPromedio!D123</f>
        <v/>
      </c>
      <c r="C123" s="105">
        <f>IF(SalarioPromedio!B123="",0,SalarioPromedio!C123-SalarioPromedio!B123+1)</f>
        <v>0</v>
      </c>
      <c r="D123" s="104">
        <f>IF(SalarioPromedio!B123="",0,C123*B123)</f>
        <v>0</v>
      </c>
      <c r="E123" s="104">
        <f t="shared" si="1"/>
        <v>0</v>
      </c>
      <c r="F123" s="104">
        <f t="shared" si="2"/>
        <v>0</v>
      </c>
      <c r="G123" s="107">
        <f t="shared" si="3"/>
        <v>0</v>
      </c>
      <c r="H123" s="108">
        <f t="shared" si="4"/>
        <v>0</v>
      </c>
      <c r="I123" s="104">
        <f t="shared" si="5"/>
        <v>0</v>
      </c>
      <c r="J123" s="108">
        <f t="shared" si="6"/>
        <v>0</v>
      </c>
      <c r="K123" s="111">
        <f t="shared" si="7"/>
        <v>0</v>
      </c>
      <c r="L123" s="108">
        <f t="shared" si="8"/>
        <v>0</v>
      </c>
      <c r="M123" s="102"/>
      <c r="N123" s="111">
        <f t="shared" si="9"/>
        <v>0</v>
      </c>
      <c r="O123" s="111">
        <f t="shared" si="10"/>
        <v>0</v>
      </c>
      <c r="P123" s="111">
        <f t="shared" si="11"/>
        <v>0</v>
      </c>
      <c r="Q123" s="111">
        <f t="shared" si="12"/>
        <v>0</v>
      </c>
      <c r="R123" s="102"/>
    </row>
    <row r="124">
      <c r="A124" s="106">
        <f>IFERROR(YEAR(SalarioPromedio!B124),"")</f>
        <v>1899</v>
      </c>
      <c r="B124" s="106" t="str">
        <f>SalarioPromedio!D124</f>
        <v/>
      </c>
      <c r="C124" s="105">
        <f>IF(SalarioPromedio!B124="",0,SalarioPromedio!C124-SalarioPromedio!B124+1)</f>
        <v>0</v>
      </c>
      <c r="D124" s="104">
        <f>IF(SalarioPromedio!B124="",0,C124*B124)</f>
        <v>0</v>
      </c>
      <c r="E124" s="104">
        <f t="shared" si="1"/>
        <v>0</v>
      </c>
      <c r="F124" s="104">
        <f t="shared" si="2"/>
        <v>0</v>
      </c>
      <c r="G124" s="107">
        <f t="shared" si="3"/>
        <v>0</v>
      </c>
      <c r="H124" s="108">
        <f t="shared" si="4"/>
        <v>0</v>
      </c>
      <c r="I124" s="104">
        <f t="shared" si="5"/>
        <v>0</v>
      </c>
      <c r="J124" s="108">
        <f t="shared" si="6"/>
        <v>0</v>
      </c>
      <c r="K124" s="111">
        <f t="shared" si="7"/>
        <v>0</v>
      </c>
      <c r="L124" s="108">
        <f t="shared" si="8"/>
        <v>0</v>
      </c>
      <c r="M124" s="102"/>
      <c r="N124" s="111">
        <f t="shared" si="9"/>
        <v>0</v>
      </c>
      <c r="O124" s="111">
        <f t="shared" si="10"/>
        <v>0</v>
      </c>
      <c r="P124" s="111">
        <f t="shared" si="11"/>
        <v>0</v>
      </c>
      <c r="Q124" s="111">
        <f t="shared" si="12"/>
        <v>0</v>
      </c>
      <c r="R124" s="102"/>
    </row>
    <row r="125">
      <c r="A125" s="106">
        <f>IFERROR(YEAR(SalarioPromedio!B125),"")</f>
        <v>1899</v>
      </c>
      <c r="B125" s="106" t="str">
        <f>SalarioPromedio!D125</f>
        <v/>
      </c>
      <c r="C125" s="105">
        <f>IF(SalarioPromedio!B125="",0,SalarioPromedio!C125-SalarioPromedio!B125+1)</f>
        <v>0</v>
      </c>
      <c r="D125" s="104">
        <f>IF(SalarioPromedio!B125="",0,C125*B125)</f>
        <v>0</v>
      </c>
      <c r="E125" s="104">
        <f t="shared" si="1"/>
        <v>0</v>
      </c>
      <c r="F125" s="104">
        <f t="shared" si="2"/>
        <v>0</v>
      </c>
      <c r="G125" s="107">
        <f t="shared" si="3"/>
        <v>0</v>
      </c>
      <c r="H125" s="108">
        <f t="shared" si="4"/>
        <v>0</v>
      </c>
      <c r="I125" s="104">
        <f t="shared" si="5"/>
        <v>0</v>
      </c>
      <c r="J125" s="108">
        <f t="shared" si="6"/>
        <v>0</v>
      </c>
      <c r="K125" s="111">
        <f t="shared" si="7"/>
        <v>0</v>
      </c>
      <c r="L125" s="108">
        <f t="shared" si="8"/>
        <v>0</v>
      </c>
      <c r="M125" s="102"/>
      <c r="N125" s="111">
        <f t="shared" si="9"/>
        <v>0</v>
      </c>
      <c r="O125" s="111">
        <f t="shared" si="10"/>
        <v>0</v>
      </c>
      <c r="P125" s="111">
        <f t="shared" si="11"/>
        <v>0</v>
      </c>
      <c r="Q125" s="111">
        <f t="shared" si="12"/>
        <v>0</v>
      </c>
      <c r="R125" s="102"/>
    </row>
    <row r="126">
      <c r="A126" s="106">
        <f>IFERROR(YEAR(SalarioPromedio!B126),"")</f>
        <v>1899</v>
      </c>
      <c r="B126" s="106" t="str">
        <f>SalarioPromedio!D126</f>
        <v/>
      </c>
      <c r="C126" s="105">
        <f>IF(SalarioPromedio!B126="",0,SalarioPromedio!C126-SalarioPromedio!B126+1)</f>
        <v>0</v>
      </c>
      <c r="D126" s="104">
        <f>IF(SalarioPromedio!B126="",0,C126*B126)</f>
        <v>0</v>
      </c>
      <c r="E126" s="104">
        <f t="shared" si="1"/>
        <v>0</v>
      </c>
      <c r="F126" s="104">
        <f t="shared" si="2"/>
        <v>0</v>
      </c>
      <c r="G126" s="107">
        <f t="shared" si="3"/>
        <v>0</v>
      </c>
      <c r="H126" s="108">
        <f t="shared" si="4"/>
        <v>0</v>
      </c>
      <c r="I126" s="104">
        <f t="shared" si="5"/>
        <v>0</v>
      </c>
      <c r="J126" s="108">
        <f t="shared" si="6"/>
        <v>0</v>
      </c>
      <c r="K126" s="111">
        <f t="shared" si="7"/>
        <v>0</v>
      </c>
      <c r="L126" s="108">
        <f t="shared" si="8"/>
        <v>0</v>
      </c>
      <c r="M126" s="102"/>
      <c r="N126" s="111">
        <f t="shared" si="9"/>
        <v>0</v>
      </c>
      <c r="O126" s="111">
        <f t="shared" si="10"/>
        <v>0</v>
      </c>
      <c r="P126" s="111">
        <f t="shared" si="11"/>
        <v>0</v>
      </c>
      <c r="Q126" s="111">
        <f t="shared" si="12"/>
        <v>0</v>
      </c>
      <c r="R126" s="102"/>
    </row>
    <row r="127">
      <c r="A127" s="106">
        <f>IFERROR(YEAR(SalarioPromedio!B127),"")</f>
        <v>1899</v>
      </c>
      <c r="B127" s="106" t="str">
        <f>SalarioPromedio!D127</f>
        <v/>
      </c>
      <c r="C127" s="105">
        <f>IF(SalarioPromedio!B127="",0,SalarioPromedio!C127-SalarioPromedio!B127+1)</f>
        <v>0</v>
      </c>
      <c r="D127" s="104">
        <f>IF(SalarioPromedio!B127="",0,C127*B127)</f>
        <v>0</v>
      </c>
      <c r="E127" s="104">
        <f t="shared" si="1"/>
        <v>0</v>
      </c>
      <c r="F127" s="104">
        <f t="shared" si="2"/>
        <v>0</v>
      </c>
      <c r="G127" s="107">
        <f t="shared" si="3"/>
        <v>0</v>
      </c>
      <c r="H127" s="108">
        <f t="shared" si="4"/>
        <v>0</v>
      </c>
      <c r="I127" s="104">
        <f t="shared" si="5"/>
        <v>0</v>
      </c>
      <c r="J127" s="108">
        <f t="shared" si="6"/>
        <v>0</v>
      </c>
      <c r="K127" s="111">
        <f t="shared" si="7"/>
        <v>0</v>
      </c>
      <c r="L127" s="108">
        <f t="shared" si="8"/>
        <v>0</v>
      </c>
      <c r="M127" s="102"/>
      <c r="N127" s="111">
        <f t="shared" si="9"/>
        <v>0</v>
      </c>
      <c r="O127" s="111">
        <f t="shared" si="10"/>
        <v>0</v>
      </c>
      <c r="P127" s="111">
        <f t="shared" si="11"/>
        <v>0</v>
      </c>
      <c r="Q127" s="111">
        <f t="shared" si="12"/>
        <v>0</v>
      </c>
      <c r="R127" s="102"/>
    </row>
    <row r="128">
      <c r="A128" s="106">
        <f>IFERROR(YEAR(SalarioPromedio!B128),"")</f>
        <v>1899</v>
      </c>
      <c r="B128" s="106" t="str">
        <f>SalarioPromedio!D128</f>
        <v/>
      </c>
      <c r="C128" s="105">
        <f>IF(SalarioPromedio!B128="",0,SalarioPromedio!C128-SalarioPromedio!B128+1)</f>
        <v>0</v>
      </c>
      <c r="D128" s="104">
        <f>IF(SalarioPromedio!B128="",0,C128*B128)</f>
        <v>0</v>
      </c>
      <c r="E128" s="104">
        <f t="shared" si="1"/>
        <v>0</v>
      </c>
      <c r="F128" s="104">
        <f t="shared" si="2"/>
        <v>0</v>
      </c>
      <c r="G128" s="107">
        <f t="shared" si="3"/>
        <v>0</v>
      </c>
      <c r="H128" s="108">
        <f t="shared" si="4"/>
        <v>0</v>
      </c>
      <c r="I128" s="104">
        <f t="shared" si="5"/>
        <v>0</v>
      </c>
      <c r="J128" s="108">
        <f t="shared" si="6"/>
        <v>0</v>
      </c>
      <c r="K128" s="111">
        <f t="shared" si="7"/>
        <v>0</v>
      </c>
      <c r="L128" s="108">
        <f t="shared" si="8"/>
        <v>0</v>
      </c>
      <c r="M128" s="102"/>
      <c r="N128" s="111">
        <f t="shared" si="9"/>
        <v>0</v>
      </c>
      <c r="O128" s="111">
        <f t="shared" si="10"/>
        <v>0</v>
      </c>
      <c r="P128" s="111">
        <f t="shared" si="11"/>
        <v>0</v>
      </c>
      <c r="Q128" s="111">
        <f t="shared" si="12"/>
        <v>0</v>
      </c>
      <c r="R128" s="102"/>
    </row>
    <row r="129">
      <c r="A129" s="106">
        <f>IFERROR(YEAR(SalarioPromedio!B129),"")</f>
        <v>1899</v>
      </c>
      <c r="B129" s="106" t="str">
        <f>SalarioPromedio!D129</f>
        <v/>
      </c>
      <c r="C129" s="105">
        <f>IF(SalarioPromedio!B129="",0,SalarioPromedio!C129-SalarioPromedio!B129+1)</f>
        <v>0</v>
      </c>
      <c r="D129" s="104">
        <f>IF(SalarioPromedio!B129="",0,C129*B129)</f>
        <v>0</v>
      </c>
      <c r="E129" s="104">
        <f t="shared" si="1"/>
        <v>0</v>
      </c>
      <c r="F129" s="104">
        <f t="shared" si="2"/>
        <v>0</v>
      </c>
      <c r="G129" s="107">
        <f t="shared" si="3"/>
        <v>0</v>
      </c>
      <c r="H129" s="108">
        <f t="shared" si="4"/>
        <v>0</v>
      </c>
      <c r="I129" s="104">
        <f t="shared" si="5"/>
        <v>0</v>
      </c>
      <c r="J129" s="108">
        <f t="shared" si="6"/>
        <v>0</v>
      </c>
      <c r="K129" s="111">
        <f t="shared" si="7"/>
        <v>0</v>
      </c>
      <c r="L129" s="108">
        <f t="shared" si="8"/>
        <v>0</v>
      </c>
      <c r="M129" s="102"/>
      <c r="N129" s="111">
        <f t="shared" si="9"/>
        <v>0</v>
      </c>
      <c r="O129" s="111">
        <f t="shared" si="10"/>
        <v>0</v>
      </c>
      <c r="P129" s="111">
        <f t="shared" si="11"/>
        <v>0</v>
      </c>
      <c r="Q129" s="111">
        <f t="shared" si="12"/>
        <v>0</v>
      </c>
      <c r="R129" s="102"/>
    </row>
    <row r="130">
      <c r="A130" s="106">
        <f>IFERROR(YEAR(SalarioPromedio!B130),"")</f>
        <v>1899</v>
      </c>
      <c r="B130" s="106" t="str">
        <f>SalarioPromedio!D130</f>
        <v/>
      </c>
      <c r="C130" s="105">
        <f>IF(SalarioPromedio!B130="",0,SalarioPromedio!C130-SalarioPromedio!B130+1)</f>
        <v>0</v>
      </c>
      <c r="D130" s="104">
        <f>IF(SalarioPromedio!B130="",0,C130*B130)</f>
        <v>0</v>
      </c>
      <c r="E130" s="104">
        <f t="shared" si="1"/>
        <v>0</v>
      </c>
      <c r="F130" s="104">
        <f t="shared" si="2"/>
        <v>0</v>
      </c>
      <c r="G130" s="107">
        <f t="shared" si="3"/>
        <v>0</v>
      </c>
      <c r="H130" s="108">
        <f t="shared" si="4"/>
        <v>0</v>
      </c>
      <c r="I130" s="104">
        <f t="shared" si="5"/>
        <v>0</v>
      </c>
      <c r="J130" s="108">
        <f t="shared" si="6"/>
        <v>0</v>
      </c>
      <c r="K130" s="111">
        <f t="shared" si="7"/>
        <v>0</v>
      </c>
      <c r="L130" s="108">
        <f t="shared" si="8"/>
        <v>0</v>
      </c>
      <c r="M130" s="102"/>
      <c r="N130" s="111">
        <f t="shared" si="9"/>
        <v>0</v>
      </c>
      <c r="O130" s="111">
        <f t="shared" si="10"/>
        <v>0</v>
      </c>
      <c r="P130" s="111">
        <f t="shared" si="11"/>
        <v>0</v>
      </c>
      <c r="Q130" s="111">
        <f t="shared" si="12"/>
        <v>0</v>
      </c>
      <c r="R130" s="102"/>
    </row>
    <row r="131">
      <c r="A131" s="106">
        <f>IFERROR(YEAR(SalarioPromedio!B131),"")</f>
        <v>1899</v>
      </c>
      <c r="B131" s="106" t="str">
        <f>SalarioPromedio!D131</f>
        <v/>
      </c>
      <c r="C131" s="105">
        <f>IF(SalarioPromedio!B131="",0,SalarioPromedio!C131-SalarioPromedio!B131+1)</f>
        <v>0</v>
      </c>
      <c r="D131" s="104">
        <f>IF(SalarioPromedio!B131="",0,C131*B131)</f>
        <v>0</v>
      </c>
      <c r="E131" s="104">
        <f t="shared" si="1"/>
        <v>0</v>
      </c>
      <c r="F131" s="104">
        <f t="shared" si="2"/>
        <v>0</v>
      </c>
      <c r="G131" s="107">
        <f t="shared" si="3"/>
        <v>0</v>
      </c>
      <c r="H131" s="108">
        <f t="shared" si="4"/>
        <v>0</v>
      </c>
      <c r="I131" s="104">
        <f t="shared" si="5"/>
        <v>0</v>
      </c>
      <c r="J131" s="108">
        <f t="shared" si="6"/>
        <v>0</v>
      </c>
      <c r="K131" s="111">
        <f t="shared" si="7"/>
        <v>0</v>
      </c>
      <c r="L131" s="108">
        <f t="shared" si="8"/>
        <v>0</v>
      </c>
      <c r="M131" s="102"/>
      <c r="N131" s="111">
        <f t="shared" si="9"/>
        <v>0</v>
      </c>
      <c r="O131" s="111">
        <f t="shared" si="10"/>
        <v>0</v>
      </c>
      <c r="P131" s="111">
        <f t="shared" si="11"/>
        <v>0</v>
      </c>
      <c r="Q131" s="111">
        <f t="shared" si="12"/>
        <v>0</v>
      </c>
      <c r="R131" s="102"/>
    </row>
    <row r="132">
      <c r="A132" s="106">
        <f>IFERROR(YEAR(SalarioPromedio!B132),"")</f>
        <v>1899</v>
      </c>
      <c r="B132" s="106" t="str">
        <f>SalarioPromedio!D132</f>
        <v/>
      </c>
      <c r="C132" s="105">
        <f>IF(SalarioPromedio!B132="",0,SalarioPromedio!C132-SalarioPromedio!B132+1)</f>
        <v>0</v>
      </c>
      <c r="D132" s="104">
        <f>IF(SalarioPromedio!B132="",0,C132*B132)</f>
        <v>0</v>
      </c>
      <c r="E132" s="104">
        <f t="shared" si="1"/>
        <v>0</v>
      </c>
      <c r="F132" s="104">
        <f t="shared" si="2"/>
        <v>0</v>
      </c>
      <c r="G132" s="107">
        <f t="shared" si="3"/>
        <v>0</v>
      </c>
      <c r="H132" s="108">
        <f t="shared" si="4"/>
        <v>0</v>
      </c>
      <c r="I132" s="104">
        <f t="shared" si="5"/>
        <v>0</v>
      </c>
      <c r="J132" s="108">
        <f t="shared" si="6"/>
        <v>0</v>
      </c>
      <c r="K132" s="111">
        <f t="shared" si="7"/>
        <v>0</v>
      </c>
      <c r="L132" s="108">
        <f t="shared" si="8"/>
        <v>0</v>
      </c>
      <c r="M132" s="102"/>
      <c r="N132" s="111">
        <f t="shared" si="9"/>
        <v>0</v>
      </c>
      <c r="O132" s="111">
        <f t="shared" si="10"/>
        <v>0</v>
      </c>
      <c r="P132" s="111">
        <f t="shared" si="11"/>
        <v>0</v>
      </c>
      <c r="Q132" s="111">
        <f t="shared" si="12"/>
        <v>0</v>
      </c>
      <c r="R132" s="102"/>
    </row>
    <row r="133">
      <c r="A133" s="106">
        <f>IFERROR(YEAR(SalarioPromedio!B133),"")</f>
        <v>1899</v>
      </c>
      <c r="B133" s="106" t="str">
        <f>SalarioPromedio!D133</f>
        <v/>
      </c>
      <c r="C133" s="105">
        <f>IF(SalarioPromedio!B133="",0,SalarioPromedio!C133-SalarioPromedio!B133+1)</f>
        <v>0</v>
      </c>
      <c r="D133" s="104">
        <f>IF(SalarioPromedio!B133="",0,C133*B133)</f>
        <v>0</v>
      </c>
      <c r="E133" s="104">
        <f t="shared" si="1"/>
        <v>0</v>
      </c>
      <c r="F133" s="104">
        <f t="shared" si="2"/>
        <v>0</v>
      </c>
      <c r="G133" s="107">
        <f t="shared" si="3"/>
        <v>0</v>
      </c>
      <c r="H133" s="108">
        <f t="shared" si="4"/>
        <v>0</v>
      </c>
      <c r="I133" s="104">
        <f t="shared" si="5"/>
        <v>0</v>
      </c>
      <c r="J133" s="108">
        <f t="shared" si="6"/>
        <v>0</v>
      </c>
      <c r="K133" s="111">
        <f t="shared" si="7"/>
        <v>0</v>
      </c>
      <c r="L133" s="108">
        <f t="shared" si="8"/>
        <v>0</v>
      </c>
      <c r="M133" s="102"/>
      <c r="N133" s="111">
        <f t="shared" si="9"/>
        <v>0</v>
      </c>
      <c r="O133" s="111">
        <f t="shared" si="10"/>
        <v>0</v>
      </c>
      <c r="P133" s="111">
        <f t="shared" si="11"/>
        <v>0</v>
      </c>
      <c r="Q133" s="111">
        <f t="shared" si="12"/>
        <v>0</v>
      </c>
      <c r="R133" s="102"/>
    </row>
    <row r="134">
      <c r="A134" s="106">
        <f>IFERROR(YEAR(SalarioPromedio!B134),"")</f>
        <v>1899</v>
      </c>
      <c r="B134" s="106" t="str">
        <f>SalarioPromedio!D134</f>
        <v/>
      </c>
      <c r="C134" s="105">
        <f>IF(SalarioPromedio!B134="",0,SalarioPromedio!C134-SalarioPromedio!B134+1)</f>
        <v>0</v>
      </c>
      <c r="D134" s="104">
        <f>IF(SalarioPromedio!B134="",0,C134*B134)</f>
        <v>0</v>
      </c>
      <c r="E134" s="104">
        <f t="shared" si="1"/>
        <v>0</v>
      </c>
      <c r="F134" s="104">
        <f t="shared" si="2"/>
        <v>0</v>
      </c>
      <c r="G134" s="107">
        <f t="shared" si="3"/>
        <v>0</v>
      </c>
      <c r="H134" s="108">
        <f t="shared" si="4"/>
        <v>0</v>
      </c>
      <c r="I134" s="104">
        <f t="shared" si="5"/>
        <v>0</v>
      </c>
      <c r="J134" s="108">
        <f t="shared" si="6"/>
        <v>0</v>
      </c>
      <c r="K134" s="111">
        <f t="shared" si="7"/>
        <v>0</v>
      </c>
      <c r="L134" s="108">
        <f t="shared" si="8"/>
        <v>0</v>
      </c>
      <c r="M134" s="102"/>
      <c r="N134" s="111">
        <f t="shared" si="9"/>
        <v>0</v>
      </c>
      <c r="O134" s="111">
        <f t="shared" si="10"/>
        <v>0</v>
      </c>
      <c r="P134" s="111">
        <f t="shared" si="11"/>
        <v>0</v>
      </c>
      <c r="Q134" s="111">
        <f t="shared" si="12"/>
        <v>0</v>
      </c>
      <c r="R134" s="102"/>
    </row>
    <row r="135">
      <c r="A135" s="106">
        <f>IFERROR(YEAR(SalarioPromedio!B135),"")</f>
        <v>1899</v>
      </c>
      <c r="B135" s="106" t="str">
        <f>SalarioPromedio!D135</f>
        <v/>
      </c>
      <c r="C135" s="105">
        <f>IF(SalarioPromedio!B135="",0,SalarioPromedio!C135-SalarioPromedio!B135+1)</f>
        <v>0</v>
      </c>
      <c r="D135" s="104">
        <f>IF(SalarioPromedio!B135="",0,C135*B135)</f>
        <v>0</v>
      </c>
      <c r="E135" s="104">
        <f t="shared" si="1"/>
        <v>0</v>
      </c>
      <c r="F135" s="104">
        <f t="shared" si="2"/>
        <v>0</v>
      </c>
      <c r="G135" s="107">
        <f t="shared" si="3"/>
        <v>0</v>
      </c>
      <c r="H135" s="108">
        <f t="shared" si="4"/>
        <v>0</v>
      </c>
      <c r="I135" s="104">
        <f t="shared" si="5"/>
        <v>0</v>
      </c>
      <c r="J135" s="108">
        <f t="shared" si="6"/>
        <v>0</v>
      </c>
      <c r="K135" s="111">
        <f t="shared" si="7"/>
        <v>0</v>
      </c>
      <c r="L135" s="108">
        <f t="shared" si="8"/>
        <v>0</v>
      </c>
      <c r="M135" s="102"/>
      <c r="N135" s="111">
        <f t="shared" si="9"/>
        <v>0</v>
      </c>
      <c r="O135" s="111">
        <f t="shared" si="10"/>
        <v>0</v>
      </c>
      <c r="P135" s="111">
        <f t="shared" si="11"/>
        <v>0</v>
      </c>
      <c r="Q135" s="111">
        <f t="shared" si="12"/>
        <v>0</v>
      </c>
      <c r="R135" s="102"/>
    </row>
    <row r="136">
      <c r="A136" s="106">
        <f>IFERROR(YEAR(SalarioPromedio!B136),"")</f>
        <v>1899</v>
      </c>
      <c r="B136" s="106" t="str">
        <f>SalarioPromedio!D136</f>
        <v/>
      </c>
      <c r="C136" s="105">
        <f>IF(SalarioPromedio!B136="",0,SalarioPromedio!C136-SalarioPromedio!B136+1)</f>
        <v>0</v>
      </c>
      <c r="D136" s="104">
        <f>IF(SalarioPromedio!B136="",0,C136*B136)</f>
        <v>0</v>
      </c>
      <c r="E136" s="104">
        <f t="shared" si="1"/>
        <v>0</v>
      </c>
      <c r="F136" s="104">
        <f t="shared" si="2"/>
        <v>0</v>
      </c>
      <c r="G136" s="107">
        <f t="shared" si="3"/>
        <v>0</v>
      </c>
      <c r="H136" s="108">
        <f t="shared" si="4"/>
        <v>0</v>
      </c>
      <c r="I136" s="104">
        <f t="shared" si="5"/>
        <v>0</v>
      </c>
      <c r="J136" s="108">
        <f t="shared" si="6"/>
        <v>0</v>
      </c>
      <c r="K136" s="111">
        <f t="shared" si="7"/>
        <v>0</v>
      </c>
      <c r="L136" s="108">
        <f t="shared" si="8"/>
        <v>0</v>
      </c>
      <c r="M136" s="102"/>
      <c r="N136" s="111">
        <f t="shared" si="9"/>
        <v>0</v>
      </c>
      <c r="O136" s="111">
        <f t="shared" si="10"/>
        <v>0</v>
      </c>
      <c r="P136" s="111">
        <f t="shared" si="11"/>
        <v>0</v>
      </c>
      <c r="Q136" s="111">
        <f t="shared" si="12"/>
        <v>0</v>
      </c>
      <c r="R136" s="102"/>
    </row>
    <row r="137">
      <c r="A137" s="106">
        <f>IFERROR(YEAR(SalarioPromedio!B137),"")</f>
        <v>1899</v>
      </c>
      <c r="B137" s="106" t="str">
        <f>SalarioPromedio!D137</f>
        <v/>
      </c>
      <c r="C137" s="105">
        <f>IF(SalarioPromedio!B137="",0,SalarioPromedio!C137-SalarioPromedio!B137+1)</f>
        <v>0</v>
      </c>
      <c r="D137" s="104">
        <f>IF(SalarioPromedio!B137="",0,C137*B137)</f>
        <v>0</v>
      </c>
      <c r="E137" s="104">
        <f t="shared" si="1"/>
        <v>0</v>
      </c>
      <c r="F137" s="104">
        <f t="shared" si="2"/>
        <v>0</v>
      </c>
      <c r="G137" s="107">
        <f t="shared" si="3"/>
        <v>0</v>
      </c>
      <c r="H137" s="108">
        <f t="shared" si="4"/>
        <v>0</v>
      </c>
      <c r="I137" s="104">
        <f t="shared" si="5"/>
        <v>0</v>
      </c>
      <c r="J137" s="108">
        <f t="shared" si="6"/>
        <v>0</v>
      </c>
      <c r="K137" s="111">
        <f t="shared" si="7"/>
        <v>0</v>
      </c>
      <c r="L137" s="108">
        <f t="shared" si="8"/>
        <v>0</v>
      </c>
      <c r="M137" s="102"/>
      <c r="N137" s="111">
        <f t="shared" si="9"/>
        <v>0</v>
      </c>
      <c r="O137" s="111">
        <f t="shared" si="10"/>
        <v>0</v>
      </c>
      <c r="P137" s="111">
        <f t="shared" si="11"/>
        <v>0</v>
      </c>
      <c r="Q137" s="111">
        <f t="shared" si="12"/>
        <v>0</v>
      </c>
      <c r="R137" s="102"/>
    </row>
    <row r="138">
      <c r="A138" s="106">
        <f>IFERROR(YEAR(SalarioPromedio!B138),"")</f>
        <v>1899</v>
      </c>
      <c r="B138" s="106" t="str">
        <f>SalarioPromedio!D138</f>
        <v/>
      </c>
      <c r="C138" s="105">
        <f>IF(SalarioPromedio!B138="",0,SalarioPromedio!C138-SalarioPromedio!B138+1)</f>
        <v>0</v>
      </c>
      <c r="D138" s="104">
        <f>IF(SalarioPromedio!B138="",0,C138*B138)</f>
        <v>0</v>
      </c>
      <c r="E138" s="104">
        <f t="shared" si="1"/>
        <v>0</v>
      </c>
      <c r="F138" s="104">
        <f t="shared" si="2"/>
        <v>0</v>
      </c>
      <c r="G138" s="107">
        <f t="shared" si="3"/>
        <v>0</v>
      </c>
      <c r="H138" s="108">
        <f t="shared" si="4"/>
        <v>0</v>
      </c>
      <c r="I138" s="104">
        <f t="shared" si="5"/>
        <v>0</v>
      </c>
      <c r="J138" s="108">
        <f t="shared" si="6"/>
        <v>0</v>
      </c>
      <c r="K138" s="111">
        <f t="shared" si="7"/>
        <v>0</v>
      </c>
      <c r="L138" s="108">
        <f t="shared" si="8"/>
        <v>0</v>
      </c>
      <c r="M138" s="102"/>
      <c r="N138" s="111">
        <f t="shared" si="9"/>
        <v>0</v>
      </c>
      <c r="O138" s="111">
        <f t="shared" si="10"/>
        <v>0</v>
      </c>
      <c r="P138" s="111">
        <f t="shared" si="11"/>
        <v>0</v>
      </c>
      <c r="Q138" s="111">
        <f t="shared" si="12"/>
        <v>0</v>
      </c>
      <c r="R138" s="102"/>
    </row>
    <row r="139">
      <c r="A139" s="106">
        <f>IFERROR(YEAR(SalarioPromedio!B139),"")</f>
        <v>1899</v>
      </c>
      <c r="B139" s="106" t="str">
        <f>SalarioPromedio!D139</f>
        <v/>
      </c>
      <c r="C139" s="105">
        <f>IF(SalarioPromedio!B139="",0,SalarioPromedio!C139-SalarioPromedio!B139+1)</f>
        <v>0</v>
      </c>
      <c r="D139" s="104">
        <f>IF(SalarioPromedio!B139="",0,C139*B139)</f>
        <v>0</v>
      </c>
      <c r="E139" s="104">
        <f t="shared" si="1"/>
        <v>0</v>
      </c>
      <c r="F139" s="104">
        <f t="shared" si="2"/>
        <v>0</v>
      </c>
      <c r="G139" s="107">
        <f t="shared" si="3"/>
        <v>0</v>
      </c>
      <c r="H139" s="108">
        <f t="shared" si="4"/>
        <v>0</v>
      </c>
      <c r="I139" s="104">
        <f t="shared" si="5"/>
        <v>0</v>
      </c>
      <c r="J139" s="108">
        <f t="shared" si="6"/>
        <v>0</v>
      </c>
      <c r="K139" s="111">
        <f t="shared" si="7"/>
        <v>0</v>
      </c>
      <c r="L139" s="108">
        <f t="shared" si="8"/>
        <v>0</v>
      </c>
      <c r="M139" s="102"/>
      <c r="N139" s="111">
        <f t="shared" si="9"/>
        <v>0</v>
      </c>
      <c r="O139" s="111">
        <f t="shared" si="10"/>
        <v>0</v>
      </c>
      <c r="P139" s="111">
        <f t="shared" si="11"/>
        <v>0</v>
      </c>
      <c r="Q139" s="111">
        <f t="shared" si="12"/>
        <v>0</v>
      </c>
      <c r="R139" s="102"/>
    </row>
    <row r="140">
      <c r="A140" s="106">
        <f>IFERROR(YEAR(SalarioPromedio!B140),"")</f>
        <v>1899</v>
      </c>
      <c r="B140" s="106" t="str">
        <f>SalarioPromedio!D140</f>
        <v/>
      </c>
      <c r="C140" s="105">
        <f>IF(SalarioPromedio!B140="",0,SalarioPromedio!C140-SalarioPromedio!B140+1)</f>
        <v>0</v>
      </c>
      <c r="D140" s="104">
        <f>IF(SalarioPromedio!B140="",0,C140*B140)</f>
        <v>0</v>
      </c>
      <c r="E140" s="104">
        <f t="shared" si="1"/>
        <v>0</v>
      </c>
      <c r="F140" s="104">
        <f t="shared" si="2"/>
        <v>0</v>
      </c>
      <c r="G140" s="107">
        <f t="shared" si="3"/>
        <v>0</v>
      </c>
      <c r="H140" s="108">
        <f t="shared" si="4"/>
        <v>0</v>
      </c>
      <c r="I140" s="104">
        <f t="shared" si="5"/>
        <v>0</v>
      </c>
      <c r="J140" s="108">
        <f t="shared" si="6"/>
        <v>0</v>
      </c>
      <c r="K140" s="111">
        <f t="shared" si="7"/>
        <v>0</v>
      </c>
      <c r="L140" s="108">
        <f t="shared" si="8"/>
        <v>0</v>
      </c>
      <c r="M140" s="102"/>
      <c r="N140" s="111">
        <f t="shared" si="9"/>
        <v>0</v>
      </c>
      <c r="O140" s="111">
        <f t="shared" si="10"/>
        <v>0</v>
      </c>
      <c r="P140" s="111">
        <f t="shared" si="11"/>
        <v>0</v>
      </c>
      <c r="Q140" s="111">
        <f t="shared" si="12"/>
        <v>0</v>
      </c>
      <c r="R140" s="102"/>
    </row>
    <row r="141">
      <c r="A141" s="106">
        <f>IFERROR(YEAR(SalarioPromedio!B141),"")</f>
        <v>1899</v>
      </c>
      <c r="B141" s="106" t="str">
        <f>SalarioPromedio!D141</f>
        <v/>
      </c>
      <c r="C141" s="105">
        <f>IF(SalarioPromedio!B141="",0,SalarioPromedio!C141-SalarioPromedio!B141+1)</f>
        <v>0</v>
      </c>
      <c r="D141" s="104">
        <f>IF(SalarioPromedio!B141="",0,C141*B141)</f>
        <v>0</v>
      </c>
      <c r="E141" s="104">
        <f t="shared" si="1"/>
        <v>0</v>
      </c>
      <c r="F141" s="104">
        <f t="shared" si="2"/>
        <v>0</v>
      </c>
      <c r="G141" s="107">
        <f t="shared" si="3"/>
        <v>0</v>
      </c>
      <c r="H141" s="108">
        <f t="shared" si="4"/>
        <v>0</v>
      </c>
      <c r="I141" s="104">
        <f t="shared" si="5"/>
        <v>0</v>
      </c>
      <c r="J141" s="108">
        <f t="shared" si="6"/>
        <v>0</v>
      </c>
      <c r="K141" s="111">
        <f t="shared" si="7"/>
        <v>0</v>
      </c>
      <c r="L141" s="108">
        <f t="shared" si="8"/>
        <v>0</v>
      </c>
      <c r="M141" s="102"/>
      <c r="N141" s="111">
        <f t="shared" si="9"/>
        <v>0</v>
      </c>
      <c r="O141" s="111">
        <f t="shared" si="10"/>
        <v>0</v>
      </c>
      <c r="P141" s="111">
        <f t="shared" si="11"/>
        <v>0</v>
      </c>
      <c r="Q141" s="111">
        <f t="shared" si="12"/>
        <v>0</v>
      </c>
      <c r="R141" s="102"/>
    </row>
    <row r="142">
      <c r="A142" s="106">
        <f>IFERROR(YEAR(SalarioPromedio!B142),"")</f>
        <v>1899</v>
      </c>
      <c r="B142" s="106" t="str">
        <f>SalarioPromedio!D142</f>
        <v/>
      </c>
      <c r="C142" s="105">
        <f>IF(SalarioPromedio!B142="",0,SalarioPromedio!C142-SalarioPromedio!B142+1)</f>
        <v>0</v>
      </c>
      <c r="D142" s="104">
        <f>IF(SalarioPromedio!B142="",0,C142*B142)</f>
        <v>0</v>
      </c>
      <c r="E142" s="104">
        <f t="shared" si="1"/>
        <v>0</v>
      </c>
      <c r="F142" s="104">
        <f t="shared" si="2"/>
        <v>0</v>
      </c>
      <c r="G142" s="107">
        <f t="shared" si="3"/>
        <v>0</v>
      </c>
      <c r="H142" s="108">
        <f t="shared" si="4"/>
        <v>0</v>
      </c>
      <c r="I142" s="104">
        <f t="shared" si="5"/>
        <v>0</v>
      </c>
      <c r="J142" s="108">
        <f t="shared" si="6"/>
        <v>0</v>
      </c>
      <c r="K142" s="111">
        <f t="shared" si="7"/>
        <v>0</v>
      </c>
      <c r="L142" s="108">
        <f t="shared" si="8"/>
        <v>0</v>
      </c>
      <c r="M142" s="102"/>
      <c r="N142" s="111">
        <f t="shared" si="9"/>
        <v>0</v>
      </c>
      <c r="O142" s="111">
        <f t="shared" si="10"/>
        <v>0</v>
      </c>
      <c r="P142" s="111">
        <f t="shared" si="11"/>
        <v>0</v>
      </c>
      <c r="Q142" s="111">
        <f t="shared" si="12"/>
        <v>0</v>
      </c>
      <c r="R142" s="102"/>
    </row>
    <row r="143">
      <c r="A143" s="106">
        <f>IFERROR(YEAR(SalarioPromedio!B143),"")</f>
        <v>1899</v>
      </c>
      <c r="B143" s="106" t="str">
        <f>SalarioPromedio!D143</f>
        <v/>
      </c>
      <c r="C143" s="105">
        <f>IF(SalarioPromedio!B143="",0,SalarioPromedio!C143-SalarioPromedio!B143+1)</f>
        <v>0</v>
      </c>
      <c r="D143" s="104">
        <f>IF(SalarioPromedio!B143="",0,C143*B143)</f>
        <v>0</v>
      </c>
      <c r="E143" s="104">
        <f t="shared" si="1"/>
        <v>0</v>
      </c>
      <c r="F143" s="104">
        <f t="shared" si="2"/>
        <v>0</v>
      </c>
      <c r="G143" s="107">
        <f t="shared" si="3"/>
        <v>0</v>
      </c>
      <c r="H143" s="108">
        <f t="shared" si="4"/>
        <v>0</v>
      </c>
      <c r="I143" s="104">
        <f t="shared" si="5"/>
        <v>0</v>
      </c>
      <c r="J143" s="108">
        <f t="shared" si="6"/>
        <v>0</v>
      </c>
      <c r="K143" s="111">
        <f t="shared" si="7"/>
        <v>0</v>
      </c>
      <c r="L143" s="108">
        <f t="shared" si="8"/>
        <v>0</v>
      </c>
      <c r="M143" s="102"/>
      <c r="N143" s="111">
        <f t="shared" si="9"/>
        <v>0</v>
      </c>
      <c r="O143" s="111">
        <f t="shared" si="10"/>
        <v>0</v>
      </c>
      <c r="P143" s="111">
        <f t="shared" si="11"/>
        <v>0</v>
      </c>
      <c r="Q143" s="111">
        <f t="shared" si="12"/>
        <v>0</v>
      </c>
      <c r="R143" s="102"/>
    </row>
    <row r="144">
      <c r="A144" s="106">
        <f>IFERROR(YEAR(SalarioPromedio!B144),"")</f>
        <v>1899</v>
      </c>
      <c r="B144" s="106" t="str">
        <f>SalarioPromedio!D144</f>
        <v/>
      </c>
      <c r="C144" s="105">
        <f>IF(SalarioPromedio!B144="",0,SalarioPromedio!C144-SalarioPromedio!B144+1)</f>
        <v>0</v>
      </c>
      <c r="D144" s="104">
        <f>IF(SalarioPromedio!B144="",0,C144*B144)</f>
        <v>0</v>
      </c>
      <c r="E144" s="104">
        <f t="shared" si="1"/>
        <v>0</v>
      </c>
      <c r="F144" s="104">
        <f t="shared" si="2"/>
        <v>0</v>
      </c>
      <c r="G144" s="107">
        <f t="shared" si="3"/>
        <v>0</v>
      </c>
      <c r="H144" s="108">
        <f t="shared" si="4"/>
        <v>0</v>
      </c>
      <c r="I144" s="104">
        <f t="shared" si="5"/>
        <v>0</v>
      </c>
      <c r="J144" s="108">
        <f t="shared" si="6"/>
        <v>0</v>
      </c>
      <c r="K144" s="111">
        <f t="shared" si="7"/>
        <v>0</v>
      </c>
      <c r="L144" s="108">
        <f t="shared" si="8"/>
        <v>0</v>
      </c>
      <c r="M144" s="102"/>
      <c r="N144" s="111">
        <f t="shared" si="9"/>
        <v>0</v>
      </c>
      <c r="O144" s="111">
        <f t="shared" si="10"/>
        <v>0</v>
      </c>
      <c r="P144" s="111">
        <f t="shared" si="11"/>
        <v>0</v>
      </c>
      <c r="Q144" s="111">
        <f t="shared" si="12"/>
        <v>0</v>
      </c>
      <c r="R144" s="102"/>
    </row>
    <row r="145">
      <c r="A145" s="106">
        <f>IFERROR(YEAR(SalarioPromedio!B145),"")</f>
        <v>1899</v>
      </c>
      <c r="B145" s="106" t="str">
        <f>SalarioPromedio!D145</f>
        <v/>
      </c>
      <c r="C145" s="105">
        <f>IF(SalarioPromedio!B145="",0,SalarioPromedio!C145-SalarioPromedio!B145+1)</f>
        <v>0</v>
      </c>
      <c r="D145" s="104">
        <f>IF(SalarioPromedio!B145="",0,C145*B145)</f>
        <v>0</v>
      </c>
      <c r="E145" s="104">
        <f t="shared" si="1"/>
        <v>0</v>
      </c>
      <c r="F145" s="104">
        <f t="shared" si="2"/>
        <v>0</v>
      </c>
      <c r="G145" s="107">
        <f t="shared" si="3"/>
        <v>0</v>
      </c>
      <c r="H145" s="108">
        <f t="shared" si="4"/>
        <v>0</v>
      </c>
      <c r="I145" s="104">
        <f t="shared" si="5"/>
        <v>0</v>
      </c>
      <c r="J145" s="108">
        <f t="shared" si="6"/>
        <v>0</v>
      </c>
      <c r="K145" s="111">
        <f t="shared" si="7"/>
        <v>0</v>
      </c>
      <c r="L145" s="108">
        <f t="shared" si="8"/>
        <v>0</v>
      </c>
      <c r="M145" s="102"/>
      <c r="N145" s="111">
        <f t="shared" si="9"/>
        <v>0</v>
      </c>
      <c r="O145" s="111">
        <f t="shared" si="10"/>
        <v>0</v>
      </c>
      <c r="P145" s="111">
        <f t="shared" si="11"/>
        <v>0</v>
      </c>
      <c r="Q145" s="111">
        <f t="shared" si="12"/>
        <v>0</v>
      </c>
      <c r="R145" s="102"/>
    </row>
    <row r="146">
      <c r="A146" s="106">
        <f>IFERROR(YEAR(SalarioPromedio!B146),"")</f>
        <v>1899</v>
      </c>
      <c r="B146" s="106" t="str">
        <f>SalarioPromedio!D146</f>
        <v/>
      </c>
      <c r="C146" s="105">
        <f>IF(SalarioPromedio!B146="",0,SalarioPromedio!C146-SalarioPromedio!B146+1)</f>
        <v>0</v>
      </c>
      <c r="D146" s="104">
        <f>IF(SalarioPromedio!B146="",0,C146*B146)</f>
        <v>0</v>
      </c>
      <c r="E146" s="104">
        <f t="shared" si="1"/>
        <v>0</v>
      </c>
      <c r="F146" s="104">
        <f t="shared" si="2"/>
        <v>0</v>
      </c>
      <c r="G146" s="107">
        <f t="shared" si="3"/>
        <v>0</v>
      </c>
      <c r="H146" s="108">
        <f t="shared" si="4"/>
        <v>0</v>
      </c>
      <c r="I146" s="104">
        <f t="shared" si="5"/>
        <v>0</v>
      </c>
      <c r="J146" s="108">
        <f t="shared" si="6"/>
        <v>0</v>
      </c>
      <c r="K146" s="111">
        <f t="shared" si="7"/>
        <v>0</v>
      </c>
      <c r="L146" s="108">
        <f t="shared" si="8"/>
        <v>0</v>
      </c>
      <c r="M146" s="102"/>
      <c r="N146" s="111">
        <f t="shared" si="9"/>
        <v>0</v>
      </c>
      <c r="O146" s="111">
        <f t="shared" si="10"/>
        <v>0</v>
      </c>
      <c r="P146" s="111">
        <f t="shared" si="11"/>
        <v>0</v>
      </c>
      <c r="Q146" s="111">
        <f t="shared" si="12"/>
        <v>0</v>
      </c>
      <c r="R146" s="102"/>
    </row>
    <row r="147">
      <c r="A147" s="106">
        <f>IFERROR(YEAR(SalarioPromedio!B147),"")</f>
        <v>1899</v>
      </c>
      <c r="B147" s="106" t="str">
        <f>SalarioPromedio!D147</f>
        <v/>
      </c>
      <c r="C147" s="105">
        <f>IF(SalarioPromedio!B147="",0,SalarioPromedio!C147-SalarioPromedio!B147+1)</f>
        <v>0</v>
      </c>
      <c r="D147" s="104">
        <f>IF(SalarioPromedio!B147="",0,C147*B147)</f>
        <v>0</v>
      </c>
      <c r="E147" s="104">
        <f t="shared" si="1"/>
        <v>0</v>
      </c>
      <c r="F147" s="104">
        <f t="shared" si="2"/>
        <v>0</v>
      </c>
      <c r="G147" s="107">
        <f t="shared" si="3"/>
        <v>0</v>
      </c>
      <c r="H147" s="108">
        <f t="shared" si="4"/>
        <v>0</v>
      </c>
      <c r="I147" s="104">
        <f t="shared" si="5"/>
        <v>0</v>
      </c>
      <c r="J147" s="108">
        <f t="shared" si="6"/>
        <v>0</v>
      </c>
      <c r="K147" s="111">
        <f t="shared" si="7"/>
        <v>0</v>
      </c>
      <c r="L147" s="108">
        <f t="shared" si="8"/>
        <v>0</v>
      </c>
      <c r="M147" s="102"/>
      <c r="N147" s="111">
        <f t="shared" si="9"/>
        <v>0</v>
      </c>
      <c r="O147" s="111">
        <f t="shared" si="10"/>
        <v>0</v>
      </c>
      <c r="P147" s="111">
        <f t="shared" si="11"/>
        <v>0</v>
      </c>
      <c r="Q147" s="111">
        <f t="shared" si="12"/>
        <v>0</v>
      </c>
      <c r="R147" s="102"/>
    </row>
    <row r="148">
      <c r="A148" s="106">
        <f>IFERROR(YEAR(SalarioPromedio!B148),"")</f>
        <v>1899</v>
      </c>
      <c r="B148" s="106" t="str">
        <f>SalarioPromedio!D148</f>
        <v/>
      </c>
      <c r="C148" s="105">
        <f>IF(SalarioPromedio!B148="",0,SalarioPromedio!C148-SalarioPromedio!B148+1)</f>
        <v>0</v>
      </c>
      <c r="D148" s="104">
        <f>IF(SalarioPromedio!B148="",0,C148*B148)</f>
        <v>0</v>
      </c>
      <c r="E148" s="104">
        <f t="shared" si="1"/>
        <v>0</v>
      </c>
      <c r="F148" s="104">
        <f t="shared" si="2"/>
        <v>0</v>
      </c>
      <c r="G148" s="107">
        <f t="shared" si="3"/>
        <v>0</v>
      </c>
      <c r="H148" s="108">
        <f t="shared" si="4"/>
        <v>0</v>
      </c>
      <c r="I148" s="104">
        <f t="shared" si="5"/>
        <v>0</v>
      </c>
      <c r="J148" s="108">
        <f t="shared" si="6"/>
        <v>0</v>
      </c>
      <c r="K148" s="111">
        <f t="shared" si="7"/>
        <v>0</v>
      </c>
      <c r="L148" s="108">
        <f t="shared" si="8"/>
        <v>0</v>
      </c>
      <c r="M148" s="102"/>
      <c r="N148" s="111">
        <f t="shared" si="9"/>
        <v>0</v>
      </c>
      <c r="O148" s="111">
        <f t="shared" si="10"/>
        <v>0</v>
      </c>
      <c r="P148" s="111">
        <f t="shared" si="11"/>
        <v>0</v>
      </c>
      <c r="Q148" s="111">
        <f t="shared" si="12"/>
        <v>0</v>
      </c>
      <c r="R148" s="102"/>
    </row>
    <row r="149">
      <c r="A149" s="106">
        <f>IFERROR(YEAR(SalarioPromedio!B149),"")</f>
        <v>1899</v>
      </c>
      <c r="B149" s="106" t="str">
        <f>SalarioPromedio!D149</f>
        <v/>
      </c>
      <c r="C149" s="105">
        <f>IF(SalarioPromedio!B149="",0,SalarioPromedio!C149-SalarioPromedio!B149+1)</f>
        <v>0</v>
      </c>
      <c r="D149" s="104">
        <f>IF(SalarioPromedio!B149="",0,C149*B149)</f>
        <v>0</v>
      </c>
      <c r="E149" s="104">
        <f t="shared" si="1"/>
        <v>0</v>
      </c>
      <c r="F149" s="104">
        <f t="shared" si="2"/>
        <v>0</v>
      </c>
      <c r="G149" s="107">
        <f t="shared" si="3"/>
        <v>0</v>
      </c>
      <c r="H149" s="108">
        <f t="shared" si="4"/>
        <v>0</v>
      </c>
      <c r="I149" s="104">
        <f t="shared" si="5"/>
        <v>0</v>
      </c>
      <c r="J149" s="108">
        <f t="shared" si="6"/>
        <v>0</v>
      </c>
      <c r="K149" s="111">
        <f t="shared" si="7"/>
        <v>0</v>
      </c>
      <c r="L149" s="108">
        <f t="shared" si="8"/>
        <v>0</v>
      </c>
      <c r="M149" s="102"/>
      <c r="N149" s="111">
        <f t="shared" si="9"/>
        <v>0</v>
      </c>
      <c r="O149" s="111">
        <f t="shared" si="10"/>
        <v>0</v>
      </c>
      <c r="P149" s="111">
        <f t="shared" si="11"/>
        <v>0</v>
      </c>
      <c r="Q149" s="111">
        <f t="shared" si="12"/>
        <v>0</v>
      </c>
      <c r="R149" s="102"/>
    </row>
    <row r="150">
      <c r="A150" s="106">
        <f>IFERROR(YEAR(SalarioPromedio!B150),"")</f>
        <v>1899</v>
      </c>
      <c r="B150" s="106" t="str">
        <f>SalarioPromedio!D150</f>
        <v/>
      </c>
      <c r="C150" s="105">
        <f>IF(SalarioPromedio!B150="",0,SalarioPromedio!C150-SalarioPromedio!B150+1)</f>
        <v>0</v>
      </c>
      <c r="D150" s="104">
        <f>IF(SalarioPromedio!B150="",0,C150*B150)</f>
        <v>0</v>
      </c>
      <c r="E150" s="104">
        <f t="shared" si="1"/>
        <v>0</v>
      </c>
      <c r="F150" s="104">
        <f t="shared" si="2"/>
        <v>0</v>
      </c>
      <c r="G150" s="107">
        <f t="shared" si="3"/>
        <v>0</v>
      </c>
      <c r="H150" s="108">
        <f t="shared" si="4"/>
        <v>0</v>
      </c>
      <c r="I150" s="104">
        <f t="shared" si="5"/>
        <v>0</v>
      </c>
      <c r="J150" s="108">
        <f t="shared" si="6"/>
        <v>0</v>
      </c>
      <c r="K150" s="111">
        <f t="shared" si="7"/>
        <v>0</v>
      </c>
      <c r="L150" s="108">
        <f t="shared" si="8"/>
        <v>0</v>
      </c>
      <c r="M150" s="102"/>
      <c r="N150" s="111">
        <f t="shared" si="9"/>
        <v>0</v>
      </c>
      <c r="O150" s="111">
        <f t="shared" si="10"/>
        <v>0</v>
      </c>
      <c r="P150" s="111">
        <f t="shared" si="11"/>
        <v>0</v>
      </c>
      <c r="Q150" s="111">
        <f t="shared" si="12"/>
        <v>0</v>
      </c>
      <c r="R150" s="102"/>
    </row>
    <row r="151">
      <c r="A151" s="106">
        <f>IFERROR(YEAR(SalarioPromedio!B151),"")</f>
        <v>1899</v>
      </c>
      <c r="B151" s="106" t="str">
        <f>SalarioPromedio!D151</f>
        <v/>
      </c>
      <c r="C151" s="105">
        <f>IF(SalarioPromedio!B151="",0,SalarioPromedio!C151-SalarioPromedio!B151+1)</f>
        <v>0</v>
      </c>
      <c r="D151" s="104">
        <f>IF(SalarioPromedio!B151="",0,C151*B151)</f>
        <v>0</v>
      </c>
      <c r="E151" s="104">
        <f t="shared" si="1"/>
        <v>0</v>
      </c>
      <c r="F151" s="104">
        <f t="shared" si="2"/>
        <v>0</v>
      </c>
      <c r="G151" s="107">
        <f t="shared" si="3"/>
        <v>0</v>
      </c>
      <c r="H151" s="108">
        <f t="shared" si="4"/>
        <v>0</v>
      </c>
      <c r="I151" s="104">
        <f t="shared" si="5"/>
        <v>0</v>
      </c>
      <c r="J151" s="108">
        <f t="shared" si="6"/>
        <v>0</v>
      </c>
      <c r="K151" s="111">
        <f t="shared" si="7"/>
        <v>0</v>
      </c>
      <c r="L151" s="108">
        <f t="shared" si="8"/>
        <v>0</v>
      </c>
      <c r="M151" s="102"/>
      <c r="N151" s="111">
        <f t="shared" si="9"/>
        <v>0</v>
      </c>
      <c r="O151" s="111">
        <f t="shared" si="10"/>
        <v>0</v>
      </c>
      <c r="P151" s="111">
        <f t="shared" si="11"/>
        <v>0</v>
      </c>
      <c r="Q151" s="111">
        <f t="shared" si="12"/>
        <v>0</v>
      </c>
      <c r="R151" s="102"/>
    </row>
    <row r="152">
      <c r="A152" s="106">
        <f>IFERROR(YEAR(SalarioPromedio!B152),"")</f>
        <v>1899</v>
      </c>
      <c r="B152" s="106" t="str">
        <f>SalarioPromedio!D152</f>
        <v/>
      </c>
      <c r="C152" s="105">
        <f>IF(SalarioPromedio!B152="",0,SalarioPromedio!C152-SalarioPromedio!B152+1)</f>
        <v>0</v>
      </c>
      <c r="D152" s="104">
        <f>IF(SalarioPromedio!B152="",0,C152*B152)</f>
        <v>0</v>
      </c>
      <c r="E152" s="104">
        <f t="shared" si="1"/>
        <v>0</v>
      </c>
      <c r="F152" s="104">
        <f t="shared" si="2"/>
        <v>0</v>
      </c>
      <c r="G152" s="107">
        <f t="shared" si="3"/>
        <v>0</v>
      </c>
      <c r="H152" s="108">
        <f t="shared" si="4"/>
        <v>0</v>
      </c>
      <c r="I152" s="104">
        <f t="shared" si="5"/>
        <v>0</v>
      </c>
      <c r="J152" s="108">
        <f t="shared" si="6"/>
        <v>0</v>
      </c>
      <c r="K152" s="111">
        <f t="shared" si="7"/>
        <v>0</v>
      </c>
      <c r="L152" s="108">
        <f t="shared" si="8"/>
        <v>0</v>
      </c>
      <c r="M152" s="102"/>
      <c r="N152" s="111">
        <f t="shared" si="9"/>
        <v>0</v>
      </c>
      <c r="O152" s="111">
        <f t="shared" si="10"/>
        <v>0</v>
      </c>
      <c r="P152" s="111">
        <f t="shared" si="11"/>
        <v>0</v>
      </c>
      <c r="Q152" s="111">
        <f t="shared" si="12"/>
        <v>0</v>
      </c>
      <c r="R152" s="102"/>
    </row>
    <row r="153">
      <c r="A153" s="106">
        <f>IFERROR(YEAR(SalarioPromedio!B153),"")</f>
        <v>1899</v>
      </c>
      <c r="B153" s="106" t="str">
        <f>SalarioPromedio!D153</f>
        <v/>
      </c>
      <c r="C153" s="105">
        <f>IF(SalarioPromedio!B153="",0,SalarioPromedio!C153-SalarioPromedio!B153+1)</f>
        <v>0</v>
      </c>
      <c r="D153" s="104">
        <f>IF(SalarioPromedio!B153="",0,C153*B153)</f>
        <v>0</v>
      </c>
      <c r="E153" s="104">
        <f t="shared" si="1"/>
        <v>0</v>
      </c>
      <c r="F153" s="104">
        <f t="shared" si="2"/>
        <v>0</v>
      </c>
      <c r="G153" s="107">
        <f t="shared" si="3"/>
        <v>0</v>
      </c>
      <c r="H153" s="108">
        <f t="shared" si="4"/>
        <v>0</v>
      </c>
      <c r="I153" s="104">
        <f t="shared" si="5"/>
        <v>0</v>
      </c>
      <c r="J153" s="108">
        <f t="shared" si="6"/>
        <v>0</v>
      </c>
      <c r="K153" s="111">
        <f t="shared" si="7"/>
        <v>0</v>
      </c>
      <c r="L153" s="108">
        <f t="shared" si="8"/>
        <v>0</v>
      </c>
      <c r="M153" s="102"/>
      <c r="N153" s="111">
        <f t="shared" si="9"/>
        <v>0</v>
      </c>
      <c r="O153" s="111">
        <f t="shared" si="10"/>
        <v>0</v>
      </c>
      <c r="P153" s="111">
        <f t="shared" si="11"/>
        <v>0</v>
      </c>
      <c r="Q153" s="111">
        <f t="shared" si="12"/>
        <v>0</v>
      </c>
      <c r="R153" s="102"/>
    </row>
    <row r="154">
      <c r="A154" s="106">
        <f>IFERROR(YEAR(SalarioPromedio!B154),"")</f>
        <v>1899</v>
      </c>
      <c r="B154" s="106" t="str">
        <f>SalarioPromedio!D154</f>
        <v/>
      </c>
      <c r="C154" s="105">
        <f>IF(SalarioPromedio!B154="",0,SalarioPromedio!C154-SalarioPromedio!B154+1)</f>
        <v>0</v>
      </c>
      <c r="D154" s="104">
        <f>IF(SalarioPromedio!B154="",0,C154*B154)</f>
        <v>0</v>
      </c>
      <c r="E154" s="104">
        <f t="shared" si="1"/>
        <v>0</v>
      </c>
      <c r="F154" s="104">
        <f t="shared" si="2"/>
        <v>0</v>
      </c>
      <c r="G154" s="107">
        <f t="shared" si="3"/>
        <v>0</v>
      </c>
      <c r="H154" s="108">
        <f t="shared" si="4"/>
        <v>0</v>
      </c>
      <c r="I154" s="104">
        <f t="shared" si="5"/>
        <v>0</v>
      </c>
      <c r="J154" s="108">
        <f t="shared" si="6"/>
        <v>0</v>
      </c>
      <c r="K154" s="111">
        <f t="shared" si="7"/>
        <v>0</v>
      </c>
      <c r="L154" s="108">
        <f t="shared" si="8"/>
        <v>0</v>
      </c>
      <c r="M154" s="102"/>
      <c r="N154" s="111">
        <f t="shared" si="9"/>
        <v>0</v>
      </c>
      <c r="O154" s="111">
        <f t="shared" si="10"/>
        <v>0</v>
      </c>
      <c r="P154" s="111">
        <f t="shared" si="11"/>
        <v>0</v>
      </c>
      <c r="Q154" s="111">
        <f t="shared" si="12"/>
        <v>0</v>
      </c>
      <c r="R154" s="102"/>
    </row>
    <row r="155">
      <c r="A155" s="106">
        <f>IFERROR(YEAR(SalarioPromedio!B155),"")</f>
        <v>1899</v>
      </c>
      <c r="B155" s="106" t="str">
        <f>SalarioPromedio!D155</f>
        <v/>
      </c>
      <c r="C155" s="105">
        <f>IF(SalarioPromedio!B155="",0,SalarioPromedio!C155-SalarioPromedio!B155+1)</f>
        <v>0</v>
      </c>
      <c r="D155" s="104">
        <f>IF(SalarioPromedio!B155="",0,C155*B155)</f>
        <v>0</v>
      </c>
      <c r="E155" s="104">
        <f t="shared" si="1"/>
        <v>0</v>
      </c>
      <c r="F155" s="104">
        <f t="shared" si="2"/>
        <v>0</v>
      </c>
      <c r="G155" s="107">
        <f t="shared" si="3"/>
        <v>0</v>
      </c>
      <c r="H155" s="108">
        <f t="shared" si="4"/>
        <v>0</v>
      </c>
      <c r="I155" s="104">
        <f t="shared" si="5"/>
        <v>0</v>
      </c>
      <c r="J155" s="108">
        <f t="shared" si="6"/>
        <v>0</v>
      </c>
      <c r="K155" s="111">
        <f t="shared" si="7"/>
        <v>0</v>
      </c>
      <c r="L155" s="108">
        <f t="shared" si="8"/>
        <v>0</v>
      </c>
      <c r="M155" s="102"/>
      <c r="N155" s="111">
        <f t="shared" si="9"/>
        <v>0</v>
      </c>
      <c r="O155" s="111">
        <f t="shared" si="10"/>
        <v>0</v>
      </c>
      <c r="P155" s="111">
        <f t="shared" si="11"/>
        <v>0</v>
      </c>
      <c r="Q155" s="111">
        <f t="shared" si="12"/>
        <v>0</v>
      </c>
      <c r="R155" s="102"/>
    </row>
    <row r="156">
      <c r="A156" s="106">
        <f>IFERROR(YEAR(SalarioPromedio!B156),"")</f>
        <v>1899</v>
      </c>
      <c r="B156" s="106" t="str">
        <f>SalarioPromedio!D156</f>
        <v/>
      </c>
      <c r="C156" s="105">
        <f>IF(SalarioPromedio!B156="",0,SalarioPromedio!C156-SalarioPromedio!B156+1)</f>
        <v>0</v>
      </c>
      <c r="D156" s="104">
        <f>IF(SalarioPromedio!B156="",0,C156*B156)</f>
        <v>0</v>
      </c>
      <c r="E156" s="104">
        <f t="shared" si="1"/>
        <v>0</v>
      </c>
      <c r="F156" s="104">
        <f t="shared" si="2"/>
        <v>0</v>
      </c>
      <c r="G156" s="107">
        <f t="shared" si="3"/>
        <v>0</v>
      </c>
      <c r="H156" s="108">
        <f t="shared" si="4"/>
        <v>0</v>
      </c>
      <c r="I156" s="104">
        <f t="shared" si="5"/>
        <v>0</v>
      </c>
      <c r="J156" s="108">
        <f t="shared" si="6"/>
        <v>0</v>
      </c>
      <c r="K156" s="111">
        <f t="shared" si="7"/>
        <v>0</v>
      </c>
      <c r="L156" s="108">
        <f t="shared" si="8"/>
        <v>0</v>
      </c>
      <c r="M156" s="102"/>
      <c r="N156" s="111">
        <f t="shared" si="9"/>
        <v>0</v>
      </c>
      <c r="O156" s="111">
        <f t="shared" si="10"/>
        <v>0</v>
      </c>
      <c r="P156" s="111">
        <f t="shared" si="11"/>
        <v>0</v>
      </c>
      <c r="Q156" s="111">
        <f t="shared" si="12"/>
        <v>0</v>
      </c>
      <c r="R156" s="102"/>
    </row>
    <row r="157">
      <c r="A157" s="106">
        <f>IFERROR(YEAR(SalarioPromedio!B157),"")</f>
        <v>1899</v>
      </c>
      <c r="B157" s="106" t="str">
        <f>SalarioPromedio!D157</f>
        <v/>
      </c>
      <c r="C157" s="105">
        <f>IF(SalarioPromedio!B157="",0,SalarioPromedio!C157-SalarioPromedio!B157+1)</f>
        <v>0</v>
      </c>
      <c r="D157" s="104">
        <f>IF(SalarioPromedio!B157="",0,C157*B157)</f>
        <v>0</v>
      </c>
      <c r="E157" s="104">
        <f t="shared" si="1"/>
        <v>0</v>
      </c>
      <c r="F157" s="104">
        <f t="shared" si="2"/>
        <v>0</v>
      </c>
      <c r="G157" s="107">
        <f t="shared" si="3"/>
        <v>0</v>
      </c>
      <c r="H157" s="108">
        <f t="shared" si="4"/>
        <v>0</v>
      </c>
      <c r="I157" s="104">
        <f t="shared" si="5"/>
        <v>0</v>
      </c>
      <c r="J157" s="108">
        <f t="shared" si="6"/>
        <v>0</v>
      </c>
      <c r="K157" s="111">
        <f t="shared" si="7"/>
        <v>0</v>
      </c>
      <c r="L157" s="108">
        <f t="shared" si="8"/>
        <v>0</v>
      </c>
      <c r="M157" s="102"/>
      <c r="N157" s="111">
        <f t="shared" si="9"/>
        <v>0</v>
      </c>
      <c r="O157" s="111">
        <f t="shared" si="10"/>
        <v>0</v>
      </c>
      <c r="P157" s="111">
        <f t="shared" si="11"/>
        <v>0</v>
      </c>
      <c r="Q157" s="111">
        <f t="shared" si="12"/>
        <v>0</v>
      </c>
      <c r="R157" s="102"/>
    </row>
    <row r="158">
      <c r="A158" s="106">
        <f>IFERROR(YEAR(SalarioPromedio!B158),"")</f>
        <v>1899</v>
      </c>
      <c r="B158" s="106" t="str">
        <f>SalarioPromedio!D158</f>
        <v/>
      </c>
      <c r="C158" s="105">
        <f>IF(SalarioPromedio!B158="",0,SalarioPromedio!C158-SalarioPromedio!B158+1)</f>
        <v>0</v>
      </c>
      <c r="D158" s="104">
        <f>IF(SalarioPromedio!B158="",0,C158*B158)</f>
        <v>0</v>
      </c>
      <c r="E158" s="104">
        <f t="shared" si="1"/>
        <v>0</v>
      </c>
      <c r="F158" s="104">
        <f t="shared" si="2"/>
        <v>0</v>
      </c>
      <c r="G158" s="107">
        <f t="shared" si="3"/>
        <v>0</v>
      </c>
      <c r="H158" s="108">
        <f t="shared" si="4"/>
        <v>0</v>
      </c>
      <c r="I158" s="104">
        <f t="shared" si="5"/>
        <v>0</v>
      </c>
      <c r="J158" s="108">
        <f t="shared" si="6"/>
        <v>0</v>
      </c>
      <c r="K158" s="111">
        <f t="shared" si="7"/>
        <v>0</v>
      </c>
      <c r="L158" s="108">
        <f t="shared" si="8"/>
        <v>0</v>
      </c>
      <c r="M158" s="102"/>
      <c r="N158" s="111">
        <f t="shared" si="9"/>
        <v>0</v>
      </c>
      <c r="O158" s="111">
        <f t="shared" si="10"/>
        <v>0</v>
      </c>
      <c r="P158" s="111">
        <f t="shared" si="11"/>
        <v>0</v>
      </c>
      <c r="Q158" s="111">
        <f t="shared" si="12"/>
        <v>0</v>
      </c>
      <c r="R158" s="102"/>
    </row>
    <row r="159">
      <c r="A159" s="106">
        <f>IFERROR(YEAR(SalarioPromedio!B159),"")</f>
        <v>1899</v>
      </c>
      <c r="B159" s="106" t="str">
        <f>SalarioPromedio!D159</f>
        <v/>
      </c>
      <c r="C159" s="105">
        <f>IF(SalarioPromedio!B159="",0,SalarioPromedio!C159-SalarioPromedio!B159+1)</f>
        <v>0</v>
      </c>
      <c r="D159" s="104">
        <f>IF(SalarioPromedio!B159="",0,C159*B159)</f>
        <v>0</v>
      </c>
      <c r="E159" s="104">
        <f t="shared" si="1"/>
        <v>0</v>
      </c>
      <c r="F159" s="104">
        <f t="shared" si="2"/>
        <v>0</v>
      </c>
      <c r="G159" s="107">
        <f t="shared" si="3"/>
        <v>0</v>
      </c>
      <c r="H159" s="108">
        <f t="shared" si="4"/>
        <v>0</v>
      </c>
      <c r="I159" s="104">
        <f t="shared" si="5"/>
        <v>0</v>
      </c>
      <c r="J159" s="108">
        <f t="shared" si="6"/>
        <v>0</v>
      </c>
      <c r="K159" s="111">
        <f t="shared" si="7"/>
        <v>0</v>
      </c>
      <c r="L159" s="108">
        <f t="shared" si="8"/>
        <v>0</v>
      </c>
      <c r="M159" s="102"/>
      <c r="N159" s="111">
        <f t="shared" si="9"/>
        <v>0</v>
      </c>
      <c r="O159" s="111">
        <f t="shared" si="10"/>
        <v>0</v>
      </c>
      <c r="P159" s="111">
        <f t="shared" si="11"/>
        <v>0</v>
      </c>
      <c r="Q159" s="111">
        <f t="shared" si="12"/>
        <v>0</v>
      </c>
      <c r="R159" s="102"/>
    </row>
    <row r="160">
      <c r="A160" s="106">
        <f>IFERROR(YEAR(SalarioPromedio!B160),"")</f>
        <v>1899</v>
      </c>
      <c r="B160" s="106" t="str">
        <f>SalarioPromedio!D160</f>
        <v/>
      </c>
      <c r="C160" s="105">
        <f>IF(SalarioPromedio!B160="",0,SalarioPromedio!C160-SalarioPromedio!B160+1)</f>
        <v>0</v>
      </c>
      <c r="D160" s="104">
        <f>IF(SalarioPromedio!B160="",0,C160*B160)</f>
        <v>0</v>
      </c>
      <c r="E160" s="104">
        <f t="shared" si="1"/>
        <v>0</v>
      </c>
      <c r="F160" s="104">
        <f t="shared" si="2"/>
        <v>0</v>
      </c>
      <c r="G160" s="107">
        <f t="shared" si="3"/>
        <v>0</v>
      </c>
      <c r="H160" s="108">
        <f t="shared" si="4"/>
        <v>0</v>
      </c>
      <c r="I160" s="104">
        <f t="shared" si="5"/>
        <v>0</v>
      </c>
      <c r="J160" s="108">
        <f t="shared" si="6"/>
        <v>0</v>
      </c>
      <c r="K160" s="111">
        <f t="shared" si="7"/>
        <v>0</v>
      </c>
      <c r="L160" s="108">
        <f t="shared" si="8"/>
        <v>0</v>
      </c>
      <c r="M160" s="102"/>
      <c r="N160" s="111">
        <f t="shared" si="9"/>
        <v>0</v>
      </c>
      <c r="O160" s="111">
        <f t="shared" si="10"/>
        <v>0</v>
      </c>
      <c r="P160" s="111">
        <f t="shared" si="11"/>
        <v>0</v>
      </c>
      <c r="Q160" s="111">
        <f t="shared" si="12"/>
        <v>0</v>
      </c>
      <c r="R160" s="102"/>
    </row>
    <row r="161">
      <c r="A161" s="106">
        <f>IFERROR(YEAR(SalarioPromedio!B161),"")</f>
        <v>1899</v>
      </c>
      <c r="B161" s="106" t="str">
        <f>SalarioPromedio!D161</f>
        <v/>
      </c>
      <c r="C161" s="105">
        <f>IF(SalarioPromedio!B161="",0,SalarioPromedio!C161-SalarioPromedio!B161+1)</f>
        <v>0</v>
      </c>
      <c r="D161" s="104">
        <f>IF(SalarioPromedio!B161="",0,C161*B161)</f>
        <v>0</v>
      </c>
      <c r="E161" s="104">
        <f t="shared" si="1"/>
        <v>0</v>
      </c>
      <c r="F161" s="104">
        <f t="shared" si="2"/>
        <v>0</v>
      </c>
      <c r="G161" s="107">
        <f t="shared" si="3"/>
        <v>0</v>
      </c>
      <c r="H161" s="108">
        <f t="shared" si="4"/>
        <v>0</v>
      </c>
      <c r="I161" s="104">
        <f t="shared" si="5"/>
        <v>0</v>
      </c>
      <c r="J161" s="108">
        <f t="shared" si="6"/>
        <v>0</v>
      </c>
      <c r="K161" s="111">
        <f t="shared" si="7"/>
        <v>0</v>
      </c>
      <c r="L161" s="108">
        <f t="shared" si="8"/>
        <v>0</v>
      </c>
      <c r="M161" s="102"/>
      <c r="N161" s="111">
        <f t="shared" si="9"/>
        <v>0</v>
      </c>
      <c r="O161" s="111">
        <f t="shared" si="10"/>
        <v>0</v>
      </c>
      <c r="P161" s="111">
        <f t="shared" si="11"/>
        <v>0</v>
      </c>
      <c r="Q161" s="111">
        <f t="shared" si="12"/>
        <v>0</v>
      </c>
      <c r="R161" s="102"/>
    </row>
    <row r="162">
      <c r="A162" s="106">
        <f>IFERROR(YEAR(SalarioPromedio!B162),"")</f>
        <v>1899</v>
      </c>
      <c r="B162" s="106" t="str">
        <f>SalarioPromedio!D162</f>
        <v/>
      </c>
      <c r="C162" s="105">
        <f>IF(SalarioPromedio!B162="",0,SalarioPromedio!C162-SalarioPromedio!B162+1)</f>
        <v>0</v>
      </c>
      <c r="D162" s="104">
        <f>IF(SalarioPromedio!B162="",0,C162*B162)</f>
        <v>0</v>
      </c>
      <c r="E162" s="104">
        <f t="shared" si="1"/>
        <v>0</v>
      </c>
      <c r="F162" s="104">
        <f t="shared" si="2"/>
        <v>0</v>
      </c>
      <c r="G162" s="107">
        <f t="shared" si="3"/>
        <v>0</v>
      </c>
      <c r="H162" s="108">
        <f t="shared" si="4"/>
        <v>0</v>
      </c>
      <c r="I162" s="104">
        <f t="shared" si="5"/>
        <v>0</v>
      </c>
      <c r="J162" s="108">
        <f t="shared" si="6"/>
        <v>0</v>
      </c>
      <c r="K162" s="111">
        <f t="shared" si="7"/>
        <v>0</v>
      </c>
      <c r="L162" s="108">
        <f t="shared" si="8"/>
        <v>0</v>
      </c>
      <c r="M162" s="102"/>
      <c r="N162" s="111">
        <f t="shared" si="9"/>
        <v>0</v>
      </c>
      <c r="O162" s="111">
        <f t="shared" si="10"/>
        <v>0</v>
      </c>
      <c r="P162" s="111">
        <f t="shared" si="11"/>
        <v>0</v>
      </c>
      <c r="Q162" s="111">
        <f t="shared" si="12"/>
        <v>0</v>
      </c>
      <c r="R162" s="102"/>
    </row>
    <row r="163">
      <c r="A163" s="106">
        <f>IFERROR(YEAR(SalarioPromedio!B163),"")</f>
        <v>1899</v>
      </c>
      <c r="B163" s="106" t="str">
        <f>SalarioPromedio!D163</f>
        <v/>
      </c>
      <c r="C163" s="105">
        <f>IF(SalarioPromedio!B163="",0,SalarioPromedio!C163-SalarioPromedio!B163+1)</f>
        <v>0</v>
      </c>
      <c r="D163" s="104">
        <f>IF(SalarioPromedio!B163="",0,C163*B163)</f>
        <v>0</v>
      </c>
      <c r="E163" s="104">
        <f t="shared" si="1"/>
        <v>0</v>
      </c>
      <c r="F163" s="104">
        <f t="shared" si="2"/>
        <v>0</v>
      </c>
      <c r="G163" s="107">
        <f t="shared" si="3"/>
        <v>0</v>
      </c>
      <c r="H163" s="108">
        <f t="shared" si="4"/>
        <v>0</v>
      </c>
      <c r="I163" s="104">
        <f t="shared" si="5"/>
        <v>0</v>
      </c>
      <c r="J163" s="108">
        <f t="shared" si="6"/>
        <v>0</v>
      </c>
      <c r="K163" s="111">
        <f t="shared" si="7"/>
        <v>0</v>
      </c>
      <c r="L163" s="108">
        <f t="shared" si="8"/>
        <v>0</v>
      </c>
      <c r="M163" s="102"/>
      <c r="N163" s="111">
        <f t="shared" si="9"/>
        <v>0</v>
      </c>
      <c r="O163" s="111">
        <f t="shared" si="10"/>
        <v>0</v>
      </c>
      <c r="P163" s="111">
        <f t="shared" si="11"/>
        <v>0</v>
      </c>
      <c r="Q163" s="111">
        <f t="shared" si="12"/>
        <v>0</v>
      </c>
      <c r="R163" s="102"/>
    </row>
    <row r="164">
      <c r="A164" s="106">
        <f>IFERROR(YEAR(SalarioPromedio!B164),"")</f>
        <v>1899</v>
      </c>
      <c r="B164" s="106" t="str">
        <f>SalarioPromedio!D164</f>
        <v/>
      </c>
      <c r="C164" s="105">
        <f>IF(SalarioPromedio!B164="",0,SalarioPromedio!C164-SalarioPromedio!B164+1)</f>
        <v>0</v>
      </c>
      <c r="D164" s="104">
        <f>IF(SalarioPromedio!B164="",0,C164*B164)</f>
        <v>0</v>
      </c>
      <c r="E164" s="104">
        <f t="shared" si="1"/>
        <v>0</v>
      </c>
      <c r="F164" s="104">
        <f t="shared" si="2"/>
        <v>0</v>
      </c>
      <c r="G164" s="107">
        <f t="shared" si="3"/>
        <v>0</v>
      </c>
      <c r="H164" s="108">
        <f t="shared" si="4"/>
        <v>0</v>
      </c>
      <c r="I164" s="104">
        <f t="shared" si="5"/>
        <v>0</v>
      </c>
      <c r="J164" s="108">
        <f t="shared" si="6"/>
        <v>0</v>
      </c>
      <c r="K164" s="111">
        <f t="shared" si="7"/>
        <v>0</v>
      </c>
      <c r="L164" s="108">
        <f t="shared" si="8"/>
        <v>0</v>
      </c>
      <c r="M164" s="102"/>
      <c r="N164" s="111">
        <f t="shared" si="9"/>
        <v>0</v>
      </c>
      <c r="O164" s="111">
        <f t="shared" si="10"/>
        <v>0</v>
      </c>
      <c r="P164" s="111">
        <f t="shared" si="11"/>
        <v>0</v>
      </c>
      <c r="Q164" s="111">
        <f t="shared" si="12"/>
        <v>0</v>
      </c>
      <c r="R164" s="102"/>
    </row>
    <row r="165">
      <c r="A165" s="106">
        <f>IFERROR(YEAR(SalarioPromedio!B165),"")</f>
        <v>1899</v>
      </c>
      <c r="B165" s="106" t="str">
        <f>SalarioPromedio!D165</f>
        <v/>
      </c>
      <c r="C165" s="105">
        <f>IF(SalarioPromedio!B165="",0,SalarioPromedio!C165-SalarioPromedio!B165+1)</f>
        <v>0</v>
      </c>
      <c r="D165" s="104">
        <f>IF(SalarioPromedio!B165="",0,C165*B165)</f>
        <v>0</v>
      </c>
      <c r="E165" s="104">
        <f t="shared" si="1"/>
        <v>0</v>
      </c>
      <c r="F165" s="104">
        <f t="shared" si="2"/>
        <v>0</v>
      </c>
      <c r="G165" s="107">
        <f t="shared" si="3"/>
        <v>0</v>
      </c>
      <c r="H165" s="108">
        <f t="shared" si="4"/>
        <v>0</v>
      </c>
      <c r="I165" s="104">
        <f t="shared" si="5"/>
        <v>0</v>
      </c>
      <c r="J165" s="108">
        <f t="shared" si="6"/>
        <v>0</v>
      </c>
      <c r="K165" s="111">
        <f t="shared" si="7"/>
        <v>0</v>
      </c>
      <c r="L165" s="108">
        <f t="shared" si="8"/>
        <v>0</v>
      </c>
      <c r="M165" s="102"/>
      <c r="N165" s="111">
        <f t="shared" si="9"/>
        <v>0</v>
      </c>
      <c r="O165" s="111">
        <f t="shared" si="10"/>
        <v>0</v>
      </c>
      <c r="P165" s="111">
        <f t="shared" si="11"/>
        <v>0</v>
      </c>
      <c r="Q165" s="111">
        <f t="shared" si="12"/>
        <v>0</v>
      </c>
      <c r="R165" s="102"/>
    </row>
    <row r="166">
      <c r="A166" s="106">
        <f>IFERROR(YEAR(SalarioPromedio!B166),"")</f>
        <v>1899</v>
      </c>
      <c r="B166" s="106" t="str">
        <f>SalarioPromedio!D166</f>
        <v/>
      </c>
      <c r="C166" s="105">
        <f>IF(SalarioPromedio!B166="",0,SalarioPromedio!C166-SalarioPromedio!B166+1)</f>
        <v>0</v>
      </c>
      <c r="D166" s="104">
        <f>IF(SalarioPromedio!B166="",0,C166*B166)</f>
        <v>0</v>
      </c>
      <c r="E166" s="104">
        <f t="shared" si="1"/>
        <v>0</v>
      </c>
      <c r="F166" s="104">
        <f t="shared" si="2"/>
        <v>0</v>
      </c>
      <c r="G166" s="107">
        <f t="shared" si="3"/>
        <v>0</v>
      </c>
      <c r="H166" s="108">
        <f t="shared" si="4"/>
        <v>0</v>
      </c>
      <c r="I166" s="104">
        <f t="shared" si="5"/>
        <v>0</v>
      </c>
      <c r="J166" s="108">
        <f t="shared" si="6"/>
        <v>0</v>
      </c>
      <c r="K166" s="111">
        <f t="shared" si="7"/>
        <v>0</v>
      </c>
      <c r="L166" s="108">
        <f t="shared" si="8"/>
        <v>0</v>
      </c>
      <c r="M166" s="102"/>
      <c r="N166" s="111">
        <f t="shared" si="9"/>
        <v>0</v>
      </c>
      <c r="O166" s="111">
        <f t="shared" si="10"/>
        <v>0</v>
      </c>
      <c r="P166" s="111">
        <f t="shared" si="11"/>
        <v>0</v>
      </c>
      <c r="Q166" s="111">
        <f t="shared" si="12"/>
        <v>0</v>
      </c>
      <c r="R166" s="102"/>
    </row>
    <row r="167">
      <c r="A167" s="106">
        <f>IFERROR(YEAR(SalarioPromedio!B167),"")</f>
        <v>1899</v>
      </c>
      <c r="B167" s="106" t="str">
        <f>SalarioPromedio!D167</f>
        <v/>
      </c>
      <c r="C167" s="105">
        <f>IF(SalarioPromedio!B167="",0,SalarioPromedio!C167-SalarioPromedio!B167+1)</f>
        <v>0</v>
      </c>
      <c r="D167" s="104">
        <f>IF(SalarioPromedio!B167="",0,C167*B167)</f>
        <v>0</v>
      </c>
      <c r="E167" s="104">
        <f t="shared" si="1"/>
        <v>0</v>
      </c>
      <c r="F167" s="104">
        <f t="shared" si="2"/>
        <v>0</v>
      </c>
      <c r="G167" s="107">
        <f t="shared" si="3"/>
        <v>0</v>
      </c>
      <c r="H167" s="108">
        <f t="shared" si="4"/>
        <v>0</v>
      </c>
      <c r="I167" s="104">
        <f t="shared" si="5"/>
        <v>0</v>
      </c>
      <c r="J167" s="108">
        <f t="shared" si="6"/>
        <v>0</v>
      </c>
      <c r="K167" s="111">
        <f t="shared" si="7"/>
        <v>0</v>
      </c>
      <c r="L167" s="108">
        <f t="shared" si="8"/>
        <v>0</v>
      </c>
      <c r="M167" s="102"/>
      <c r="N167" s="111">
        <f t="shared" si="9"/>
        <v>0</v>
      </c>
      <c r="O167" s="111">
        <f t="shared" si="10"/>
        <v>0</v>
      </c>
      <c r="P167" s="111">
        <f t="shared" si="11"/>
        <v>0</v>
      </c>
      <c r="Q167" s="111">
        <f t="shared" si="12"/>
        <v>0</v>
      </c>
      <c r="R167" s="102"/>
    </row>
    <row r="168">
      <c r="A168" s="106">
        <f>IFERROR(YEAR(SalarioPromedio!B168),"")</f>
        <v>1899</v>
      </c>
      <c r="B168" s="106" t="str">
        <f>SalarioPromedio!D168</f>
        <v/>
      </c>
      <c r="C168" s="105">
        <f>IF(SalarioPromedio!B168="",0,SalarioPromedio!C168-SalarioPromedio!B168+1)</f>
        <v>0</v>
      </c>
      <c r="D168" s="104">
        <f>IF(SalarioPromedio!B168="",0,C168*B168)</f>
        <v>0</v>
      </c>
      <c r="E168" s="104">
        <f t="shared" si="1"/>
        <v>0</v>
      </c>
      <c r="F168" s="104">
        <f t="shared" si="2"/>
        <v>0</v>
      </c>
      <c r="G168" s="107">
        <f t="shared" si="3"/>
        <v>0</v>
      </c>
      <c r="H168" s="108">
        <f t="shared" si="4"/>
        <v>0</v>
      </c>
      <c r="I168" s="104">
        <f t="shared" si="5"/>
        <v>0</v>
      </c>
      <c r="J168" s="108">
        <f t="shared" si="6"/>
        <v>0</v>
      </c>
      <c r="K168" s="111">
        <f t="shared" si="7"/>
        <v>0</v>
      </c>
      <c r="L168" s="108">
        <f t="shared" si="8"/>
        <v>0</v>
      </c>
      <c r="M168" s="102"/>
      <c r="N168" s="111">
        <f t="shared" si="9"/>
        <v>0</v>
      </c>
      <c r="O168" s="111">
        <f t="shared" si="10"/>
        <v>0</v>
      </c>
      <c r="P168" s="111">
        <f t="shared" si="11"/>
        <v>0</v>
      </c>
      <c r="Q168" s="111">
        <f t="shared" si="12"/>
        <v>0</v>
      </c>
      <c r="R168" s="102"/>
    </row>
    <row r="169">
      <c r="A169" s="106">
        <f>IFERROR(YEAR(SalarioPromedio!B169),"")</f>
        <v>1899</v>
      </c>
      <c r="B169" s="106" t="str">
        <f>SalarioPromedio!D169</f>
        <v/>
      </c>
      <c r="C169" s="105">
        <f>IF(SalarioPromedio!B169="",0,SalarioPromedio!C169-SalarioPromedio!B169+1)</f>
        <v>0</v>
      </c>
      <c r="D169" s="104">
        <f>IF(SalarioPromedio!B169="",0,C169*B169)</f>
        <v>0</v>
      </c>
      <c r="E169" s="104">
        <f t="shared" si="1"/>
        <v>0</v>
      </c>
      <c r="F169" s="104">
        <f t="shared" si="2"/>
        <v>0</v>
      </c>
      <c r="G169" s="107">
        <f t="shared" si="3"/>
        <v>0</v>
      </c>
      <c r="H169" s="108">
        <f t="shared" si="4"/>
        <v>0</v>
      </c>
      <c r="I169" s="104">
        <f t="shared" si="5"/>
        <v>0</v>
      </c>
      <c r="J169" s="108">
        <f t="shared" si="6"/>
        <v>0</v>
      </c>
      <c r="K169" s="111">
        <f t="shared" si="7"/>
        <v>0</v>
      </c>
      <c r="L169" s="108">
        <f t="shared" si="8"/>
        <v>0</v>
      </c>
      <c r="M169" s="102"/>
      <c r="N169" s="111">
        <f t="shared" si="9"/>
        <v>0</v>
      </c>
      <c r="O169" s="111">
        <f t="shared" si="10"/>
        <v>0</v>
      </c>
      <c r="P169" s="111">
        <f t="shared" si="11"/>
        <v>0</v>
      </c>
      <c r="Q169" s="111">
        <f t="shared" si="12"/>
        <v>0</v>
      </c>
      <c r="R169" s="102"/>
    </row>
    <row r="170">
      <c r="A170" s="106">
        <f>IFERROR(YEAR(SalarioPromedio!B170),"")</f>
        <v>1899</v>
      </c>
      <c r="B170" s="106" t="str">
        <f>SalarioPromedio!D170</f>
        <v/>
      </c>
      <c r="C170" s="105">
        <f>IF(SalarioPromedio!B170="",0,SalarioPromedio!C170-SalarioPromedio!B170+1)</f>
        <v>0</v>
      </c>
      <c r="D170" s="104">
        <f>IF(SalarioPromedio!B170="",0,C170*B170)</f>
        <v>0</v>
      </c>
      <c r="E170" s="104">
        <f t="shared" si="1"/>
        <v>0</v>
      </c>
      <c r="F170" s="104">
        <f t="shared" si="2"/>
        <v>0</v>
      </c>
      <c r="G170" s="107">
        <f t="shared" si="3"/>
        <v>0</v>
      </c>
      <c r="H170" s="108">
        <f t="shared" si="4"/>
        <v>0</v>
      </c>
      <c r="I170" s="104">
        <f t="shared" si="5"/>
        <v>0</v>
      </c>
      <c r="J170" s="108">
        <f t="shared" si="6"/>
        <v>0</v>
      </c>
      <c r="K170" s="111">
        <f t="shared" si="7"/>
        <v>0</v>
      </c>
      <c r="L170" s="108">
        <f t="shared" si="8"/>
        <v>0</v>
      </c>
      <c r="M170" s="102"/>
      <c r="N170" s="111">
        <f t="shared" si="9"/>
        <v>0</v>
      </c>
      <c r="O170" s="111">
        <f t="shared" si="10"/>
        <v>0</v>
      </c>
      <c r="P170" s="111">
        <f t="shared" si="11"/>
        <v>0</v>
      </c>
      <c r="Q170" s="111">
        <f t="shared" si="12"/>
        <v>0</v>
      </c>
      <c r="R170" s="102"/>
    </row>
    <row r="171">
      <c r="A171" s="106">
        <f>IFERROR(YEAR(SalarioPromedio!B171),"")</f>
        <v>1899</v>
      </c>
      <c r="B171" s="106" t="str">
        <f>SalarioPromedio!D171</f>
        <v/>
      </c>
      <c r="C171" s="105">
        <f>IF(SalarioPromedio!B171="",0,SalarioPromedio!C171-SalarioPromedio!B171+1)</f>
        <v>0</v>
      </c>
      <c r="D171" s="104">
        <f>IF(SalarioPromedio!B171="",0,C171*B171)</f>
        <v>0</v>
      </c>
      <c r="E171" s="104">
        <f t="shared" si="1"/>
        <v>0</v>
      </c>
      <c r="F171" s="104">
        <f t="shared" si="2"/>
        <v>0</v>
      </c>
      <c r="G171" s="107">
        <f t="shared" si="3"/>
        <v>0</v>
      </c>
      <c r="H171" s="108">
        <f t="shared" si="4"/>
        <v>0</v>
      </c>
      <c r="I171" s="104">
        <f t="shared" si="5"/>
        <v>0</v>
      </c>
      <c r="J171" s="108">
        <f t="shared" si="6"/>
        <v>0</v>
      </c>
      <c r="K171" s="111">
        <f t="shared" si="7"/>
        <v>0</v>
      </c>
      <c r="L171" s="108">
        <f t="shared" si="8"/>
        <v>0</v>
      </c>
      <c r="M171" s="102"/>
      <c r="N171" s="111">
        <f t="shared" si="9"/>
        <v>0</v>
      </c>
      <c r="O171" s="111">
        <f t="shared" si="10"/>
        <v>0</v>
      </c>
      <c r="P171" s="111">
        <f t="shared" si="11"/>
        <v>0</v>
      </c>
      <c r="Q171" s="111">
        <f t="shared" si="12"/>
        <v>0</v>
      </c>
      <c r="R171" s="102"/>
    </row>
    <row r="172">
      <c r="A172" s="106">
        <f>IFERROR(YEAR(SalarioPromedio!B172),"")</f>
        <v>1899</v>
      </c>
      <c r="B172" s="106" t="str">
        <f>SalarioPromedio!D172</f>
        <v/>
      </c>
      <c r="C172" s="105">
        <f>IF(SalarioPromedio!B172="",0,SalarioPromedio!C172-SalarioPromedio!B172+1)</f>
        <v>0</v>
      </c>
      <c r="D172" s="104">
        <f>IF(SalarioPromedio!B172="",0,C172*B172)</f>
        <v>0</v>
      </c>
      <c r="E172" s="104">
        <f t="shared" si="1"/>
        <v>0</v>
      </c>
      <c r="F172" s="104">
        <f t="shared" si="2"/>
        <v>0</v>
      </c>
      <c r="G172" s="107">
        <f t="shared" si="3"/>
        <v>0</v>
      </c>
      <c r="H172" s="108">
        <f t="shared" si="4"/>
        <v>0</v>
      </c>
      <c r="I172" s="104">
        <f t="shared" si="5"/>
        <v>0</v>
      </c>
      <c r="J172" s="108">
        <f t="shared" si="6"/>
        <v>0</v>
      </c>
      <c r="K172" s="111">
        <f t="shared" si="7"/>
        <v>0</v>
      </c>
      <c r="L172" s="108">
        <f t="shared" si="8"/>
        <v>0</v>
      </c>
      <c r="M172" s="102"/>
      <c r="N172" s="111">
        <f t="shared" si="9"/>
        <v>0</v>
      </c>
      <c r="O172" s="111">
        <f t="shared" si="10"/>
        <v>0</v>
      </c>
      <c r="P172" s="111">
        <f t="shared" si="11"/>
        <v>0</v>
      </c>
      <c r="Q172" s="111">
        <f t="shared" si="12"/>
        <v>0</v>
      </c>
      <c r="R172" s="102"/>
    </row>
    <row r="173">
      <c r="A173" s="106">
        <f>IFERROR(YEAR(SalarioPromedio!B173),"")</f>
        <v>1899</v>
      </c>
      <c r="B173" s="106" t="str">
        <f>SalarioPromedio!D173</f>
        <v/>
      </c>
      <c r="C173" s="105">
        <f>IF(SalarioPromedio!B173="",0,SalarioPromedio!C173-SalarioPromedio!B173+1)</f>
        <v>0</v>
      </c>
      <c r="D173" s="104">
        <f>IF(SalarioPromedio!B173="",0,C173*B173)</f>
        <v>0</v>
      </c>
      <c r="E173" s="104">
        <f t="shared" si="1"/>
        <v>0</v>
      </c>
      <c r="F173" s="104">
        <f t="shared" si="2"/>
        <v>0</v>
      </c>
      <c r="G173" s="107">
        <f t="shared" si="3"/>
        <v>0</v>
      </c>
      <c r="H173" s="108">
        <f t="shared" si="4"/>
        <v>0</v>
      </c>
      <c r="I173" s="104">
        <f t="shared" si="5"/>
        <v>0</v>
      </c>
      <c r="J173" s="108">
        <f t="shared" si="6"/>
        <v>0</v>
      </c>
      <c r="K173" s="111">
        <f t="shared" si="7"/>
        <v>0</v>
      </c>
      <c r="L173" s="108">
        <f t="shared" si="8"/>
        <v>0</v>
      </c>
      <c r="M173" s="102"/>
      <c r="N173" s="111">
        <f t="shared" si="9"/>
        <v>0</v>
      </c>
      <c r="O173" s="111">
        <f t="shared" si="10"/>
        <v>0</v>
      </c>
      <c r="P173" s="111">
        <f t="shared" si="11"/>
        <v>0</v>
      </c>
      <c r="Q173" s="111">
        <f t="shared" si="12"/>
        <v>0</v>
      </c>
      <c r="R173" s="102"/>
    </row>
    <row r="174">
      <c r="A174" s="106">
        <f>IFERROR(YEAR(SalarioPromedio!B174),"")</f>
        <v>1899</v>
      </c>
      <c r="B174" s="106" t="str">
        <f>SalarioPromedio!D174</f>
        <v/>
      </c>
      <c r="C174" s="105">
        <f>IF(SalarioPromedio!B174="",0,SalarioPromedio!C174-SalarioPromedio!B174+1)</f>
        <v>0</v>
      </c>
      <c r="D174" s="104">
        <f>IF(SalarioPromedio!B174="",0,C174*B174)</f>
        <v>0</v>
      </c>
      <c r="E174" s="104">
        <f t="shared" si="1"/>
        <v>0</v>
      </c>
      <c r="F174" s="104">
        <f t="shared" si="2"/>
        <v>0</v>
      </c>
      <c r="G174" s="107">
        <f t="shared" si="3"/>
        <v>0</v>
      </c>
      <c r="H174" s="108">
        <f t="shared" si="4"/>
        <v>0</v>
      </c>
      <c r="I174" s="104">
        <f t="shared" si="5"/>
        <v>0</v>
      </c>
      <c r="J174" s="108">
        <f t="shared" si="6"/>
        <v>0</v>
      </c>
      <c r="K174" s="111">
        <f t="shared" si="7"/>
        <v>0</v>
      </c>
      <c r="L174" s="108">
        <f t="shared" si="8"/>
        <v>0</v>
      </c>
      <c r="M174" s="102"/>
      <c r="N174" s="111">
        <f t="shared" si="9"/>
        <v>0</v>
      </c>
      <c r="O174" s="111">
        <f t="shared" si="10"/>
        <v>0</v>
      </c>
      <c r="P174" s="111">
        <f t="shared" si="11"/>
        <v>0</v>
      </c>
      <c r="Q174" s="111">
        <f t="shared" si="12"/>
        <v>0</v>
      </c>
      <c r="R174" s="102"/>
    </row>
    <row r="175">
      <c r="A175" s="106">
        <f>IFERROR(YEAR(SalarioPromedio!B175),"")</f>
        <v>1899</v>
      </c>
      <c r="B175" s="106" t="str">
        <f>SalarioPromedio!D175</f>
        <v/>
      </c>
      <c r="C175" s="105">
        <f>IF(SalarioPromedio!B175="",0,SalarioPromedio!C175-SalarioPromedio!B175+1)</f>
        <v>0</v>
      </c>
      <c r="D175" s="104">
        <f>IF(SalarioPromedio!B175="",0,C175*B175)</f>
        <v>0</v>
      </c>
      <c r="E175" s="104">
        <f t="shared" si="1"/>
        <v>0</v>
      </c>
      <c r="F175" s="104">
        <f t="shared" si="2"/>
        <v>0</v>
      </c>
      <c r="G175" s="107">
        <f t="shared" si="3"/>
        <v>0</v>
      </c>
      <c r="H175" s="108">
        <f t="shared" si="4"/>
        <v>0</v>
      </c>
      <c r="I175" s="104">
        <f t="shared" si="5"/>
        <v>0</v>
      </c>
      <c r="J175" s="108">
        <f t="shared" si="6"/>
        <v>0</v>
      </c>
      <c r="K175" s="111">
        <f t="shared" si="7"/>
        <v>0</v>
      </c>
      <c r="L175" s="108">
        <f t="shared" si="8"/>
        <v>0</v>
      </c>
      <c r="M175" s="102"/>
      <c r="N175" s="111">
        <f t="shared" si="9"/>
        <v>0</v>
      </c>
      <c r="O175" s="111">
        <f t="shared" si="10"/>
        <v>0</v>
      </c>
      <c r="P175" s="111">
        <f t="shared" si="11"/>
        <v>0</v>
      </c>
      <c r="Q175" s="111">
        <f t="shared" si="12"/>
        <v>0</v>
      </c>
      <c r="R175" s="102"/>
    </row>
    <row r="176">
      <c r="A176" s="106">
        <f>IFERROR(YEAR(SalarioPromedio!B176),"")</f>
        <v>1899</v>
      </c>
      <c r="B176" s="106" t="str">
        <f>SalarioPromedio!D176</f>
        <v/>
      </c>
      <c r="C176" s="105">
        <f>IF(SalarioPromedio!B176="",0,SalarioPromedio!C176-SalarioPromedio!B176+1)</f>
        <v>0</v>
      </c>
      <c r="D176" s="104">
        <f>IF(SalarioPromedio!B176="",0,C176*B176)</f>
        <v>0</v>
      </c>
      <c r="E176" s="104">
        <f t="shared" si="1"/>
        <v>0</v>
      </c>
      <c r="F176" s="104">
        <f t="shared" si="2"/>
        <v>0</v>
      </c>
      <c r="G176" s="107">
        <f t="shared" si="3"/>
        <v>0</v>
      </c>
      <c r="H176" s="108">
        <f t="shared" si="4"/>
        <v>0</v>
      </c>
      <c r="I176" s="104">
        <f t="shared" si="5"/>
        <v>0</v>
      </c>
      <c r="J176" s="108">
        <f t="shared" si="6"/>
        <v>0</v>
      </c>
      <c r="K176" s="111">
        <f t="shared" si="7"/>
        <v>0</v>
      </c>
      <c r="L176" s="108">
        <f t="shared" si="8"/>
        <v>0</v>
      </c>
      <c r="M176" s="102"/>
      <c r="N176" s="111">
        <f t="shared" si="9"/>
        <v>0</v>
      </c>
      <c r="O176" s="111">
        <f t="shared" si="10"/>
        <v>0</v>
      </c>
      <c r="P176" s="111">
        <f t="shared" si="11"/>
        <v>0</v>
      </c>
      <c r="Q176" s="111">
        <f t="shared" si="12"/>
        <v>0</v>
      </c>
      <c r="R176" s="102"/>
    </row>
    <row r="177">
      <c r="A177" s="106">
        <f>IFERROR(YEAR(SalarioPromedio!B177),"")</f>
        <v>1899</v>
      </c>
      <c r="B177" s="106" t="str">
        <f>SalarioPromedio!D177</f>
        <v/>
      </c>
      <c r="C177" s="105">
        <f>IF(SalarioPromedio!B177="",0,SalarioPromedio!C177-SalarioPromedio!B177+1)</f>
        <v>0</v>
      </c>
      <c r="D177" s="104">
        <f>IF(SalarioPromedio!B177="",0,C177*B177)</f>
        <v>0</v>
      </c>
      <c r="E177" s="104">
        <f t="shared" si="1"/>
        <v>0</v>
      </c>
      <c r="F177" s="104">
        <f t="shared" si="2"/>
        <v>0</v>
      </c>
      <c r="G177" s="107">
        <f t="shared" si="3"/>
        <v>0</v>
      </c>
      <c r="H177" s="108">
        <f t="shared" si="4"/>
        <v>0</v>
      </c>
      <c r="I177" s="104">
        <f t="shared" si="5"/>
        <v>0</v>
      </c>
      <c r="J177" s="108">
        <f t="shared" si="6"/>
        <v>0</v>
      </c>
      <c r="K177" s="111">
        <f t="shared" si="7"/>
        <v>0</v>
      </c>
      <c r="L177" s="108">
        <f t="shared" si="8"/>
        <v>0</v>
      </c>
      <c r="M177" s="102"/>
      <c r="N177" s="111">
        <f t="shared" si="9"/>
        <v>0</v>
      </c>
      <c r="O177" s="111">
        <f t="shared" si="10"/>
        <v>0</v>
      </c>
      <c r="P177" s="111">
        <f t="shared" si="11"/>
        <v>0</v>
      </c>
      <c r="Q177" s="111">
        <f t="shared" si="12"/>
        <v>0</v>
      </c>
      <c r="R177" s="102"/>
    </row>
    <row r="178">
      <c r="A178" s="106">
        <f>IFERROR(YEAR(SalarioPromedio!B178),"")</f>
        <v>1899</v>
      </c>
      <c r="B178" s="106" t="str">
        <f>SalarioPromedio!D178</f>
        <v/>
      </c>
      <c r="C178" s="105">
        <f>IF(SalarioPromedio!B178="",0,SalarioPromedio!C178-SalarioPromedio!B178+1)</f>
        <v>0</v>
      </c>
      <c r="D178" s="104">
        <f>IF(SalarioPromedio!B178="",0,C178*B178)</f>
        <v>0</v>
      </c>
      <c r="E178" s="104">
        <f t="shared" si="1"/>
        <v>0</v>
      </c>
      <c r="F178" s="104">
        <f t="shared" si="2"/>
        <v>0</v>
      </c>
      <c r="G178" s="107">
        <f t="shared" si="3"/>
        <v>0</v>
      </c>
      <c r="H178" s="108">
        <f t="shared" si="4"/>
        <v>0</v>
      </c>
      <c r="I178" s="104">
        <f t="shared" si="5"/>
        <v>0</v>
      </c>
      <c r="J178" s="108">
        <f t="shared" si="6"/>
        <v>0</v>
      </c>
      <c r="K178" s="111">
        <f t="shared" si="7"/>
        <v>0</v>
      </c>
      <c r="L178" s="108">
        <f t="shared" si="8"/>
        <v>0</v>
      </c>
      <c r="M178" s="102"/>
      <c r="N178" s="111">
        <f t="shared" si="9"/>
        <v>0</v>
      </c>
      <c r="O178" s="111">
        <f t="shared" si="10"/>
        <v>0</v>
      </c>
      <c r="P178" s="111">
        <f t="shared" si="11"/>
        <v>0</v>
      </c>
      <c r="Q178" s="111">
        <f t="shared" si="12"/>
        <v>0</v>
      </c>
      <c r="R178" s="102"/>
    </row>
    <row r="179">
      <c r="A179" s="106">
        <f>IFERROR(YEAR(SalarioPromedio!B179),"")</f>
        <v>1899</v>
      </c>
      <c r="B179" s="106" t="str">
        <f>SalarioPromedio!D179</f>
        <v/>
      </c>
      <c r="C179" s="105">
        <f>IF(SalarioPromedio!B179="",0,SalarioPromedio!C179-SalarioPromedio!B179+1)</f>
        <v>0</v>
      </c>
      <c r="D179" s="104">
        <f>IF(SalarioPromedio!B179="",0,C179*B179)</f>
        <v>0</v>
      </c>
      <c r="E179" s="104">
        <f t="shared" si="1"/>
        <v>0</v>
      </c>
      <c r="F179" s="104">
        <f t="shared" si="2"/>
        <v>0</v>
      </c>
      <c r="G179" s="107">
        <f t="shared" si="3"/>
        <v>0</v>
      </c>
      <c r="H179" s="108">
        <f t="shared" si="4"/>
        <v>0</v>
      </c>
      <c r="I179" s="104">
        <f t="shared" si="5"/>
        <v>0</v>
      </c>
      <c r="J179" s="108">
        <f t="shared" si="6"/>
        <v>0</v>
      </c>
      <c r="K179" s="111">
        <f t="shared" si="7"/>
        <v>0</v>
      </c>
      <c r="L179" s="108">
        <f t="shared" si="8"/>
        <v>0</v>
      </c>
      <c r="M179" s="102"/>
      <c r="N179" s="111">
        <f t="shared" si="9"/>
        <v>0</v>
      </c>
      <c r="O179" s="111">
        <f t="shared" si="10"/>
        <v>0</v>
      </c>
      <c r="P179" s="111">
        <f t="shared" si="11"/>
        <v>0</v>
      </c>
      <c r="Q179" s="111">
        <f t="shared" si="12"/>
        <v>0</v>
      </c>
      <c r="R179" s="102"/>
    </row>
    <row r="180">
      <c r="A180" s="106">
        <f>IFERROR(YEAR(SalarioPromedio!B180),"")</f>
        <v>1899</v>
      </c>
      <c r="B180" s="106" t="str">
        <f>SalarioPromedio!D180</f>
        <v/>
      </c>
      <c r="C180" s="105">
        <f>IF(SalarioPromedio!B180="",0,SalarioPromedio!C180-SalarioPromedio!B180+1)</f>
        <v>0</v>
      </c>
      <c r="D180" s="104">
        <f>IF(SalarioPromedio!B180="",0,C180*B180)</f>
        <v>0</v>
      </c>
      <c r="E180" s="104">
        <f t="shared" si="1"/>
        <v>0</v>
      </c>
      <c r="F180" s="104">
        <f t="shared" si="2"/>
        <v>0</v>
      </c>
      <c r="G180" s="107">
        <f t="shared" si="3"/>
        <v>0</v>
      </c>
      <c r="H180" s="108">
        <f t="shared" si="4"/>
        <v>0</v>
      </c>
      <c r="I180" s="104">
        <f t="shared" si="5"/>
        <v>0</v>
      </c>
      <c r="J180" s="108">
        <f t="shared" si="6"/>
        <v>0</v>
      </c>
      <c r="K180" s="111">
        <f t="shared" si="7"/>
        <v>0</v>
      </c>
      <c r="L180" s="108">
        <f t="shared" si="8"/>
        <v>0</v>
      </c>
      <c r="M180" s="102"/>
      <c r="N180" s="111">
        <f t="shared" si="9"/>
        <v>0</v>
      </c>
      <c r="O180" s="111">
        <f t="shared" si="10"/>
        <v>0</v>
      </c>
      <c r="P180" s="111">
        <f t="shared" si="11"/>
        <v>0</v>
      </c>
      <c r="Q180" s="111">
        <f t="shared" si="12"/>
        <v>0</v>
      </c>
      <c r="R180" s="102"/>
    </row>
    <row r="181">
      <c r="A181" s="106">
        <f>IFERROR(YEAR(SalarioPromedio!B181),"")</f>
        <v>1899</v>
      </c>
      <c r="B181" s="106" t="str">
        <f>SalarioPromedio!D181</f>
        <v/>
      </c>
      <c r="C181" s="105">
        <f>IF(SalarioPromedio!B181="",0,SalarioPromedio!C181-SalarioPromedio!B181+1)</f>
        <v>0</v>
      </c>
      <c r="D181" s="104">
        <f>IF(SalarioPromedio!B181="",0,C181*B181)</f>
        <v>0</v>
      </c>
      <c r="E181" s="104">
        <f t="shared" si="1"/>
        <v>0</v>
      </c>
      <c r="F181" s="104">
        <f t="shared" si="2"/>
        <v>0</v>
      </c>
      <c r="G181" s="107">
        <f t="shared" si="3"/>
        <v>0</v>
      </c>
      <c r="H181" s="108">
        <f t="shared" si="4"/>
        <v>0</v>
      </c>
      <c r="I181" s="104">
        <f t="shared" si="5"/>
        <v>0</v>
      </c>
      <c r="J181" s="108">
        <f t="shared" si="6"/>
        <v>0</v>
      </c>
      <c r="K181" s="111">
        <f t="shared" si="7"/>
        <v>0</v>
      </c>
      <c r="L181" s="108">
        <f t="shared" si="8"/>
        <v>0</v>
      </c>
      <c r="M181" s="102"/>
      <c r="N181" s="111">
        <f t="shared" si="9"/>
        <v>0</v>
      </c>
      <c r="O181" s="111">
        <f t="shared" si="10"/>
        <v>0</v>
      </c>
      <c r="P181" s="111">
        <f t="shared" si="11"/>
        <v>0</v>
      </c>
      <c r="Q181" s="111">
        <f t="shared" si="12"/>
        <v>0</v>
      </c>
      <c r="R181" s="102"/>
    </row>
    <row r="182">
      <c r="A182" s="106">
        <f>IFERROR(YEAR(SalarioPromedio!B182),"")</f>
        <v>1899</v>
      </c>
      <c r="B182" s="106" t="str">
        <f>SalarioPromedio!D182</f>
        <v/>
      </c>
      <c r="C182" s="105">
        <f>IF(SalarioPromedio!B182="",0,SalarioPromedio!C182-SalarioPromedio!B182+1)</f>
        <v>0</v>
      </c>
      <c r="D182" s="104">
        <f>IF(SalarioPromedio!B182="",0,C182*B182)</f>
        <v>0</v>
      </c>
      <c r="E182" s="104">
        <f t="shared" si="1"/>
        <v>0</v>
      </c>
      <c r="F182" s="104">
        <f t="shared" si="2"/>
        <v>0</v>
      </c>
      <c r="G182" s="107">
        <f t="shared" si="3"/>
        <v>0</v>
      </c>
      <c r="H182" s="108">
        <f t="shared" si="4"/>
        <v>0</v>
      </c>
      <c r="I182" s="104">
        <f t="shared" si="5"/>
        <v>0</v>
      </c>
      <c r="J182" s="108">
        <f t="shared" si="6"/>
        <v>0</v>
      </c>
      <c r="K182" s="111">
        <f t="shared" si="7"/>
        <v>0</v>
      </c>
      <c r="L182" s="108">
        <f t="shared" si="8"/>
        <v>0</v>
      </c>
      <c r="M182" s="102"/>
      <c r="N182" s="111">
        <f t="shared" si="9"/>
        <v>0</v>
      </c>
      <c r="O182" s="111">
        <f t="shared" si="10"/>
        <v>0</v>
      </c>
      <c r="P182" s="111">
        <f t="shared" si="11"/>
        <v>0</v>
      </c>
      <c r="Q182" s="111">
        <f t="shared" si="12"/>
        <v>0</v>
      </c>
      <c r="R182" s="102"/>
    </row>
    <row r="183">
      <c r="A183" s="106">
        <f>IFERROR(YEAR(SalarioPromedio!B183),"")</f>
        <v>1899</v>
      </c>
      <c r="B183" s="106" t="str">
        <f>SalarioPromedio!D183</f>
        <v/>
      </c>
      <c r="C183" s="105">
        <f>IF(SalarioPromedio!B183="",0,SalarioPromedio!C183-SalarioPromedio!B183+1)</f>
        <v>0</v>
      </c>
      <c r="D183" s="104">
        <f>IF(SalarioPromedio!B183="",0,C183*B183)</f>
        <v>0</v>
      </c>
      <c r="E183" s="104">
        <f t="shared" si="1"/>
        <v>0</v>
      </c>
      <c r="F183" s="104">
        <f t="shared" si="2"/>
        <v>0</v>
      </c>
      <c r="G183" s="107">
        <f t="shared" si="3"/>
        <v>0</v>
      </c>
      <c r="H183" s="108">
        <f t="shared" si="4"/>
        <v>0</v>
      </c>
      <c r="I183" s="104">
        <f t="shared" si="5"/>
        <v>0</v>
      </c>
      <c r="J183" s="108">
        <f t="shared" si="6"/>
        <v>0</v>
      </c>
      <c r="K183" s="111">
        <f t="shared" si="7"/>
        <v>0</v>
      </c>
      <c r="L183" s="108">
        <f t="shared" si="8"/>
        <v>0</v>
      </c>
      <c r="M183" s="102"/>
      <c r="N183" s="111">
        <f t="shared" si="9"/>
        <v>0</v>
      </c>
      <c r="O183" s="111">
        <f t="shared" si="10"/>
        <v>0</v>
      </c>
      <c r="P183" s="111">
        <f t="shared" si="11"/>
        <v>0</v>
      </c>
      <c r="Q183" s="111">
        <f t="shared" si="12"/>
        <v>0</v>
      </c>
      <c r="R183" s="102"/>
    </row>
    <row r="184">
      <c r="A184" s="106">
        <f>IFERROR(YEAR(SalarioPromedio!B184),"")</f>
        <v>1899</v>
      </c>
      <c r="B184" s="106" t="str">
        <f>SalarioPromedio!D184</f>
        <v/>
      </c>
      <c r="C184" s="105">
        <f>IF(SalarioPromedio!B184="",0,SalarioPromedio!C184-SalarioPromedio!B184+1)</f>
        <v>0</v>
      </c>
      <c r="D184" s="104">
        <f>IF(SalarioPromedio!B184="",0,C184*B184)</f>
        <v>0</v>
      </c>
      <c r="E184" s="104">
        <f t="shared" si="1"/>
        <v>0</v>
      </c>
      <c r="F184" s="104">
        <f t="shared" si="2"/>
        <v>0</v>
      </c>
      <c r="G184" s="107">
        <f t="shared" si="3"/>
        <v>0</v>
      </c>
      <c r="H184" s="108">
        <f t="shared" si="4"/>
        <v>0</v>
      </c>
      <c r="I184" s="104">
        <f t="shared" si="5"/>
        <v>0</v>
      </c>
      <c r="J184" s="108">
        <f t="shared" si="6"/>
        <v>0</v>
      </c>
      <c r="K184" s="111">
        <f t="shared" si="7"/>
        <v>0</v>
      </c>
      <c r="L184" s="108">
        <f t="shared" si="8"/>
        <v>0</v>
      </c>
      <c r="M184" s="102"/>
      <c r="N184" s="111">
        <f t="shared" si="9"/>
        <v>0</v>
      </c>
      <c r="O184" s="111">
        <f t="shared" si="10"/>
        <v>0</v>
      </c>
      <c r="P184" s="111">
        <f t="shared" si="11"/>
        <v>0</v>
      </c>
      <c r="Q184" s="111">
        <f t="shared" si="12"/>
        <v>0</v>
      </c>
      <c r="R184" s="102"/>
    </row>
    <row r="185">
      <c r="A185" s="106">
        <f>IFERROR(YEAR(SalarioPromedio!B185),"")</f>
        <v>1899</v>
      </c>
      <c r="B185" s="106" t="str">
        <f>SalarioPromedio!D185</f>
        <v/>
      </c>
      <c r="C185" s="105">
        <f>IF(SalarioPromedio!B185="",0,SalarioPromedio!C185-SalarioPromedio!B185+1)</f>
        <v>0</v>
      </c>
      <c r="D185" s="104">
        <f>IF(SalarioPromedio!B185="",0,C185*B185)</f>
        <v>0</v>
      </c>
      <c r="E185" s="104">
        <f t="shared" si="1"/>
        <v>0</v>
      </c>
      <c r="F185" s="104">
        <f t="shared" si="2"/>
        <v>0</v>
      </c>
      <c r="G185" s="107">
        <f t="shared" si="3"/>
        <v>0</v>
      </c>
      <c r="H185" s="108">
        <f t="shared" si="4"/>
        <v>0</v>
      </c>
      <c r="I185" s="104">
        <f t="shared" si="5"/>
        <v>0</v>
      </c>
      <c r="J185" s="108">
        <f t="shared" si="6"/>
        <v>0</v>
      </c>
      <c r="K185" s="111">
        <f t="shared" si="7"/>
        <v>0</v>
      </c>
      <c r="L185" s="108">
        <f t="shared" si="8"/>
        <v>0</v>
      </c>
      <c r="M185" s="102"/>
      <c r="N185" s="111">
        <f t="shared" si="9"/>
        <v>0</v>
      </c>
      <c r="O185" s="111">
        <f t="shared" si="10"/>
        <v>0</v>
      </c>
      <c r="P185" s="111">
        <f t="shared" si="11"/>
        <v>0</v>
      </c>
      <c r="Q185" s="111">
        <f t="shared" si="12"/>
        <v>0</v>
      </c>
      <c r="R185" s="102"/>
    </row>
    <row r="186">
      <c r="A186" s="106">
        <f>IFERROR(YEAR(SalarioPromedio!B186),"")</f>
        <v>1899</v>
      </c>
      <c r="B186" s="106" t="str">
        <f>SalarioPromedio!D186</f>
        <v/>
      </c>
      <c r="C186" s="105">
        <f>IF(SalarioPromedio!B186="",0,SalarioPromedio!C186-SalarioPromedio!B186+1)</f>
        <v>0</v>
      </c>
      <c r="D186" s="104">
        <f>IF(SalarioPromedio!B186="",0,C186*B186)</f>
        <v>0</v>
      </c>
      <c r="E186" s="104">
        <f t="shared" si="1"/>
        <v>0</v>
      </c>
      <c r="F186" s="104">
        <f t="shared" si="2"/>
        <v>0</v>
      </c>
      <c r="G186" s="107">
        <f t="shared" si="3"/>
        <v>0</v>
      </c>
      <c r="H186" s="108">
        <f t="shared" si="4"/>
        <v>0</v>
      </c>
      <c r="I186" s="104">
        <f t="shared" si="5"/>
        <v>0</v>
      </c>
      <c r="J186" s="108">
        <f t="shared" si="6"/>
        <v>0</v>
      </c>
      <c r="K186" s="111">
        <f t="shared" si="7"/>
        <v>0</v>
      </c>
      <c r="L186" s="108">
        <f t="shared" si="8"/>
        <v>0</v>
      </c>
      <c r="M186" s="102"/>
      <c r="N186" s="111">
        <f t="shared" si="9"/>
        <v>0</v>
      </c>
      <c r="O186" s="111">
        <f t="shared" si="10"/>
        <v>0</v>
      </c>
      <c r="P186" s="111">
        <f t="shared" si="11"/>
        <v>0</v>
      </c>
      <c r="Q186" s="111">
        <f t="shared" si="12"/>
        <v>0</v>
      </c>
      <c r="R186" s="102"/>
    </row>
    <row r="187">
      <c r="A187" s="106">
        <f>IFERROR(YEAR(SalarioPromedio!B187),"")</f>
        <v>1899</v>
      </c>
      <c r="B187" s="106" t="str">
        <f>SalarioPromedio!D187</f>
        <v/>
      </c>
      <c r="C187" s="105">
        <f>IF(SalarioPromedio!B187="",0,SalarioPromedio!C187-SalarioPromedio!B187+1)</f>
        <v>0</v>
      </c>
      <c r="D187" s="104">
        <f>IF(SalarioPromedio!B187="",0,C187*B187)</f>
        <v>0</v>
      </c>
      <c r="E187" s="104">
        <f t="shared" si="1"/>
        <v>0</v>
      </c>
      <c r="F187" s="104">
        <f t="shared" si="2"/>
        <v>0</v>
      </c>
      <c r="G187" s="107">
        <f t="shared" si="3"/>
        <v>0</v>
      </c>
      <c r="H187" s="108">
        <f t="shared" si="4"/>
        <v>0</v>
      </c>
      <c r="I187" s="104">
        <f t="shared" si="5"/>
        <v>0</v>
      </c>
      <c r="J187" s="108">
        <f t="shared" si="6"/>
        <v>0</v>
      </c>
      <c r="K187" s="111">
        <f t="shared" si="7"/>
        <v>0</v>
      </c>
      <c r="L187" s="108">
        <f t="shared" si="8"/>
        <v>0</v>
      </c>
      <c r="M187" s="102"/>
      <c r="N187" s="111">
        <f t="shared" si="9"/>
        <v>0</v>
      </c>
      <c r="O187" s="111">
        <f t="shared" si="10"/>
        <v>0</v>
      </c>
      <c r="P187" s="111">
        <f t="shared" si="11"/>
        <v>0</v>
      </c>
      <c r="Q187" s="111">
        <f t="shared" si="12"/>
        <v>0</v>
      </c>
      <c r="R187" s="102"/>
    </row>
    <row r="188">
      <c r="A188" s="106">
        <f>IFERROR(YEAR(SalarioPromedio!B188),"")</f>
        <v>1899</v>
      </c>
      <c r="B188" s="106" t="str">
        <f>SalarioPromedio!D188</f>
        <v/>
      </c>
      <c r="C188" s="105">
        <f>IF(SalarioPromedio!B188="",0,SalarioPromedio!C188-SalarioPromedio!B188+1)</f>
        <v>0</v>
      </c>
      <c r="D188" s="104">
        <f>IF(SalarioPromedio!B188="",0,C188*B188)</f>
        <v>0</v>
      </c>
      <c r="E188" s="104">
        <f t="shared" si="1"/>
        <v>0</v>
      </c>
      <c r="F188" s="104">
        <f t="shared" si="2"/>
        <v>0</v>
      </c>
      <c r="G188" s="107">
        <f t="shared" si="3"/>
        <v>0</v>
      </c>
      <c r="H188" s="108">
        <f t="shared" si="4"/>
        <v>0</v>
      </c>
      <c r="I188" s="104">
        <f t="shared" si="5"/>
        <v>0</v>
      </c>
      <c r="J188" s="108">
        <f t="shared" si="6"/>
        <v>0</v>
      </c>
      <c r="K188" s="111">
        <f t="shared" si="7"/>
        <v>0</v>
      </c>
      <c r="L188" s="108">
        <f t="shared" si="8"/>
        <v>0</v>
      </c>
      <c r="M188" s="102"/>
      <c r="N188" s="111">
        <f t="shared" si="9"/>
        <v>0</v>
      </c>
      <c r="O188" s="111">
        <f t="shared" si="10"/>
        <v>0</v>
      </c>
      <c r="P188" s="111">
        <f t="shared" si="11"/>
        <v>0</v>
      </c>
      <c r="Q188" s="111">
        <f t="shared" si="12"/>
        <v>0</v>
      </c>
      <c r="R188" s="102"/>
    </row>
    <row r="189">
      <c r="A189" s="106">
        <f>IFERROR(YEAR(SalarioPromedio!B189),"")</f>
        <v>1899</v>
      </c>
      <c r="B189" s="106" t="str">
        <f>SalarioPromedio!D189</f>
        <v/>
      </c>
      <c r="C189" s="105">
        <f>IF(SalarioPromedio!B189="",0,SalarioPromedio!C189-SalarioPromedio!B189+1)</f>
        <v>0</v>
      </c>
      <c r="D189" s="104">
        <f>IF(SalarioPromedio!B189="",0,C189*B189)</f>
        <v>0</v>
      </c>
      <c r="E189" s="104">
        <f t="shared" si="1"/>
        <v>0</v>
      </c>
      <c r="F189" s="104">
        <f t="shared" si="2"/>
        <v>0</v>
      </c>
      <c r="G189" s="107">
        <f t="shared" si="3"/>
        <v>0</v>
      </c>
      <c r="H189" s="108">
        <f t="shared" si="4"/>
        <v>0</v>
      </c>
      <c r="I189" s="104">
        <f t="shared" si="5"/>
        <v>0</v>
      </c>
      <c r="J189" s="108">
        <f t="shared" si="6"/>
        <v>0</v>
      </c>
      <c r="K189" s="111">
        <f t="shared" si="7"/>
        <v>0</v>
      </c>
      <c r="L189" s="108">
        <f t="shared" si="8"/>
        <v>0</v>
      </c>
      <c r="M189" s="102"/>
      <c r="N189" s="111">
        <f t="shared" si="9"/>
        <v>0</v>
      </c>
      <c r="O189" s="111">
        <f t="shared" si="10"/>
        <v>0</v>
      </c>
      <c r="P189" s="111">
        <f t="shared" si="11"/>
        <v>0</v>
      </c>
      <c r="Q189" s="111">
        <f t="shared" si="12"/>
        <v>0</v>
      </c>
      <c r="R189" s="102"/>
    </row>
    <row r="190">
      <c r="A190" s="106">
        <f>IFERROR(YEAR(SalarioPromedio!B190),"")</f>
        <v>1899</v>
      </c>
      <c r="B190" s="106" t="str">
        <f>SalarioPromedio!D190</f>
        <v/>
      </c>
      <c r="C190" s="105">
        <f>IF(SalarioPromedio!B190="",0,SalarioPromedio!C190-SalarioPromedio!B190+1)</f>
        <v>0</v>
      </c>
      <c r="D190" s="104">
        <f>IF(SalarioPromedio!B190="",0,C190*B190)</f>
        <v>0</v>
      </c>
      <c r="E190" s="104">
        <f t="shared" si="1"/>
        <v>0</v>
      </c>
      <c r="F190" s="104">
        <f t="shared" si="2"/>
        <v>0</v>
      </c>
      <c r="G190" s="107">
        <f t="shared" si="3"/>
        <v>0</v>
      </c>
      <c r="H190" s="108">
        <f t="shared" si="4"/>
        <v>0</v>
      </c>
      <c r="I190" s="104">
        <f t="shared" si="5"/>
        <v>0</v>
      </c>
      <c r="J190" s="108">
        <f t="shared" si="6"/>
        <v>0</v>
      </c>
      <c r="K190" s="111">
        <f t="shared" si="7"/>
        <v>0</v>
      </c>
      <c r="L190" s="108">
        <f t="shared" si="8"/>
        <v>0</v>
      </c>
      <c r="M190" s="102"/>
      <c r="N190" s="111">
        <f t="shared" si="9"/>
        <v>0</v>
      </c>
      <c r="O190" s="111">
        <f t="shared" si="10"/>
        <v>0</v>
      </c>
      <c r="P190" s="111">
        <f t="shared" si="11"/>
        <v>0</v>
      </c>
      <c r="Q190" s="111">
        <f t="shared" si="12"/>
        <v>0</v>
      </c>
      <c r="R190" s="102"/>
    </row>
    <row r="191">
      <c r="A191" s="106">
        <f>IFERROR(YEAR(SalarioPromedio!B191),"")</f>
        <v>1899</v>
      </c>
      <c r="B191" s="106" t="str">
        <f>SalarioPromedio!D191</f>
        <v/>
      </c>
      <c r="C191" s="105">
        <f>IF(SalarioPromedio!B191="",0,SalarioPromedio!C191-SalarioPromedio!B191+1)</f>
        <v>0</v>
      </c>
      <c r="D191" s="104">
        <f>IF(SalarioPromedio!B191="",0,C191*B191)</f>
        <v>0</v>
      </c>
      <c r="E191" s="104">
        <f t="shared" si="1"/>
        <v>0</v>
      </c>
      <c r="F191" s="104">
        <f t="shared" si="2"/>
        <v>0</v>
      </c>
      <c r="G191" s="107">
        <f t="shared" si="3"/>
        <v>0</v>
      </c>
      <c r="H191" s="108">
        <f t="shared" si="4"/>
        <v>0</v>
      </c>
      <c r="I191" s="104">
        <f t="shared" si="5"/>
        <v>0</v>
      </c>
      <c r="J191" s="108">
        <f t="shared" si="6"/>
        <v>0</v>
      </c>
      <c r="K191" s="111">
        <f t="shared" si="7"/>
        <v>0</v>
      </c>
      <c r="L191" s="108">
        <f t="shared" si="8"/>
        <v>0</v>
      </c>
      <c r="M191" s="102"/>
      <c r="N191" s="111">
        <f t="shared" si="9"/>
        <v>0</v>
      </c>
      <c r="O191" s="111">
        <f t="shared" si="10"/>
        <v>0</v>
      </c>
      <c r="P191" s="111">
        <f t="shared" si="11"/>
        <v>0</v>
      </c>
      <c r="Q191" s="111">
        <f t="shared" si="12"/>
        <v>0</v>
      </c>
      <c r="R191" s="102"/>
    </row>
    <row r="192">
      <c r="A192" s="106">
        <f>IFERROR(YEAR(SalarioPromedio!B192),"")</f>
        <v>1899</v>
      </c>
      <c r="B192" s="106" t="str">
        <f>SalarioPromedio!D192</f>
        <v/>
      </c>
      <c r="C192" s="105">
        <f>IF(SalarioPromedio!B192="",0,SalarioPromedio!C192-SalarioPromedio!B192+1)</f>
        <v>0</v>
      </c>
      <c r="D192" s="104">
        <f>IF(SalarioPromedio!B192="",0,C192*B192)</f>
        <v>0</v>
      </c>
      <c r="E192" s="104">
        <f t="shared" si="1"/>
        <v>0</v>
      </c>
      <c r="F192" s="104">
        <f t="shared" si="2"/>
        <v>0</v>
      </c>
      <c r="G192" s="107">
        <f t="shared" si="3"/>
        <v>0</v>
      </c>
      <c r="H192" s="108">
        <f t="shared" si="4"/>
        <v>0</v>
      </c>
      <c r="I192" s="104">
        <f t="shared" si="5"/>
        <v>0</v>
      </c>
      <c r="J192" s="108">
        <f t="shared" si="6"/>
        <v>0</v>
      </c>
      <c r="K192" s="111">
        <f t="shared" si="7"/>
        <v>0</v>
      </c>
      <c r="L192" s="108">
        <f t="shared" si="8"/>
        <v>0</v>
      </c>
      <c r="M192" s="102"/>
      <c r="N192" s="111">
        <f t="shared" si="9"/>
        <v>0</v>
      </c>
      <c r="O192" s="111">
        <f t="shared" si="10"/>
        <v>0</v>
      </c>
      <c r="P192" s="111">
        <f t="shared" si="11"/>
        <v>0</v>
      </c>
      <c r="Q192" s="111">
        <f t="shared" si="12"/>
        <v>0</v>
      </c>
      <c r="R192" s="102"/>
    </row>
    <row r="193">
      <c r="A193" s="106">
        <f>IFERROR(YEAR(SalarioPromedio!B193),"")</f>
        <v>1899</v>
      </c>
      <c r="B193" s="106" t="str">
        <f>SalarioPromedio!D193</f>
        <v/>
      </c>
      <c r="C193" s="105">
        <f>IF(SalarioPromedio!B193="",0,SalarioPromedio!C193-SalarioPromedio!B193+1)</f>
        <v>0</v>
      </c>
      <c r="D193" s="104">
        <f>IF(SalarioPromedio!B193="",0,C193*B193)</f>
        <v>0</v>
      </c>
      <c r="E193" s="104">
        <f t="shared" si="1"/>
        <v>0</v>
      </c>
      <c r="F193" s="104">
        <f t="shared" si="2"/>
        <v>0</v>
      </c>
      <c r="G193" s="107">
        <f t="shared" si="3"/>
        <v>0</v>
      </c>
      <c r="H193" s="108">
        <f t="shared" si="4"/>
        <v>0</v>
      </c>
      <c r="I193" s="104">
        <f t="shared" si="5"/>
        <v>0</v>
      </c>
      <c r="J193" s="108">
        <f t="shared" si="6"/>
        <v>0</v>
      </c>
      <c r="K193" s="111">
        <f t="shared" si="7"/>
        <v>0</v>
      </c>
      <c r="L193" s="108">
        <f t="shared" si="8"/>
        <v>0</v>
      </c>
      <c r="M193" s="102"/>
      <c r="N193" s="111">
        <f t="shared" si="9"/>
        <v>0</v>
      </c>
      <c r="O193" s="111">
        <f t="shared" si="10"/>
        <v>0</v>
      </c>
      <c r="P193" s="111">
        <f t="shared" si="11"/>
        <v>0</v>
      </c>
      <c r="Q193" s="111">
        <f t="shared" si="12"/>
        <v>0</v>
      </c>
      <c r="R193" s="102"/>
    </row>
    <row r="194">
      <c r="A194" s="106">
        <f>IFERROR(YEAR(SalarioPromedio!B194),"")</f>
        <v>1899</v>
      </c>
      <c r="B194" s="106" t="str">
        <f>SalarioPromedio!D194</f>
        <v/>
      </c>
      <c r="C194" s="105">
        <f>IF(SalarioPromedio!B194="",0,SalarioPromedio!C194-SalarioPromedio!B194+1)</f>
        <v>0</v>
      </c>
      <c r="D194" s="104">
        <f>IF(SalarioPromedio!B194="",0,C194*B194)</f>
        <v>0</v>
      </c>
      <c r="E194" s="104">
        <f t="shared" si="1"/>
        <v>0</v>
      </c>
      <c r="F194" s="104">
        <f t="shared" si="2"/>
        <v>0</v>
      </c>
      <c r="G194" s="107">
        <f t="shared" si="3"/>
        <v>0</v>
      </c>
      <c r="H194" s="108">
        <f t="shared" si="4"/>
        <v>0</v>
      </c>
      <c r="I194" s="104">
        <f t="shared" si="5"/>
        <v>0</v>
      </c>
      <c r="J194" s="108">
        <f t="shared" si="6"/>
        <v>0</v>
      </c>
      <c r="K194" s="111">
        <f t="shared" si="7"/>
        <v>0</v>
      </c>
      <c r="L194" s="108">
        <f t="shared" si="8"/>
        <v>0</v>
      </c>
      <c r="M194" s="102"/>
      <c r="N194" s="111">
        <f t="shared" si="9"/>
        <v>0</v>
      </c>
      <c r="O194" s="111">
        <f t="shared" si="10"/>
        <v>0</v>
      </c>
      <c r="P194" s="111">
        <f t="shared" si="11"/>
        <v>0</v>
      </c>
      <c r="Q194" s="111">
        <f t="shared" si="12"/>
        <v>0</v>
      </c>
      <c r="R194" s="102"/>
    </row>
    <row r="195">
      <c r="A195" s="106">
        <f>IFERROR(YEAR(SalarioPromedio!B195),"")</f>
        <v>1899</v>
      </c>
      <c r="B195" s="106" t="str">
        <f>SalarioPromedio!D195</f>
        <v/>
      </c>
      <c r="C195" s="105">
        <f>IF(SalarioPromedio!B195="",0,SalarioPromedio!C195-SalarioPromedio!B195+1)</f>
        <v>0</v>
      </c>
      <c r="D195" s="104">
        <f>IF(SalarioPromedio!B195="",0,C195*B195)</f>
        <v>0</v>
      </c>
      <c r="E195" s="104">
        <f t="shared" si="1"/>
        <v>0</v>
      </c>
      <c r="F195" s="104">
        <f t="shared" si="2"/>
        <v>0</v>
      </c>
      <c r="G195" s="107">
        <f t="shared" si="3"/>
        <v>0</v>
      </c>
      <c r="H195" s="108">
        <f t="shared" si="4"/>
        <v>0</v>
      </c>
      <c r="I195" s="104">
        <f t="shared" si="5"/>
        <v>0</v>
      </c>
      <c r="J195" s="108">
        <f t="shared" si="6"/>
        <v>0</v>
      </c>
      <c r="K195" s="111">
        <f t="shared" si="7"/>
        <v>0</v>
      </c>
      <c r="L195" s="108">
        <f t="shared" si="8"/>
        <v>0</v>
      </c>
      <c r="M195" s="102"/>
      <c r="N195" s="111">
        <f t="shared" si="9"/>
        <v>0</v>
      </c>
      <c r="O195" s="111">
        <f t="shared" si="10"/>
        <v>0</v>
      </c>
      <c r="P195" s="111">
        <f t="shared" si="11"/>
        <v>0</v>
      </c>
      <c r="Q195" s="111">
        <f t="shared" si="12"/>
        <v>0</v>
      </c>
      <c r="R195" s="102"/>
    </row>
    <row r="196">
      <c r="A196" s="106">
        <f>IFERROR(YEAR(SalarioPromedio!B196),"")</f>
        <v>1899</v>
      </c>
      <c r="B196" s="106" t="str">
        <f>SalarioPromedio!D196</f>
        <v/>
      </c>
      <c r="C196" s="105">
        <f>IF(SalarioPromedio!B196="",0,SalarioPromedio!C196-SalarioPromedio!B196+1)</f>
        <v>0</v>
      </c>
      <c r="D196" s="104">
        <f>IF(SalarioPromedio!B196="",0,C196*B196)</f>
        <v>0</v>
      </c>
      <c r="E196" s="104">
        <f t="shared" si="1"/>
        <v>0</v>
      </c>
      <c r="F196" s="104">
        <f t="shared" si="2"/>
        <v>0</v>
      </c>
      <c r="G196" s="107">
        <f t="shared" si="3"/>
        <v>0</v>
      </c>
      <c r="H196" s="108">
        <f t="shared" si="4"/>
        <v>0</v>
      </c>
      <c r="I196" s="104">
        <f t="shared" si="5"/>
        <v>0</v>
      </c>
      <c r="J196" s="108">
        <f t="shared" si="6"/>
        <v>0</v>
      </c>
      <c r="K196" s="111">
        <f t="shared" si="7"/>
        <v>0</v>
      </c>
      <c r="L196" s="108">
        <f t="shared" si="8"/>
        <v>0</v>
      </c>
      <c r="M196" s="102"/>
      <c r="N196" s="111">
        <f t="shared" si="9"/>
        <v>0</v>
      </c>
      <c r="O196" s="111">
        <f t="shared" si="10"/>
        <v>0</v>
      </c>
      <c r="P196" s="111">
        <f t="shared" si="11"/>
        <v>0</v>
      </c>
      <c r="Q196" s="111">
        <f t="shared" si="12"/>
        <v>0</v>
      </c>
      <c r="R196" s="102"/>
    </row>
    <row r="197">
      <c r="A197" s="106">
        <f>IFERROR(YEAR(SalarioPromedio!B197),"")</f>
        <v>1899</v>
      </c>
      <c r="B197" s="106" t="str">
        <f>SalarioPromedio!D197</f>
        <v/>
      </c>
      <c r="C197" s="105">
        <f>IF(SalarioPromedio!B197="",0,SalarioPromedio!C197-SalarioPromedio!B197+1)</f>
        <v>0</v>
      </c>
      <c r="D197" s="104">
        <f>IF(SalarioPromedio!B197="",0,C197*B197)</f>
        <v>0</v>
      </c>
      <c r="E197" s="104">
        <f t="shared" si="1"/>
        <v>0</v>
      </c>
      <c r="F197" s="104">
        <f t="shared" si="2"/>
        <v>0</v>
      </c>
      <c r="G197" s="107">
        <f t="shared" si="3"/>
        <v>0</v>
      </c>
      <c r="H197" s="108">
        <f t="shared" si="4"/>
        <v>0</v>
      </c>
      <c r="I197" s="104">
        <f t="shared" si="5"/>
        <v>0</v>
      </c>
      <c r="J197" s="108">
        <f t="shared" si="6"/>
        <v>0</v>
      </c>
      <c r="K197" s="111">
        <f t="shared" si="7"/>
        <v>0</v>
      </c>
      <c r="L197" s="108">
        <f t="shared" si="8"/>
        <v>0</v>
      </c>
      <c r="M197" s="102"/>
      <c r="N197" s="111">
        <f t="shared" si="9"/>
        <v>0</v>
      </c>
      <c r="O197" s="111">
        <f t="shared" si="10"/>
        <v>0</v>
      </c>
      <c r="P197" s="111">
        <f t="shared" si="11"/>
        <v>0</v>
      </c>
      <c r="Q197" s="111">
        <f t="shared" si="12"/>
        <v>0</v>
      </c>
      <c r="R197" s="102"/>
    </row>
    <row r="198">
      <c r="A198" s="106">
        <f>IFERROR(YEAR(SalarioPromedio!B198),"")</f>
        <v>1899</v>
      </c>
      <c r="B198" s="106" t="str">
        <f>SalarioPromedio!D198</f>
        <v/>
      </c>
      <c r="C198" s="105">
        <f>IF(SalarioPromedio!B198="",0,SalarioPromedio!C198-SalarioPromedio!B198+1)</f>
        <v>0</v>
      </c>
      <c r="D198" s="104">
        <f>IF(SalarioPromedio!B198="",0,C198*B198)</f>
        <v>0</v>
      </c>
      <c r="E198" s="104">
        <f t="shared" si="1"/>
        <v>0</v>
      </c>
      <c r="F198" s="104">
        <f t="shared" si="2"/>
        <v>0</v>
      </c>
      <c r="G198" s="107">
        <f t="shared" si="3"/>
        <v>0</v>
      </c>
      <c r="H198" s="108">
        <f t="shared" si="4"/>
        <v>0</v>
      </c>
      <c r="I198" s="104">
        <f t="shared" si="5"/>
        <v>0</v>
      </c>
      <c r="J198" s="108">
        <f t="shared" si="6"/>
        <v>0</v>
      </c>
      <c r="K198" s="111">
        <f t="shared" si="7"/>
        <v>0</v>
      </c>
      <c r="L198" s="108">
        <f t="shared" si="8"/>
        <v>0</v>
      </c>
      <c r="M198" s="102"/>
      <c r="N198" s="111">
        <f t="shared" si="9"/>
        <v>0</v>
      </c>
      <c r="O198" s="111">
        <f t="shared" si="10"/>
        <v>0</v>
      </c>
      <c r="P198" s="111">
        <f t="shared" si="11"/>
        <v>0</v>
      </c>
      <c r="Q198" s="111">
        <f t="shared" si="12"/>
        <v>0</v>
      </c>
      <c r="R198" s="102"/>
    </row>
    <row r="199">
      <c r="A199" s="106">
        <f>IFERROR(YEAR(SalarioPromedio!B199),"")</f>
        <v>1899</v>
      </c>
      <c r="B199" s="106" t="str">
        <f>SalarioPromedio!D199</f>
        <v/>
      </c>
      <c r="C199" s="105">
        <f>IF(SalarioPromedio!B199="",0,SalarioPromedio!C199-SalarioPromedio!B199+1)</f>
        <v>0</v>
      </c>
      <c r="D199" s="104">
        <f>IF(SalarioPromedio!B199="",0,C199*B199)</f>
        <v>0</v>
      </c>
      <c r="E199" s="104">
        <f t="shared" si="1"/>
        <v>0</v>
      </c>
      <c r="F199" s="104">
        <f t="shared" si="2"/>
        <v>0</v>
      </c>
      <c r="G199" s="107">
        <f t="shared" si="3"/>
        <v>0</v>
      </c>
      <c r="H199" s="108">
        <f t="shared" si="4"/>
        <v>0</v>
      </c>
      <c r="I199" s="104">
        <f t="shared" si="5"/>
        <v>0</v>
      </c>
      <c r="J199" s="108">
        <f t="shared" si="6"/>
        <v>0</v>
      </c>
      <c r="K199" s="111">
        <f t="shared" si="7"/>
        <v>0</v>
      </c>
      <c r="L199" s="108">
        <f t="shared" si="8"/>
        <v>0</v>
      </c>
      <c r="M199" s="102"/>
      <c r="N199" s="111">
        <f t="shared" si="9"/>
        <v>0</v>
      </c>
      <c r="O199" s="111">
        <f t="shared" si="10"/>
        <v>0</v>
      </c>
      <c r="P199" s="111">
        <f t="shared" si="11"/>
        <v>0</v>
      </c>
      <c r="Q199" s="111">
        <f t="shared" si="12"/>
        <v>0</v>
      </c>
      <c r="R199" s="102"/>
    </row>
    <row r="200">
      <c r="A200" s="106">
        <f>IFERROR(YEAR(SalarioPromedio!B200),"")</f>
        <v>1899</v>
      </c>
      <c r="B200" s="106" t="str">
        <f>SalarioPromedio!D200</f>
        <v/>
      </c>
      <c r="C200" s="105">
        <f>IF(SalarioPromedio!B200="",0,SalarioPromedio!C200-SalarioPromedio!B200+1)</f>
        <v>0</v>
      </c>
      <c r="D200" s="104">
        <f>IF(SalarioPromedio!B200="",0,C200*B200)</f>
        <v>0</v>
      </c>
      <c r="E200" s="104">
        <f t="shared" si="1"/>
        <v>0</v>
      </c>
      <c r="F200" s="104">
        <f t="shared" si="2"/>
        <v>0</v>
      </c>
      <c r="G200" s="107">
        <f t="shared" si="3"/>
        <v>0</v>
      </c>
      <c r="H200" s="108">
        <f t="shared" si="4"/>
        <v>0</v>
      </c>
      <c r="I200" s="104">
        <f t="shared" si="5"/>
        <v>0</v>
      </c>
      <c r="J200" s="108">
        <f t="shared" si="6"/>
        <v>0</v>
      </c>
      <c r="K200" s="111">
        <f t="shared" si="7"/>
        <v>0</v>
      </c>
      <c r="L200" s="108">
        <f t="shared" si="8"/>
        <v>0</v>
      </c>
      <c r="M200" s="102"/>
      <c r="N200" s="111">
        <f t="shared" si="9"/>
        <v>0</v>
      </c>
      <c r="O200" s="111">
        <f t="shared" si="10"/>
        <v>0</v>
      </c>
      <c r="P200" s="111">
        <f t="shared" si="11"/>
        <v>0</v>
      </c>
      <c r="Q200" s="111">
        <f t="shared" si="12"/>
        <v>0</v>
      </c>
      <c r="R200" s="102"/>
    </row>
    <row r="201">
      <c r="A201" s="106">
        <f>IFERROR(YEAR(SalarioPromedio!B201),"")</f>
        <v>1899</v>
      </c>
      <c r="B201" s="106" t="str">
        <f>SalarioPromedio!D201</f>
        <v/>
      </c>
      <c r="C201" s="105">
        <f>IF(SalarioPromedio!B201="",0,SalarioPromedio!C201-SalarioPromedio!B201+1)</f>
        <v>0</v>
      </c>
      <c r="D201" s="104">
        <f>IF(SalarioPromedio!B201="",0,C201*B201)</f>
        <v>0</v>
      </c>
      <c r="E201" s="104">
        <f t="shared" si="1"/>
        <v>0</v>
      </c>
      <c r="F201" s="104">
        <f t="shared" si="2"/>
        <v>0</v>
      </c>
      <c r="G201" s="107">
        <f t="shared" si="3"/>
        <v>0</v>
      </c>
      <c r="H201" s="108">
        <f t="shared" si="4"/>
        <v>0</v>
      </c>
      <c r="I201" s="104">
        <f t="shared" si="5"/>
        <v>0</v>
      </c>
      <c r="J201" s="108">
        <f t="shared" si="6"/>
        <v>0</v>
      </c>
      <c r="K201" s="111">
        <f t="shared" si="7"/>
        <v>0</v>
      </c>
      <c r="L201" s="108">
        <f t="shared" si="8"/>
        <v>0</v>
      </c>
      <c r="M201" s="102"/>
      <c r="N201" s="111">
        <f t="shared" si="9"/>
        <v>0</v>
      </c>
      <c r="O201" s="111">
        <f t="shared" si="10"/>
        <v>0</v>
      </c>
      <c r="P201" s="111">
        <f t="shared" si="11"/>
        <v>0</v>
      </c>
      <c r="Q201" s="111">
        <f t="shared" si="12"/>
        <v>0</v>
      </c>
      <c r="R201" s="102"/>
    </row>
    <row r="202">
      <c r="A202" s="106">
        <f>IFERROR(YEAR(SalarioPromedio!B202),"")</f>
        <v>1899</v>
      </c>
      <c r="B202" s="106" t="str">
        <f>SalarioPromedio!D202</f>
        <v/>
      </c>
      <c r="C202" s="105">
        <f>IF(SalarioPromedio!B202="",0,SalarioPromedio!C202-SalarioPromedio!B202+1)</f>
        <v>0</v>
      </c>
      <c r="D202" s="104">
        <f>IF(SalarioPromedio!B202="",0,C202*B202)</f>
        <v>0</v>
      </c>
      <c r="E202" s="104">
        <f t="shared" si="1"/>
        <v>0</v>
      </c>
      <c r="F202" s="104">
        <f t="shared" si="2"/>
        <v>0</v>
      </c>
      <c r="G202" s="107">
        <f t="shared" si="3"/>
        <v>0</v>
      </c>
      <c r="H202" s="108">
        <f t="shared" si="4"/>
        <v>0</v>
      </c>
      <c r="I202" s="104">
        <f t="shared" si="5"/>
        <v>0</v>
      </c>
      <c r="J202" s="108">
        <f t="shared" si="6"/>
        <v>0</v>
      </c>
      <c r="K202" s="111">
        <f t="shared" si="7"/>
        <v>0</v>
      </c>
      <c r="L202" s="108">
        <f t="shared" si="8"/>
        <v>0</v>
      </c>
      <c r="M202" s="102"/>
      <c r="N202" s="111">
        <f t="shared" si="9"/>
        <v>0</v>
      </c>
      <c r="O202" s="111">
        <f t="shared" si="10"/>
        <v>0</v>
      </c>
      <c r="P202" s="111">
        <f t="shared" si="11"/>
        <v>0</v>
      </c>
      <c r="Q202" s="111">
        <f t="shared" si="12"/>
        <v>0</v>
      </c>
      <c r="R202" s="102"/>
    </row>
    <row r="203">
      <c r="A203" s="106">
        <f>IFERROR(YEAR(SalarioPromedio!B203),"")</f>
        <v>1899</v>
      </c>
      <c r="B203" s="106" t="str">
        <f>SalarioPromedio!D203</f>
        <v/>
      </c>
      <c r="C203" s="105">
        <f>IF(SalarioPromedio!B203="",0,SalarioPromedio!C203-SalarioPromedio!B203+1)</f>
        <v>0</v>
      </c>
      <c r="D203" s="104">
        <f>IF(SalarioPromedio!B203="",0,C203*B203)</f>
        <v>0</v>
      </c>
      <c r="E203" s="104">
        <f t="shared" si="1"/>
        <v>0</v>
      </c>
      <c r="F203" s="104">
        <f t="shared" si="2"/>
        <v>0</v>
      </c>
      <c r="G203" s="107">
        <f t="shared" si="3"/>
        <v>0</v>
      </c>
      <c r="H203" s="108">
        <f t="shared" si="4"/>
        <v>0</v>
      </c>
      <c r="I203" s="104">
        <f t="shared" si="5"/>
        <v>0</v>
      </c>
      <c r="J203" s="108">
        <f t="shared" si="6"/>
        <v>0</v>
      </c>
      <c r="K203" s="111">
        <f t="shared" si="7"/>
        <v>0</v>
      </c>
      <c r="L203" s="108">
        <f t="shared" si="8"/>
        <v>0</v>
      </c>
      <c r="M203" s="102"/>
      <c r="N203" s="111">
        <f t="shared" si="9"/>
        <v>0</v>
      </c>
      <c r="O203" s="111">
        <f t="shared" si="10"/>
        <v>0</v>
      </c>
      <c r="P203" s="111">
        <f t="shared" si="11"/>
        <v>0</v>
      </c>
      <c r="Q203" s="111">
        <f t="shared" si="12"/>
        <v>0</v>
      </c>
      <c r="R203" s="102"/>
    </row>
    <row r="204">
      <c r="A204" s="106">
        <f>IFERROR(YEAR(SalarioPromedio!B204),"")</f>
        <v>1899</v>
      </c>
      <c r="B204" s="106" t="str">
        <f>SalarioPromedio!D204</f>
        <v/>
      </c>
      <c r="C204" s="105">
        <f>IF(SalarioPromedio!B204="",0,SalarioPromedio!C204-SalarioPromedio!B204+1)</f>
        <v>0</v>
      </c>
      <c r="D204" s="104">
        <f>IF(SalarioPromedio!B204="",0,C204*B204)</f>
        <v>0</v>
      </c>
      <c r="E204" s="104">
        <f t="shared" si="1"/>
        <v>0</v>
      </c>
      <c r="F204" s="104">
        <f t="shared" si="2"/>
        <v>0</v>
      </c>
      <c r="G204" s="107">
        <f t="shared" si="3"/>
        <v>0</v>
      </c>
      <c r="H204" s="108">
        <f t="shared" si="4"/>
        <v>0</v>
      </c>
      <c r="I204" s="104">
        <f t="shared" si="5"/>
        <v>0</v>
      </c>
      <c r="J204" s="108">
        <f t="shared" si="6"/>
        <v>0</v>
      </c>
      <c r="K204" s="111">
        <f t="shared" si="7"/>
        <v>0</v>
      </c>
      <c r="L204" s="108">
        <f t="shared" si="8"/>
        <v>0</v>
      </c>
      <c r="M204" s="102"/>
      <c r="N204" s="111">
        <f t="shared" si="9"/>
        <v>0</v>
      </c>
      <c r="O204" s="111">
        <f t="shared" si="10"/>
        <v>0</v>
      </c>
      <c r="P204" s="111">
        <f t="shared" si="11"/>
        <v>0</v>
      </c>
      <c r="Q204" s="111">
        <f t="shared" si="12"/>
        <v>0</v>
      </c>
      <c r="R204" s="102"/>
    </row>
    <row r="205">
      <c r="A205" s="106">
        <f>IFERROR(YEAR(SalarioPromedio!B205),"")</f>
        <v>1899</v>
      </c>
      <c r="B205" s="106" t="str">
        <f>SalarioPromedio!D205</f>
        <v/>
      </c>
      <c r="C205" s="105">
        <f>IF(SalarioPromedio!B205="",0,SalarioPromedio!C205-SalarioPromedio!B205+1)</f>
        <v>0</v>
      </c>
      <c r="D205" s="104">
        <f>IF(SalarioPromedio!B205="",0,C205*B205)</f>
        <v>0</v>
      </c>
      <c r="E205" s="104">
        <f t="shared" si="1"/>
        <v>0</v>
      </c>
      <c r="F205" s="104">
        <f t="shared" si="2"/>
        <v>0</v>
      </c>
      <c r="G205" s="107">
        <f t="shared" si="3"/>
        <v>0</v>
      </c>
      <c r="H205" s="108">
        <f t="shared" si="4"/>
        <v>0</v>
      </c>
      <c r="I205" s="104">
        <f t="shared" si="5"/>
        <v>0</v>
      </c>
      <c r="J205" s="108">
        <f t="shared" si="6"/>
        <v>0</v>
      </c>
      <c r="K205" s="111">
        <f t="shared" si="7"/>
        <v>0</v>
      </c>
      <c r="L205" s="108">
        <f t="shared" si="8"/>
        <v>0</v>
      </c>
      <c r="M205" s="102"/>
      <c r="N205" s="111">
        <f t="shared" si="9"/>
        <v>0</v>
      </c>
      <c r="O205" s="111">
        <f t="shared" si="10"/>
        <v>0</v>
      </c>
      <c r="P205" s="111">
        <f t="shared" si="11"/>
        <v>0</v>
      </c>
      <c r="Q205" s="111">
        <f t="shared" si="12"/>
        <v>0</v>
      </c>
      <c r="R205" s="102"/>
    </row>
    <row r="206">
      <c r="A206" s="106">
        <f>IFERROR(YEAR(SalarioPromedio!B206),"")</f>
        <v>1899</v>
      </c>
      <c r="B206" s="106" t="str">
        <f>SalarioPromedio!D206</f>
        <v/>
      </c>
      <c r="C206" s="105">
        <f>IF(SalarioPromedio!B206="",0,SalarioPromedio!C206-SalarioPromedio!B206+1)</f>
        <v>0</v>
      </c>
      <c r="D206" s="104">
        <f>IF(SalarioPromedio!B206="",0,C206*B206)</f>
        <v>0</v>
      </c>
      <c r="E206" s="104">
        <f t="shared" si="1"/>
        <v>0</v>
      </c>
      <c r="F206" s="104">
        <f t="shared" si="2"/>
        <v>0</v>
      </c>
      <c r="G206" s="107">
        <f t="shared" si="3"/>
        <v>0</v>
      </c>
      <c r="H206" s="108">
        <f t="shared" si="4"/>
        <v>0</v>
      </c>
      <c r="I206" s="104">
        <f t="shared" si="5"/>
        <v>0</v>
      </c>
      <c r="J206" s="108">
        <f t="shared" si="6"/>
        <v>0</v>
      </c>
      <c r="K206" s="111">
        <f t="shared" si="7"/>
        <v>0</v>
      </c>
      <c r="L206" s="108">
        <f t="shared" si="8"/>
        <v>0</v>
      </c>
      <c r="M206" s="102"/>
      <c r="N206" s="111">
        <f t="shared" si="9"/>
        <v>0</v>
      </c>
      <c r="O206" s="111">
        <f t="shared" si="10"/>
        <v>0</v>
      </c>
      <c r="P206" s="111">
        <f t="shared" si="11"/>
        <v>0</v>
      </c>
      <c r="Q206" s="111">
        <f t="shared" si="12"/>
        <v>0</v>
      </c>
      <c r="R206" s="102"/>
    </row>
    <row r="207">
      <c r="A207" s="106">
        <f>IFERROR(YEAR(SalarioPromedio!B207),"")</f>
        <v>1899</v>
      </c>
      <c r="B207" s="106" t="str">
        <f>SalarioPromedio!D207</f>
        <v/>
      </c>
      <c r="C207" s="105">
        <f>IF(SalarioPromedio!B207="",0,SalarioPromedio!C207-SalarioPromedio!B207+1)</f>
        <v>0</v>
      </c>
      <c r="D207" s="104">
        <f>IF(SalarioPromedio!B207="",0,C207*B207)</f>
        <v>0</v>
      </c>
      <c r="E207" s="104">
        <f t="shared" si="1"/>
        <v>0</v>
      </c>
      <c r="F207" s="104">
        <f t="shared" si="2"/>
        <v>0</v>
      </c>
      <c r="G207" s="107">
        <f t="shared" si="3"/>
        <v>0</v>
      </c>
      <c r="H207" s="108">
        <f t="shared" si="4"/>
        <v>0</v>
      </c>
      <c r="I207" s="104">
        <f t="shared" si="5"/>
        <v>0</v>
      </c>
      <c r="J207" s="108">
        <f t="shared" si="6"/>
        <v>0</v>
      </c>
      <c r="K207" s="111">
        <f t="shared" si="7"/>
        <v>0</v>
      </c>
      <c r="L207" s="108">
        <f t="shared" si="8"/>
        <v>0</v>
      </c>
      <c r="M207" s="102"/>
      <c r="N207" s="111">
        <f t="shared" si="9"/>
        <v>0</v>
      </c>
      <c r="O207" s="111">
        <f t="shared" si="10"/>
        <v>0</v>
      </c>
      <c r="P207" s="111">
        <f t="shared" si="11"/>
        <v>0</v>
      </c>
      <c r="Q207" s="111">
        <f t="shared" si="12"/>
        <v>0</v>
      </c>
      <c r="R207" s="102"/>
    </row>
    <row r="208">
      <c r="A208" s="106">
        <f>IFERROR(YEAR(SalarioPromedio!B208),"")</f>
        <v>1899</v>
      </c>
      <c r="B208" s="106" t="str">
        <f>SalarioPromedio!D208</f>
        <v/>
      </c>
      <c r="C208" s="105">
        <f>IF(SalarioPromedio!B208="",0,SalarioPromedio!C208-SalarioPromedio!B208+1)</f>
        <v>0</v>
      </c>
      <c r="D208" s="104">
        <f>IF(SalarioPromedio!B208="",0,C208*B208)</f>
        <v>0</v>
      </c>
      <c r="E208" s="104">
        <f t="shared" si="1"/>
        <v>0</v>
      </c>
      <c r="F208" s="104">
        <f t="shared" si="2"/>
        <v>0</v>
      </c>
      <c r="G208" s="107">
        <f t="shared" si="3"/>
        <v>0</v>
      </c>
      <c r="H208" s="108">
        <f t="shared" si="4"/>
        <v>0</v>
      </c>
      <c r="I208" s="104">
        <f t="shared" si="5"/>
        <v>0</v>
      </c>
      <c r="J208" s="108">
        <f t="shared" si="6"/>
        <v>0</v>
      </c>
      <c r="K208" s="111">
        <f t="shared" si="7"/>
        <v>0</v>
      </c>
      <c r="L208" s="108">
        <f t="shared" si="8"/>
        <v>0</v>
      </c>
      <c r="M208" s="102"/>
      <c r="N208" s="111">
        <f t="shared" si="9"/>
        <v>0</v>
      </c>
      <c r="O208" s="111">
        <f t="shared" si="10"/>
        <v>0</v>
      </c>
      <c r="P208" s="111">
        <f t="shared" si="11"/>
        <v>0</v>
      </c>
      <c r="Q208" s="111">
        <f t="shared" si="12"/>
        <v>0</v>
      </c>
      <c r="R208" s="102"/>
    </row>
    <row r="209">
      <c r="A209" s="106">
        <f>IFERROR(YEAR(SalarioPromedio!B209),"")</f>
        <v>1899</v>
      </c>
      <c r="B209" s="106" t="str">
        <f>SalarioPromedio!D209</f>
        <v/>
      </c>
      <c r="C209" s="105">
        <f>IF(SalarioPromedio!B209="",0,SalarioPromedio!C209-SalarioPromedio!B209+1)</f>
        <v>0</v>
      </c>
      <c r="D209" s="104">
        <f>IF(SalarioPromedio!B209="",0,C209*B209)</f>
        <v>0</v>
      </c>
      <c r="E209" s="104">
        <f t="shared" si="1"/>
        <v>0</v>
      </c>
      <c r="F209" s="104">
        <f t="shared" si="2"/>
        <v>0</v>
      </c>
      <c r="G209" s="107">
        <f t="shared" si="3"/>
        <v>0</v>
      </c>
      <c r="H209" s="108">
        <f t="shared" si="4"/>
        <v>0</v>
      </c>
      <c r="I209" s="104">
        <f t="shared" si="5"/>
        <v>0</v>
      </c>
      <c r="J209" s="108">
        <f t="shared" si="6"/>
        <v>0</v>
      </c>
      <c r="K209" s="111">
        <f t="shared" si="7"/>
        <v>0</v>
      </c>
      <c r="L209" s="108">
        <f t="shared" si="8"/>
        <v>0</v>
      </c>
      <c r="M209" s="102"/>
      <c r="N209" s="111">
        <f t="shared" si="9"/>
        <v>0</v>
      </c>
      <c r="O209" s="111">
        <f t="shared" si="10"/>
        <v>0</v>
      </c>
      <c r="P209" s="111">
        <f t="shared" si="11"/>
        <v>0</v>
      </c>
      <c r="Q209" s="111">
        <f t="shared" si="12"/>
        <v>0</v>
      </c>
      <c r="R209" s="102"/>
    </row>
    <row r="210">
      <c r="A210" s="106">
        <f>IFERROR(YEAR(SalarioPromedio!B210),"")</f>
        <v>1899</v>
      </c>
      <c r="B210" s="106" t="str">
        <f>SalarioPromedio!D210</f>
        <v/>
      </c>
      <c r="C210" s="105">
        <f>IF(SalarioPromedio!B210="",0,SalarioPromedio!C210-SalarioPromedio!B210+1)</f>
        <v>0</v>
      </c>
      <c r="D210" s="104">
        <f>IF(SalarioPromedio!B210="",0,C210*B210)</f>
        <v>0</v>
      </c>
      <c r="E210" s="104">
        <f t="shared" si="1"/>
        <v>0</v>
      </c>
      <c r="F210" s="104">
        <f t="shared" si="2"/>
        <v>0</v>
      </c>
      <c r="G210" s="107">
        <f t="shared" si="3"/>
        <v>0</v>
      </c>
      <c r="H210" s="108">
        <f t="shared" si="4"/>
        <v>0</v>
      </c>
      <c r="I210" s="104">
        <f t="shared" si="5"/>
        <v>0</v>
      </c>
      <c r="J210" s="108">
        <f t="shared" si="6"/>
        <v>0</v>
      </c>
      <c r="K210" s="111">
        <f t="shared" si="7"/>
        <v>0</v>
      </c>
      <c r="L210" s="108">
        <f t="shared" si="8"/>
        <v>0</v>
      </c>
      <c r="M210" s="102"/>
      <c r="N210" s="111">
        <f t="shared" si="9"/>
        <v>0</v>
      </c>
      <c r="O210" s="111">
        <f t="shared" si="10"/>
        <v>0</v>
      </c>
      <c r="P210" s="111">
        <f t="shared" si="11"/>
        <v>0</v>
      </c>
      <c r="Q210" s="111">
        <f t="shared" si="12"/>
        <v>0</v>
      </c>
      <c r="R210" s="102"/>
    </row>
    <row r="211">
      <c r="A211" s="106">
        <f>IFERROR(YEAR(SalarioPromedio!B211),"")</f>
        <v>1899</v>
      </c>
      <c r="B211" s="106" t="str">
        <f>SalarioPromedio!D211</f>
        <v/>
      </c>
      <c r="C211" s="105">
        <f>IF(SalarioPromedio!B211="",0,SalarioPromedio!C211-SalarioPromedio!B211+1)</f>
        <v>0</v>
      </c>
      <c r="D211" s="104">
        <f>IF(SalarioPromedio!B211="",0,C211*B211)</f>
        <v>0</v>
      </c>
      <c r="E211" s="104">
        <f t="shared" si="1"/>
        <v>0</v>
      </c>
      <c r="F211" s="104">
        <f t="shared" si="2"/>
        <v>0</v>
      </c>
      <c r="G211" s="107">
        <f t="shared" si="3"/>
        <v>0</v>
      </c>
      <c r="H211" s="108">
        <f t="shared" si="4"/>
        <v>0</v>
      </c>
      <c r="I211" s="104">
        <f t="shared" si="5"/>
        <v>0</v>
      </c>
      <c r="J211" s="108">
        <f t="shared" si="6"/>
        <v>0</v>
      </c>
      <c r="K211" s="111">
        <f t="shared" si="7"/>
        <v>0</v>
      </c>
      <c r="L211" s="108">
        <f t="shared" si="8"/>
        <v>0</v>
      </c>
      <c r="M211" s="102"/>
      <c r="N211" s="111">
        <f t="shared" si="9"/>
        <v>0</v>
      </c>
      <c r="O211" s="111">
        <f t="shared" si="10"/>
        <v>0</v>
      </c>
      <c r="P211" s="111">
        <f t="shared" si="11"/>
        <v>0</v>
      </c>
      <c r="Q211" s="111">
        <f t="shared" si="12"/>
        <v>0</v>
      </c>
      <c r="R211" s="102"/>
    </row>
    <row r="212">
      <c r="A212" s="106">
        <f>IFERROR(YEAR(SalarioPromedio!B212),"")</f>
        <v>1899</v>
      </c>
      <c r="B212" s="106" t="str">
        <f>SalarioPromedio!D212</f>
        <v/>
      </c>
      <c r="C212" s="105">
        <f>IF(SalarioPromedio!B212="",0,SalarioPromedio!C212-SalarioPromedio!B212+1)</f>
        <v>0</v>
      </c>
      <c r="D212" s="104">
        <f>IF(SalarioPromedio!B212="",0,C212*B212)</f>
        <v>0</v>
      </c>
      <c r="E212" s="104">
        <f t="shared" si="1"/>
        <v>0</v>
      </c>
      <c r="F212" s="104">
        <f t="shared" si="2"/>
        <v>0</v>
      </c>
      <c r="G212" s="107">
        <f t="shared" si="3"/>
        <v>0</v>
      </c>
      <c r="H212" s="108">
        <f t="shared" si="4"/>
        <v>0</v>
      </c>
      <c r="I212" s="104">
        <f t="shared" si="5"/>
        <v>0</v>
      </c>
      <c r="J212" s="108">
        <f t="shared" si="6"/>
        <v>0</v>
      </c>
      <c r="K212" s="111">
        <f t="shared" si="7"/>
        <v>0</v>
      </c>
      <c r="L212" s="108">
        <f t="shared" si="8"/>
        <v>0</v>
      </c>
      <c r="M212" s="102"/>
      <c r="N212" s="111">
        <f t="shared" si="9"/>
        <v>0</v>
      </c>
      <c r="O212" s="111">
        <f t="shared" si="10"/>
        <v>0</v>
      </c>
      <c r="P212" s="111">
        <f t="shared" si="11"/>
        <v>0</v>
      </c>
      <c r="Q212" s="111">
        <f t="shared" si="12"/>
        <v>0</v>
      </c>
      <c r="R212" s="102"/>
    </row>
    <row r="213">
      <c r="A213" s="106">
        <f>IFERROR(YEAR(SalarioPromedio!B213),"")</f>
        <v>1899</v>
      </c>
      <c r="B213" s="106" t="str">
        <f>SalarioPromedio!D213</f>
        <v/>
      </c>
      <c r="C213" s="105">
        <f>IF(SalarioPromedio!B213="",0,SalarioPromedio!C213-SalarioPromedio!B213+1)</f>
        <v>0</v>
      </c>
      <c r="D213" s="104">
        <f>IF(SalarioPromedio!B213="",0,C213*B213)</f>
        <v>0</v>
      </c>
      <c r="E213" s="104">
        <f t="shared" si="1"/>
        <v>0</v>
      </c>
      <c r="F213" s="104">
        <f t="shared" si="2"/>
        <v>0</v>
      </c>
      <c r="G213" s="107">
        <f t="shared" si="3"/>
        <v>0</v>
      </c>
      <c r="H213" s="108">
        <f t="shared" si="4"/>
        <v>0</v>
      </c>
      <c r="I213" s="104">
        <f t="shared" si="5"/>
        <v>0</v>
      </c>
      <c r="J213" s="108">
        <f t="shared" si="6"/>
        <v>0</v>
      </c>
      <c r="K213" s="111">
        <f t="shared" si="7"/>
        <v>0</v>
      </c>
      <c r="L213" s="108">
        <f t="shared" si="8"/>
        <v>0</v>
      </c>
      <c r="M213" s="102"/>
      <c r="N213" s="111">
        <f t="shared" si="9"/>
        <v>0</v>
      </c>
      <c r="O213" s="111">
        <f t="shared" si="10"/>
        <v>0</v>
      </c>
      <c r="P213" s="111">
        <f t="shared" si="11"/>
        <v>0</v>
      </c>
      <c r="Q213" s="111">
        <f t="shared" si="12"/>
        <v>0</v>
      </c>
      <c r="R213" s="102"/>
    </row>
    <row r="214">
      <c r="A214" s="106">
        <f>IFERROR(YEAR(SalarioPromedio!B214),"")</f>
        <v>1899</v>
      </c>
      <c r="B214" s="106" t="str">
        <f>SalarioPromedio!D214</f>
        <v/>
      </c>
      <c r="C214" s="105">
        <f>IF(SalarioPromedio!B214="",0,SalarioPromedio!C214-SalarioPromedio!B214+1)</f>
        <v>0</v>
      </c>
      <c r="D214" s="104">
        <f>IF(SalarioPromedio!B214="",0,C214*B214)</f>
        <v>0</v>
      </c>
      <c r="E214" s="104">
        <f t="shared" si="1"/>
        <v>0</v>
      </c>
      <c r="F214" s="104">
        <f t="shared" si="2"/>
        <v>0</v>
      </c>
      <c r="G214" s="107">
        <f t="shared" si="3"/>
        <v>0</v>
      </c>
      <c r="H214" s="108">
        <f t="shared" si="4"/>
        <v>0</v>
      </c>
      <c r="I214" s="104">
        <f t="shared" si="5"/>
        <v>0</v>
      </c>
      <c r="J214" s="108">
        <f t="shared" si="6"/>
        <v>0</v>
      </c>
      <c r="K214" s="111">
        <f t="shared" si="7"/>
        <v>0</v>
      </c>
      <c r="L214" s="108">
        <f t="shared" si="8"/>
        <v>0</v>
      </c>
      <c r="M214" s="102"/>
      <c r="N214" s="111">
        <f t="shared" si="9"/>
        <v>0</v>
      </c>
      <c r="O214" s="111">
        <f t="shared" si="10"/>
        <v>0</v>
      </c>
      <c r="P214" s="111">
        <f t="shared" si="11"/>
        <v>0</v>
      </c>
      <c r="Q214" s="111">
        <f t="shared" si="12"/>
        <v>0</v>
      </c>
      <c r="R214" s="102"/>
    </row>
    <row r="215">
      <c r="A215" s="106">
        <f>IFERROR(YEAR(SalarioPromedio!B215),"")</f>
        <v>1899</v>
      </c>
      <c r="B215" s="106" t="str">
        <f>SalarioPromedio!D215</f>
        <v/>
      </c>
      <c r="C215" s="105">
        <f>IF(SalarioPromedio!B215="",0,SalarioPromedio!C215-SalarioPromedio!B215+1)</f>
        <v>0</v>
      </c>
      <c r="D215" s="104">
        <f>IF(SalarioPromedio!B215="",0,C215*B215)</f>
        <v>0</v>
      </c>
      <c r="E215" s="104">
        <f t="shared" si="1"/>
        <v>0</v>
      </c>
      <c r="F215" s="104">
        <f t="shared" si="2"/>
        <v>0</v>
      </c>
      <c r="G215" s="107">
        <f t="shared" si="3"/>
        <v>0</v>
      </c>
      <c r="H215" s="108">
        <f t="shared" si="4"/>
        <v>0</v>
      </c>
      <c r="I215" s="104">
        <f t="shared" si="5"/>
        <v>0</v>
      </c>
      <c r="J215" s="108">
        <f t="shared" si="6"/>
        <v>0</v>
      </c>
      <c r="K215" s="111">
        <f t="shared" si="7"/>
        <v>0</v>
      </c>
      <c r="L215" s="108">
        <f t="shared" si="8"/>
        <v>0</v>
      </c>
      <c r="M215" s="102"/>
      <c r="N215" s="111">
        <f t="shared" si="9"/>
        <v>0</v>
      </c>
      <c r="O215" s="111">
        <f t="shared" si="10"/>
        <v>0</v>
      </c>
      <c r="P215" s="111">
        <f t="shared" si="11"/>
        <v>0</v>
      </c>
      <c r="Q215" s="111">
        <f t="shared" si="12"/>
        <v>0</v>
      </c>
      <c r="R215" s="102"/>
    </row>
    <row r="216">
      <c r="A216" s="106">
        <f>IFERROR(YEAR(SalarioPromedio!B216),"")</f>
        <v>1899</v>
      </c>
      <c r="B216" s="106" t="str">
        <f>SalarioPromedio!D216</f>
        <v/>
      </c>
      <c r="C216" s="105">
        <f>IF(SalarioPromedio!B216="",0,SalarioPromedio!C216-SalarioPromedio!B216+1)</f>
        <v>0</v>
      </c>
      <c r="D216" s="104">
        <f>IF(SalarioPromedio!B216="",0,C216*B216)</f>
        <v>0</v>
      </c>
      <c r="E216" s="104">
        <f t="shared" si="1"/>
        <v>0</v>
      </c>
      <c r="F216" s="104">
        <f t="shared" si="2"/>
        <v>0</v>
      </c>
      <c r="G216" s="107">
        <f t="shared" si="3"/>
        <v>0</v>
      </c>
      <c r="H216" s="108">
        <f t="shared" si="4"/>
        <v>0</v>
      </c>
      <c r="I216" s="104">
        <f t="shared" si="5"/>
        <v>0</v>
      </c>
      <c r="J216" s="108">
        <f t="shared" si="6"/>
        <v>0</v>
      </c>
      <c r="K216" s="111">
        <f t="shared" si="7"/>
        <v>0</v>
      </c>
      <c r="L216" s="108">
        <f t="shared" si="8"/>
        <v>0</v>
      </c>
      <c r="M216" s="102"/>
      <c r="N216" s="111">
        <f t="shared" si="9"/>
        <v>0</v>
      </c>
      <c r="O216" s="111">
        <f t="shared" si="10"/>
        <v>0</v>
      </c>
      <c r="P216" s="111">
        <f t="shared" si="11"/>
        <v>0</v>
      </c>
      <c r="Q216" s="111">
        <f t="shared" si="12"/>
        <v>0</v>
      </c>
      <c r="R216" s="102"/>
    </row>
    <row r="217">
      <c r="A217" s="106">
        <f>IFERROR(YEAR(SalarioPromedio!B217),"")</f>
        <v>1899</v>
      </c>
      <c r="B217" s="106" t="str">
        <f>SalarioPromedio!D217</f>
        <v/>
      </c>
      <c r="C217" s="105">
        <f>IF(SalarioPromedio!B217="",0,SalarioPromedio!C217-SalarioPromedio!B217+1)</f>
        <v>0</v>
      </c>
      <c r="D217" s="104">
        <f>IF(SalarioPromedio!B217="",0,C217*B217)</f>
        <v>0</v>
      </c>
      <c r="E217" s="104">
        <f t="shared" si="1"/>
        <v>0</v>
      </c>
      <c r="F217" s="104">
        <f t="shared" si="2"/>
        <v>0</v>
      </c>
      <c r="G217" s="107">
        <f t="shared" si="3"/>
        <v>0</v>
      </c>
      <c r="H217" s="108">
        <f t="shared" si="4"/>
        <v>0</v>
      </c>
      <c r="I217" s="104">
        <f t="shared" si="5"/>
        <v>0</v>
      </c>
      <c r="J217" s="108">
        <f t="shared" si="6"/>
        <v>0</v>
      </c>
      <c r="K217" s="111">
        <f t="shared" si="7"/>
        <v>0</v>
      </c>
      <c r="L217" s="108">
        <f t="shared" si="8"/>
        <v>0</v>
      </c>
      <c r="M217" s="102"/>
      <c r="N217" s="111">
        <f t="shared" si="9"/>
        <v>0</v>
      </c>
      <c r="O217" s="111">
        <f t="shared" si="10"/>
        <v>0</v>
      </c>
      <c r="P217" s="111">
        <f t="shared" si="11"/>
        <v>0</v>
      </c>
      <c r="Q217" s="111">
        <f t="shared" si="12"/>
        <v>0</v>
      </c>
      <c r="R217" s="102"/>
    </row>
    <row r="218">
      <c r="A218" s="106">
        <f>IFERROR(YEAR(SalarioPromedio!B218),"")</f>
        <v>1899</v>
      </c>
      <c r="B218" s="106" t="str">
        <f>SalarioPromedio!D218</f>
        <v/>
      </c>
      <c r="C218" s="105">
        <f>IF(SalarioPromedio!B218="",0,SalarioPromedio!C218-SalarioPromedio!B218+1)</f>
        <v>0</v>
      </c>
      <c r="D218" s="104">
        <f>IF(SalarioPromedio!B218="",0,C218*B218)</f>
        <v>0</v>
      </c>
      <c r="E218" s="104">
        <f t="shared" si="1"/>
        <v>0</v>
      </c>
      <c r="F218" s="104">
        <f t="shared" si="2"/>
        <v>0</v>
      </c>
      <c r="G218" s="107">
        <f t="shared" si="3"/>
        <v>0</v>
      </c>
      <c r="H218" s="108">
        <f t="shared" si="4"/>
        <v>0</v>
      </c>
      <c r="I218" s="104">
        <f t="shared" si="5"/>
        <v>0</v>
      </c>
      <c r="J218" s="108">
        <f t="shared" si="6"/>
        <v>0</v>
      </c>
      <c r="K218" s="111">
        <f t="shared" si="7"/>
        <v>0</v>
      </c>
      <c r="L218" s="108">
        <f t="shared" si="8"/>
        <v>0</v>
      </c>
      <c r="M218" s="102"/>
      <c r="N218" s="111">
        <f t="shared" si="9"/>
        <v>0</v>
      </c>
      <c r="O218" s="111">
        <f t="shared" si="10"/>
        <v>0</v>
      </c>
      <c r="P218" s="111">
        <f t="shared" si="11"/>
        <v>0</v>
      </c>
      <c r="Q218" s="111">
        <f t="shared" si="12"/>
        <v>0</v>
      </c>
      <c r="R218" s="102"/>
    </row>
    <row r="219">
      <c r="A219" s="106">
        <f>IFERROR(YEAR(SalarioPromedio!B219),"")</f>
        <v>1899</v>
      </c>
      <c r="B219" s="106" t="str">
        <f>SalarioPromedio!D219</f>
        <v/>
      </c>
      <c r="C219" s="105">
        <f>IF(SalarioPromedio!B219="",0,SalarioPromedio!C219-SalarioPromedio!B219+1)</f>
        <v>0</v>
      </c>
      <c r="D219" s="104">
        <f>IF(SalarioPromedio!B219="",0,C219*B219)</f>
        <v>0</v>
      </c>
      <c r="E219" s="104">
        <f t="shared" si="1"/>
        <v>0</v>
      </c>
      <c r="F219" s="104">
        <f t="shared" si="2"/>
        <v>0</v>
      </c>
      <c r="G219" s="107">
        <f t="shared" si="3"/>
        <v>0</v>
      </c>
      <c r="H219" s="108">
        <f t="shared" si="4"/>
        <v>0</v>
      </c>
      <c r="I219" s="104">
        <f t="shared" si="5"/>
        <v>0</v>
      </c>
      <c r="J219" s="108">
        <f t="shared" si="6"/>
        <v>0</v>
      </c>
      <c r="K219" s="111">
        <f t="shared" si="7"/>
        <v>0</v>
      </c>
      <c r="L219" s="108">
        <f t="shared" si="8"/>
        <v>0</v>
      </c>
      <c r="M219" s="102"/>
      <c r="N219" s="111">
        <f t="shared" si="9"/>
        <v>0</v>
      </c>
      <c r="O219" s="111">
        <f t="shared" si="10"/>
        <v>0</v>
      </c>
      <c r="P219" s="111">
        <f t="shared" si="11"/>
        <v>0</v>
      </c>
      <c r="Q219" s="111">
        <f t="shared" si="12"/>
        <v>0</v>
      </c>
      <c r="R219" s="102"/>
    </row>
    <row r="220">
      <c r="A220" s="106">
        <f>IFERROR(YEAR(SalarioPromedio!B220),"")</f>
        <v>1899</v>
      </c>
      <c r="B220" s="106" t="str">
        <f>SalarioPromedio!D220</f>
        <v/>
      </c>
      <c r="C220" s="105">
        <f>IF(SalarioPromedio!B220="",0,SalarioPromedio!C220-SalarioPromedio!B220+1)</f>
        <v>0</v>
      </c>
      <c r="D220" s="104">
        <f>IF(SalarioPromedio!B220="",0,C220*B220)</f>
        <v>0</v>
      </c>
      <c r="E220" s="104">
        <f t="shared" si="1"/>
        <v>0</v>
      </c>
      <c r="F220" s="104">
        <f t="shared" si="2"/>
        <v>0</v>
      </c>
      <c r="G220" s="107">
        <f t="shared" si="3"/>
        <v>0</v>
      </c>
      <c r="H220" s="108">
        <f t="shared" si="4"/>
        <v>0</v>
      </c>
      <c r="I220" s="104">
        <f t="shared" si="5"/>
        <v>0</v>
      </c>
      <c r="J220" s="108">
        <f t="shared" si="6"/>
        <v>0</v>
      </c>
      <c r="K220" s="111">
        <f t="shared" si="7"/>
        <v>0</v>
      </c>
      <c r="L220" s="108">
        <f t="shared" si="8"/>
        <v>0</v>
      </c>
      <c r="M220" s="102"/>
      <c r="N220" s="111">
        <f t="shared" si="9"/>
        <v>0</v>
      </c>
      <c r="O220" s="111">
        <f t="shared" si="10"/>
        <v>0</v>
      </c>
      <c r="P220" s="111">
        <f t="shared" si="11"/>
        <v>0</v>
      </c>
      <c r="Q220" s="111">
        <f t="shared" si="12"/>
        <v>0</v>
      </c>
      <c r="R220" s="102"/>
    </row>
    <row r="221">
      <c r="A221" s="106">
        <f>IFERROR(YEAR(SalarioPromedio!B221),"")</f>
        <v>1899</v>
      </c>
      <c r="B221" s="106" t="str">
        <f>SalarioPromedio!D221</f>
        <v/>
      </c>
      <c r="C221" s="105">
        <f>IF(SalarioPromedio!B221="",0,SalarioPromedio!C221-SalarioPromedio!B221+1)</f>
        <v>0</v>
      </c>
      <c r="D221" s="104">
        <f>IF(SalarioPromedio!B221="",0,C221*B221)</f>
        <v>0</v>
      </c>
      <c r="E221" s="104">
        <f t="shared" si="1"/>
        <v>0</v>
      </c>
      <c r="F221" s="104">
        <f t="shared" si="2"/>
        <v>0</v>
      </c>
      <c r="G221" s="107">
        <f t="shared" si="3"/>
        <v>0</v>
      </c>
      <c r="H221" s="108">
        <f t="shared" si="4"/>
        <v>0</v>
      </c>
      <c r="I221" s="104">
        <f t="shared" si="5"/>
        <v>0</v>
      </c>
      <c r="J221" s="108">
        <f t="shared" si="6"/>
        <v>0</v>
      </c>
      <c r="K221" s="111">
        <f t="shared" si="7"/>
        <v>0</v>
      </c>
      <c r="L221" s="108">
        <f t="shared" si="8"/>
        <v>0</v>
      </c>
      <c r="M221" s="102"/>
      <c r="N221" s="111">
        <f t="shared" si="9"/>
        <v>0</v>
      </c>
      <c r="O221" s="111">
        <f t="shared" si="10"/>
        <v>0</v>
      </c>
      <c r="P221" s="111">
        <f t="shared" si="11"/>
        <v>0</v>
      </c>
      <c r="Q221" s="111">
        <f t="shared" si="12"/>
        <v>0</v>
      </c>
      <c r="R221" s="102"/>
    </row>
    <row r="222">
      <c r="A222" s="106">
        <f>IFERROR(YEAR(SalarioPromedio!B222),"")</f>
        <v>1899</v>
      </c>
      <c r="B222" s="106" t="str">
        <f>SalarioPromedio!D222</f>
        <v/>
      </c>
      <c r="C222" s="105">
        <f>IF(SalarioPromedio!B222="",0,SalarioPromedio!C222-SalarioPromedio!B222+1)</f>
        <v>0</v>
      </c>
      <c r="D222" s="104">
        <f>IF(SalarioPromedio!B222="",0,C222*B222)</f>
        <v>0</v>
      </c>
      <c r="E222" s="104">
        <f t="shared" si="1"/>
        <v>0</v>
      </c>
      <c r="F222" s="104">
        <f t="shared" si="2"/>
        <v>0</v>
      </c>
      <c r="G222" s="107">
        <f t="shared" si="3"/>
        <v>0</v>
      </c>
      <c r="H222" s="108">
        <f t="shared" si="4"/>
        <v>0</v>
      </c>
      <c r="I222" s="104">
        <f t="shared" si="5"/>
        <v>0</v>
      </c>
      <c r="J222" s="108">
        <f t="shared" si="6"/>
        <v>0</v>
      </c>
      <c r="K222" s="111">
        <f t="shared" si="7"/>
        <v>0</v>
      </c>
      <c r="L222" s="108">
        <f t="shared" si="8"/>
        <v>0</v>
      </c>
      <c r="M222" s="102"/>
      <c r="N222" s="111">
        <f t="shared" si="9"/>
        <v>0</v>
      </c>
      <c r="O222" s="111">
        <f t="shared" si="10"/>
        <v>0</v>
      </c>
      <c r="P222" s="111">
        <f t="shared" si="11"/>
        <v>0</v>
      </c>
      <c r="Q222" s="111">
        <f t="shared" si="12"/>
        <v>0</v>
      </c>
      <c r="R222" s="102"/>
    </row>
    <row r="223">
      <c r="A223" s="106">
        <f>IFERROR(YEAR(SalarioPromedio!B223),"")</f>
        <v>1899</v>
      </c>
      <c r="B223" s="106" t="str">
        <f>SalarioPromedio!D223</f>
        <v/>
      </c>
      <c r="C223" s="105">
        <f>IF(SalarioPromedio!B223="",0,SalarioPromedio!C223-SalarioPromedio!B223+1)</f>
        <v>0</v>
      </c>
      <c r="D223" s="104">
        <f>IF(SalarioPromedio!B223="",0,C223*B223)</f>
        <v>0</v>
      </c>
      <c r="E223" s="104">
        <f t="shared" si="1"/>
        <v>0</v>
      </c>
      <c r="F223" s="104">
        <f t="shared" si="2"/>
        <v>0</v>
      </c>
      <c r="G223" s="107">
        <f t="shared" si="3"/>
        <v>0</v>
      </c>
      <c r="H223" s="108">
        <f t="shared" si="4"/>
        <v>0</v>
      </c>
      <c r="I223" s="104">
        <f t="shared" si="5"/>
        <v>0</v>
      </c>
      <c r="J223" s="108">
        <f t="shared" si="6"/>
        <v>0</v>
      </c>
      <c r="K223" s="111">
        <f t="shared" si="7"/>
        <v>0</v>
      </c>
      <c r="L223" s="108">
        <f t="shared" si="8"/>
        <v>0</v>
      </c>
      <c r="M223" s="102"/>
      <c r="N223" s="111">
        <f t="shared" si="9"/>
        <v>0</v>
      </c>
      <c r="O223" s="111">
        <f t="shared" si="10"/>
        <v>0</v>
      </c>
      <c r="P223" s="111">
        <f t="shared" si="11"/>
        <v>0</v>
      </c>
      <c r="Q223" s="111">
        <f t="shared" si="12"/>
        <v>0</v>
      </c>
      <c r="R223" s="102"/>
    </row>
    <row r="224">
      <c r="A224" s="106">
        <f>IFERROR(YEAR(SalarioPromedio!B224),"")</f>
        <v>1899</v>
      </c>
      <c r="B224" s="106" t="str">
        <f>SalarioPromedio!D224</f>
        <v/>
      </c>
      <c r="C224" s="105">
        <f>IF(SalarioPromedio!B224="",0,SalarioPromedio!C224-SalarioPromedio!B224+1)</f>
        <v>0</v>
      </c>
      <c r="D224" s="104">
        <f>IF(SalarioPromedio!B224="",0,C224*B224)</f>
        <v>0</v>
      </c>
      <c r="E224" s="104">
        <f t="shared" si="1"/>
        <v>0</v>
      </c>
      <c r="F224" s="104">
        <f t="shared" si="2"/>
        <v>0</v>
      </c>
      <c r="G224" s="107">
        <f t="shared" si="3"/>
        <v>0</v>
      </c>
      <c r="H224" s="108">
        <f t="shared" si="4"/>
        <v>0</v>
      </c>
      <c r="I224" s="104">
        <f t="shared" si="5"/>
        <v>0</v>
      </c>
      <c r="J224" s="108">
        <f t="shared" si="6"/>
        <v>0</v>
      </c>
      <c r="K224" s="111">
        <f t="shared" si="7"/>
        <v>0</v>
      </c>
      <c r="L224" s="108">
        <f t="shared" si="8"/>
        <v>0</v>
      </c>
      <c r="M224" s="102"/>
      <c r="N224" s="111">
        <f t="shared" si="9"/>
        <v>0</v>
      </c>
      <c r="O224" s="111">
        <f t="shared" si="10"/>
        <v>0</v>
      </c>
      <c r="P224" s="111">
        <f t="shared" si="11"/>
        <v>0</v>
      </c>
      <c r="Q224" s="111">
        <f t="shared" si="12"/>
        <v>0</v>
      </c>
      <c r="R224" s="102"/>
    </row>
    <row r="225">
      <c r="A225" s="106">
        <f>IFERROR(YEAR(SalarioPromedio!B225),"")</f>
        <v>1899</v>
      </c>
      <c r="B225" s="106" t="str">
        <f>SalarioPromedio!D225</f>
        <v/>
      </c>
      <c r="C225" s="105">
        <f>IF(SalarioPromedio!B225="",0,SalarioPromedio!C225-SalarioPromedio!B225+1)</f>
        <v>0</v>
      </c>
      <c r="D225" s="104">
        <f>IF(SalarioPromedio!B225="",0,C225*B225)</f>
        <v>0</v>
      </c>
      <c r="E225" s="104">
        <f t="shared" si="1"/>
        <v>0</v>
      </c>
      <c r="F225" s="104">
        <f t="shared" si="2"/>
        <v>0</v>
      </c>
      <c r="G225" s="107">
        <f t="shared" si="3"/>
        <v>0</v>
      </c>
      <c r="H225" s="108">
        <f t="shared" si="4"/>
        <v>0</v>
      </c>
      <c r="I225" s="104">
        <f t="shared" si="5"/>
        <v>0</v>
      </c>
      <c r="J225" s="108">
        <f t="shared" si="6"/>
        <v>0</v>
      </c>
      <c r="K225" s="111">
        <f t="shared" si="7"/>
        <v>0</v>
      </c>
      <c r="L225" s="108">
        <f t="shared" si="8"/>
        <v>0</v>
      </c>
      <c r="M225" s="102"/>
      <c r="N225" s="111">
        <f t="shared" si="9"/>
        <v>0</v>
      </c>
      <c r="O225" s="111">
        <f t="shared" si="10"/>
        <v>0</v>
      </c>
      <c r="P225" s="111">
        <f t="shared" si="11"/>
        <v>0</v>
      </c>
      <c r="Q225" s="111">
        <f t="shared" si="12"/>
        <v>0</v>
      </c>
      <c r="R225" s="102"/>
    </row>
    <row r="226">
      <c r="A226" s="106">
        <f>IFERROR(YEAR(SalarioPromedio!B226),"")</f>
        <v>1899</v>
      </c>
      <c r="B226" s="106" t="str">
        <f>SalarioPromedio!D226</f>
        <v/>
      </c>
      <c r="C226" s="105">
        <f>IF(SalarioPromedio!B226="",0,SalarioPromedio!C226-SalarioPromedio!B226+1)</f>
        <v>0</v>
      </c>
      <c r="D226" s="104">
        <f>IF(SalarioPromedio!B226="",0,C226*B226)</f>
        <v>0</v>
      </c>
      <c r="E226" s="104">
        <f t="shared" si="1"/>
        <v>0</v>
      </c>
      <c r="F226" s="104">
        <f t="shared" si="2"/>
        <v>0</v>
      </c>
      <c r="G226" s="107">
        <f t="shared" si="3"/>
        <v>0</v>
      </c>
      <c r="H226" s="108">
        <f t="shared" si="4"/>
        <v>0</v>
      </c>
      <c r="I226" s="104">
        <f t="shared" si="5"/>
        <v>0</v>
      </c>
      <c r="J226" s="108">
        <f t="shared" si="6"/>
        <v>0</v>
      </c>
      <c r="K226" s="111">
        <f t="shared" si="7"/>
        <v>0</v>
      </c>
      <c r="L226" s="108">
        <f t="shared" si="8"/>
        <v>0</v>
      </c>
      <c r="M226" s="102"/>
      <c r="N226" s="111">
        <f t="shared" si="9"/>
        <v>0</v>
      </c>
      <c r="O226" s="111">
        <f t="shared" si="10"/>
        <v>0</v>
      </c>
      <c r="P226" s="111">
        <f t="shared" si="11"/>
        <v>0</v>
      </c>
      <c r="Q226" s="111">
        <f t="shared" si="12"/>
        <v>0</v>
      </c>
      <c r="R226" s="102"/>
    </row>
    <row r="227">
      <c r="A227" s="106">
        <f>IFERROR(YEAR(SalarioPromedio!B227),"")</f>
        <v>1899</v>
      </c>
      <c r="B227" s="106" t="str">
        <f>SalarioPromedio!D227</f>
        <v/>
      </c>
      <c r="C227" s="105">
        <f>IF(SalarioPromedio!B227="",0,SalarioPromedio!C227-SalarioPromedio!B227+1)</f>
        <v>0</v>
      </c>
      <c r="D227" s="104">
        <f>IF(SalarioPromedio!B227="",0,C227*B227)</f>
        <v>0</v>
      </c>
      <c r="E227" s="104">
        <f t="shared" si="1"/>
        <v>0</v>
      </c>
      <c r="F227" s="104">
        <f t="shared" si="2"/>
        <v>0</v>
      </c>
      <c r="G227" s="107">
        <f t="shared" si="3"/>
        <v>0</v>
      </c>
      <c r="H227" s="108">
        <f t="shared" si="4"/>
        <v>0</v>
      </c>
      <c r="I227" s="104">
        <f t="shared" si="5"/>
        <v>0</v>
      </c>
      <c r="J227" s="108">
        <f t="shared" si="6"/>
        <v>0</v>
      </c>
      <c r="K227" s="111">
        <f t="shared" si="7"/>
        <v>0</v>
      </c>
      <c r="L227" s="108">
        <f t="shared" si="8"/>
        <v>0</v>
      </c>
      <c r="M227" s="102"/>
      <c r="N227" s="111">
        <f t="shared" si="9"/>
        <v>0</v>
      </c>
      <c r="O227" s="111">
        <f t="shared" si="10"/>
        <v>0</v>
      </c>
      <c r="P227" s="111">
        <f t="shared" si="11"/>
        <v>0</v>
      </c>
      <c r="Q227" s="111">
        <f t="shared" si="12"/>
        <v>0</v>
      </c>
      <c r="R227" s="102"/>
    </row>
    <row r="228">
      <c r="A228" s="106">
        <f>IFERROR(YEAR(SalarioPromedio!B228),"")</f>
        <v>1899</v>
      </c>
      <c r="B228" s="106" t="str">
        <f>SalarioPromedio!D228</f>
        <v/>
      </c>
      <c r="C228" s="105">
        <f>IF(SalarioPromedio!B228="",0,SalarioPromedio!C228-SalarioPromedio!B228+1)</f>
        <v>0</v>
      </c>
      <c r="D228" s="104">
        <f>IF(SalarioPromedio!B228="",0,C228*B228)</f>
        <v>0</v>
      </c>
      <c r="E228" s="104">
        <f t="shared" si="1"/>
        <v>0</v>
      </c>
      <c r="F228" s="104">
        <f t="shared" si="2"/>
        <v>0</v>
      </c>
      <c r="G228" s="107">
        <f t="shared" si="3"/>
        <v>0</v>
      </c>
      <c r="H228" s="108">
        <f t="shared" si="4"/>
        <v>0</v>
      </c>
      <c r="I228" s="104">
        <f t="shared" si="5"/>
        <v>0</v>
      </c>
      <c r="J228" s="108">
        <f t="shared" si="6"/>
        <v>0</v>
      </c>
      <c r="K228" s="111">
        <f t="shared" si="7"/>
        <v>0</v>
      </c>
      <c r="L228" s="108">
        <f t="shared" si="8"/>
        <v>0</v>
      </c>
      <c r="M228" s="102"/>
      <c r="N228" s="111">
        <f t="shared" si="9"/>
        <v>0</v>
      </c>
      <c r="O228" s="111">
        <f t="shared" si="10"/>
        <v>0</v>
      </c>
      <c r="P228" s="111">
        <f t="shared" si="11"/>
        <v>0</v>
      </c>
      <c r="Q228" s="111">
        <f t="shared" si="12"/>
        <v>0</v>
      </c>
      <c r="R228" s="102"/>
    </row>
    <row r="229">
      <c r="A229" s="106">
        <f>IFERROR(YEAR(SalarioPromedio!B229),"")</f>
        <v>1899</v>
      </c>
      <c r="B229" s="106" t="str">
        <f>SalarioPromedio!D229</f>
        <v/>
      </c>
      <c r="C229" s="105">
        <f>IF(SalarioPromedio!B229="",0,SalarioPromedio!C229-SalarioPromedio!B229+1)</f>
        <v>0</v>
      </c>
      <c r="D229" s="104">
        <f>IF(SalarioPromedio!B229="",0,C229*B229)</f>
        <v>0</v>
      </c>
      <c r="E229" s="104">
        <f t="shared" si="1"/>
        <v>0</v>
      </c>
      <c r="F229" s="104">
        <f t="shared" si="2"/>
        <v>0</v>
      </c>
      <c r="G229" s="107">
        <f t="shared" si="3"/>
        <v>0</v>
      </c>
      <c r="H229" s="108">
        <f t="shared" si="4"/>
        <v>0</v>
      </c>
      <c r="I229" s="104">
        <f t="shared" si="5"/>
        <v>0</v>
      </c>
      <c r="J229" s="108">
        <f t="shared" si="6"/>
        <v>0</v>
      </c>
      <c r="K229" s="111">
        <f t="shared" si="7"/>
        <v>0</v>
      </c>
      <c r="L229" s="108">
        <f t="shared" si="8"/>
        <v>0</v>
      </c>
      <c r="M229" s="102"/>
      <c r="N229" s="111">
        <f t="shared" si="9"/>
        <v>0</v>
      </c>
      <c r="O229" s="111">
        <f t="shared" si="10"/>
        <v>0</v>
      </c>
      <c r="P229" s="111">
        <f t="shared" si="11"/>
        <v>0</v>
      </c>
      <c r="Q229" s="111">
        <f t="shared" si="12"/>
        <v>0</v>
      </c>
      <c r="R229" s="102"/>
    </row>
    <row r="230">
      <c r="A230" s="106">
        <f>IFERROR(YEAR(SalarioPromedio!B230),"")</f>
        <v>1899</v>
      </c>
      <c r="B230" s="106" t="str">
        <f>SalarioPromedio!D230</f>
        <v/>
      </c>
      <c r="C230" s="105">
        <f>IF(SalarioPromedio!B230="",0,SalarioPromedio!C230-SalarioPromedio!B230+1)</f>
        <v>0</v>
      </c>
      <c r="D230" s="104">
        <f>IF(SalarioPromedio!B230="",0,C230*B230)</f>
        <v>0</v>
      </c>
      <c r="E230" s="104">
        <f t="shared" si="1"/>
        <v>0</v>
      </c>
      <c r="F230" s="104">
        <f t="shared" si="2"/>
        <v>0</v>
      </c>
      <c r="G230" s="107">
        <f t="shared" si="3"/>
        <v>0</v>
      </c>
      <c r="H230" s="108">
        <f t="shared" si="4"/>
        <v>0</v>
      </c>
      <c r="I230" s="104">
        <f t="shared" si="5"/>
        <v>0</v>
      </c>
      <c r="J230" s="108">
        <f t="shared" si="6"/>
        <v>0</v>
      </c>
      <c r="K230" s="111">
        <f t="shared" si="7"/>
        <v>0</v>
      </c>
      <c r="L230" s="108">
        <f t="shared" si="8"/>
        <v>0</v>
      </c>
      <c r="M230" s="102"/>
      <c r="N230" s="111">
        <f t="shared" si="9"/>
        <v>0</v>
      </c>
      <c r="O230" s="111">
        <f t="shared" si="10"/>
        <v>0</v>
      </c>
      <c r="P230" s="111">
        <f t="shared" si="11"/>
        <v>0</v>
      </c>
      <c r="Q230" s="111">
        <f t="shared" si="12"/>
        <v>0</v>
      </c>
      <c r="R230" s="102"/>
    </row>
    <row r="231">
      <c r="A231" s="106">
        <f>IFERROR(YEAR(SalarioPromedio!B231),"")</f>
        <v>1899</v>
      </c>
      <c r="B231" s="106" t="str">
        <f>SalarioPromedio!D231</f>
        <v/>
      </c>
      <c r="C231" s="105">
        <f>IF(SalarioPromedio!B231="",0,SalarioPromedio!C231-SalarioPromedio!B231+1)</f>
        <v>0</v>
      </c>
      <c r="D231" s="104">
        <f>IF(SalarioPromedio!B231="",0,C231*B231)</f>
        <v>0</v>
      </c>
      <c r="E231" s="104">
        <f t="shared" si="1"/>
        <v>0</v>
      </c>
      <c r="F231" s="104">
        <f t="shared" si="2"/>
        <v>0</v>
      </c>
      <c r="G231" s="107">
        <f t="shared" si="3"/>
        <v>0</v>
      </c>
      <c r="H231" s="108">
        <f t="shared" si="4"/>
        <v>0</v>
      </c>
      <c r="I231" s="104">
        <f t="shared" si="5"/>
        <v>0</v>
      </c>
      <c r="J231" s="108">
        <f t="shared" si="6"/>
        <v>0</v>
      </c>
      <c r="K231" s="111">
        <f t="shared" si="7"/>
        <v>0</v>
      </c>
      <c r="L231" s="108">
        <f t="shared" si="8"/>
        <v>0</v>
      </c>
      <c r="M231" s="102"/>
      <c r="N231" s="111">
        <f t="shared" si="9"/>
        <v>0</v>
      </c>
      <c r="O231" s="111">
        <f t="shared" si="10"/>
        <v>0</v>
      </c>
      <c r="P231" s="111">
        <f t="shared" si="11"/>
        <v>0</v>
      </c>
      <c r="Q231" s="111">
        <f t="shared" si="12"/>
        <v>0</v>
      </c>
      <c r="R231" s="102"/>
    </row>
    <row r="232">
      <c r="A232" s="106">
        <f>IFERROR(YEAR(SalarioPromedio!B232),"")</f>
        <v>1899</v>
      </c>
      <c r="B232" s="106" t="str">
        <f>SalarioPromedio!D232</f>
        <v/>
      </c>
      <c r="C232" s="105">
        <f>IF(SalarioPromedio!B232="",0,SalarioPromedio!C232-SalarioPromedio!B232+1)</f>
        <v>0</v>
      </c>
      <c r="D232" s="104">
        <f>IF(SalarioPromedio!B232="",0,C232*B232)</f>
        <v>0</v>
      </c>
      <c r="E232" s="104">
        <f t="shared" si="1"/>
        <v>0</v>
      </c>
      <c r="F232" s="104">
        <f t="shared" si="2"/>
        <v>0</v>
      </c>
      <c r="G232" s="107">
        <f t="shared" si="3"/>
        <v>0</v>
      </c>
      <c r="H232" s="108">
        <f t="shared" si="4"/>
        <v>0</v>
      </c>
      <c r="I232" s="104">
        <f t="shared" si="5"/>
        <v>0</v>
      </c>
      <c r="J232" s="108">
        <f t="shared" si="6"/>
        <v>0</v>
      </c>
      <c r="K232" s="111">
        <f t="shared" si="7"/>
        <v>0</v>
      </c>
      <c r="L232" s="108">
        <f t="shared" si="8"/>
        <v>0</v>
      </c>
      <c r="M232" s="102"/>
      <c r="N232" s="111">
        <f t="shared" si="9"/>
        <v>0</v>
      </c>
      <c r="O232" s="111">
        <f t="shared" si="10"/>
        <v>0</v>
      </c>
      <c r="P232" s="111">
        <f t="shared" si="11"/>
        <v>0</v>
      </c>
      <c r="Q232" s="111">
        <f t="shared" si="12"/>
        <v>0</v>
      </c>
      <c r="R232" s="102"/>
    </row>
    <row r="233">
      <c r="A233" s="106">
        <f>IFERROR(YEAR(SalarioPromedio!B233),"")</f>
        <v>1899</v>
      </c>
      <c r="B233" s="106" t="str">
        <f>SalarioPromedio!D233</f>
        <v/>
      </c>
      <c r="C233" s="105">
        <f>IF(SalarioPromedio!B233="",0,SalarioPromedio!C233-SalarioPromedio!B233+1)</f>
        <v>0</v>
      </c>
      <c r="D233" s="104">
        <f>IF(SalarioPromedio!B233="",0,C233*B233)</f>
        <v>0</v>
      </c>
      <c r="E233" s="104">
        <f t="shared" si="1"/>
        <v>0</v>
      </c>
      <c r="F233" s="104">
        <f t="shared" si="2"/>
        <v>0</v>
      </c>
      <c r="G233" s="107">
        <f t="shared" si="3"/>
        <v>0</v>
      </c>
      <c r="H233" s="108">
        <f t="shared" si="4"/>
        <v>0</v>
      </c>
      <c r="I233" s="104">
        <f t="shared" si="5"/>
        <v>0</v>
      </c>
      <c r="J233" s="108">
        <f t="shared" si="6"/>
        <v>0</v>
      </c>
      <c r="K233" s="111">
        <f t="shared" si="7"/>
        <v>0</v>
      </c>
      <c r="L233" s="108">
        <f t="shared" si="8"/>
        <v>0</v>
      </c>
      <c r="M233" s="102"/>
      <c r="N233" s="111">
        <f t="shared" si="9"/>
        <v>0</v>
      </c>
      <c r="O233" s="111">
        <f t="shared" si="10"/>
        <v>0</v>
      </c>
      <c r="P233" s="111">
        <f t="shared" si="11"/>
        <v>0</v>
      </c>
      <c r="Q233" s="111">
        <f t="shared" si="12"/>
        <v>0</v>
      </c>
      <c r="R233" s="102"/>
    </row>
    <row r="234">
      <c r="A234" s="106">
        <f>IFERROR(YEAR(SalarioPromedio!B234),"")</f>
        <v>1899</v>
      </c>
      <c r="B234" s="106" t="str">
        <f>SalarioPromedio!D234</f>
        <v/>
      </c>
      <c r="C234" s="105">
        <f>IF(SalarioPromedio!B234="",0,SalarioPromedio!C234-SalarioPromedio!B234+1)</f>
        <v>0</v>
      </c>
      <c r="D234" s="104">
        <f>IF(SalarioPromedio!B234="",0,C234*B234)</f>
        <v>0</v>
      </c>
      <c r="E234" s="104">
        <f t="shared" si="1"/>
        <v>0</v>
      </c>
      <c r="F234" s="104">
        <f t="shared" si="2"/>
        <v>0</v>
      </c>
      <c r="G234" s="107">
        <f t="shared" si="3"/>
        <v>0</v>
      </c>
      <c r="H234" s="108">
        <f t="shared" si="4"/>
        <v>0</v>
      </c>
      <c r="I234" s="104">
        <f t="shared" si="5"/>
        <v>0</v>
      </c>
      <c r="J234" s="108">
        <f t="shared" si="6"/>
        <v>0</v>
      </c>
      <c r="K234" s="111">
        <f t="shared" si="7"/>
        <v>0</v>
      </c>
      <c r="L234" s="108">
        <f t="shared" si="8"/>
        <v>0</v>
      </c>
      <c r="M234" s="102"/>
      <c r="N234" s="111">
        <f t="shared" si="9"/>
        <v>0</v>
      </c>
      <c r="O234" s="111">
        <f t="shared" si="10"/>
        <v>0</v>
      </c>
      <c r="P234" s="111">
        <f t="shared" si="11"/>
        <v>0</v>
      </c>
      <c r="Q234" s="111">
        <f t="shared" si="12"/>
        <v>0</v>
      </c>
      <c r="R234" s="102"/>
    </row>
    <row r="235">
      <c r="A235" s="106">
        <f>IFERROR(YEAR(SalarioPromedio!B235),"")</f>
        <v>1899</v>
      </c>
      <c r="B235" s="106" t="str">
        <f>SalarioPromedio!D235</f>
        <v/>
      </c>
      <c r="C235" s="105">
        <f>IF(SalarioPromedio!B235="",0,SalarioPromedio!C235-SalarioPromedio!B235+1)</f>
        <v>0</v>
      </c>
      <c r="D235" s="104">
        <f>IF(SalarioPromedio!B235="",0,C235*B235)</f>
        <v>0</v>
      </c>
      <c r="E235" s="104">
        <f t="shared" si="1"/>
        <v>0</v>
      </c>
      <c r="F235" s="104">
        <f t="shared" si="2"/>
        <v>0</v>
      </c>
      <c r="G235" s="107">
        <f t="shared" si="3"/>
        <v>0</v>
      </c>
      <c r="H235" s="108">
        <f t="shared" si="4"/>
        <v>0</v>
      </c>
      <c r="I235" s="104">
        <f t="shared" si="5"/>
        <v>0</v>
      </c>
      <c r="J235" s="108">
        <f t="shared" si="6"/>
        <v>0</v>
      </c>
      <c r="K235" s="111">
        <f t="shared" si="7"/>
        <v>0</v>
      </c>
      <c r="L235" s="108">
        <f t="shared" si="8"/>
        <v>0</v>
      </c>
      <c r="M235" s="102"/>
      <c r="N235" s="111">
        <f t="shared" si="9"/>
        <v>0</v>
      </c>
      <c r="O235" s="111">
        <f t="shared" si="10"/>
        <v>0</v>
      </c>
      <c r="P235" s="111">
        <f t="shared" si="11"/>
        <v>0</v>
      </c>
      <c r="Q235" s="111">
        <f t="shared" si="12"/>
        <v>0</v>
      </c>
      <c r="R235" s="102"/>
    </row>
    <row r="236">
      <c r="A236" s="106">
        <f>IFERROR(YEAR(SalarioPromedio!B236),"")</f>
        <v>1899</v>
      </c>
      <c r="B236" s="106" t="str">
        <f>SalarioPromedio!D236</f>
        <v/>
      </c>
      <c r="C236" s="105">
        <f>IF(SalarioPromedio!B236="",0,SalarioPromedio!C236-SalarioPromedio!B236+1)</f>
        <v>0</v>
      </c>
      <c r="D236" s="104">
        <f>IF(SalarioPromedio!B236="",0,C236*B236)</f>
        <v>0</v>
      </c>
      <c r="E236" s="104">
        <f t="shared" si="1"/>
        <v>0</v>
      </c>
      <c r="F236" s="104">
        <f t="shared" si="2"/>
        <v>0</v>
      </c>
      <c r="G236" s="107">
        <f t="shared" si="3"/>
        <v>0</v>
      </c>
      <c r="H236" s="108">
        <f t="shared" si="4"/>
        <v>0</v>
      </c>
      <c r="I236" s="104">
        <f t="shared" si="5"/>
        <v>0</v>
      </c>
      <c r="J236" s="108">
        <f t="shared" si="6"/>
        <v>0</v>
      </c>
      <c r="K236" s="111">
        <f t="shared" si="7"/>
        <v>0</v>
      </c>
      <c r="L236" s="108">
        <f t="shared" si="8"/>
        <v>0</v>
      </c>
      <c r="M236" s="102"/>
      <c r="N236" s="111">
        <f t="shared" si="9"/>
        <v>0</v>
      </c>
      <c r="O236" s="111">
        <f t="shared" si="10"/>
        <v>0</v>
      </c>
      <c r="P236" s="111">
        <f t="shared" si="11"/>
        <v>0</v>
      </c>
      <c r="Q236" s="111">
        <f t="shared" si="12"/>
        <v>0</v>
      </c>
      <c r="R236" s="102"/>
    </row>
    <row r="237">
      <c r="A237" s="106">
        <f>IFERROR(YEAR(SalarioPromedio!B237),"")</f>
        <v>1899</v>
      </c>
      <c r="B237" s="106" t="str">
        <f>SalarioPromedio!D237</f>
        <v/>
      </c>
      <c r="C237" s="105">
        <f>IF(SalarioPromedio!B237="",0,SalarioPromedio!C237-SalarioPromedio!B237+1)</f>
        <v>0</v>
      </c>
      <c r="D237" s="104">
        <f>IF(SalarioPromedio!B237="",0,C237*B237)</f>
        <v>0</v>
      </c>
      <c r="E237" s="104">
        <f t="shared" si="1"/>
        <v>0</v>
      </c>
      <c r="F237" s="104">
        <f t="shared" si="2"/>
        <v>0</v>
      </c>
      <c r="G237" s="107">
        <f t="shared" si="3"/>
        <v>0</v>
      </c>
      <c r="H237" s="108">
        <f t="shared" si="4"/>
        <v>0</v>
      </c>
      <c r="I237" s="104">
        <f t="shared" si="5"/>
        <v>0</v>
      </c>
      <c r="J237" s="108">
        <f t="shared" si="6"/>
        <v>0</v>
      </c>
      <c r="K237" s="111">
        <f t="shared" si="7"/>
        <v>0</v>
      </c>
      <c r="L237" s="108">
        <f t="shared" si="8"/>
        <v>0</v>
      </c>
      <c r="M237" s="102"/>
      <c r="N237" s="111">
        <f t="shared" si="9"/>
        <v>0</v>
      </c>
      <c r="O237" s="111">
        <f t="shared" si="10"/>
        <v>0</v>
      </c>
      <c r="P237" s="111">
        <f t="shared" si="11"/>
        <v>0</v>
      </c>
      <c r="Q237" s="111">
        <f t="shared" si="12"/>
        <v>0</v>
      </c>
      <c r="R237" s="102"/>
    </row>
    <row r="238">
      <c r="A238" s="106">
        <f>IFERROR(YEAR(SalarioPromedio!B238),"")</f>
        <v>1899</v>
      </c>
      <c r="B238" s="106" t="str">
        <f>SalarioPromedio!D238</f>
        <v/>
      </c>
      <c r="C238" s="105">
        <f>IF(SalarioPromedio!B238="",0,SalarioPromedio!C238-SalarioPromedio!B238+1)</f>
        <v>0</v>
      </c>
      <c r="D238" s="104">
        <f>IF(SalarioPromedio!B238="",0,C238*B238)</f>
        <v>0</v>
      </c>
      <c r="E238" s="104">
        <f t="shared" si="1"/>
        <v>0</v>
      </c>
      <c r="F238" s="104">
        <f t="shared" si="2"/>
        <v>0</v>
      </c>
      <c r="G238" s="107">
        <f t="shared" si="3"/>
        <v>0</v>
      </c>
      <c r="H238" s="108">
        <f t="shared" si="4"/>
        <v>0</v>
      </c>
      <c r="I238" s="104">
        <f t="shared" si="5"/>
        <v>0</v>
      </c>
      <c r="J238" s="108">
        <f t="shared" si="6"/>
        <v>0</v>
      </c>
      <c r="K238" s="111">
        <f t="shared" si="7"/>
        <v>0</v>
      </c>
      <c r="L238" s="108">
        <f t="shared" si="8"/>
        <v>0</v>
      </c>
      <c r="M238" s="102"/>
      <c r="N238" s="111">
        <f t="shared" si="9"/>
        <v>0</v>
      </c>
      <c r="O238" s="111">
        <f t="shared" si="10"/>
        <v>0</v>
      </c>
      <c r="P238" s="111">
        <f t="shared" si="11"/>
        <v>0</v>
      </c>
      <c r="Q238" s="111">
        <f t="shared" si="12"/>
        <v>0</v>
      </c>
      <c r="R238" s="102"/>
    </row>
    <row r="239">
      <c r="A239" s="106">
        <f>IFERROR(YEAR(SalarioPromedio!B239),"")</f>
        <v>1899</v>
      </c>
      <c r="B239" s="106" t="str">
        <f>SalarioPromedio!D239</f>
        <v/>
      </c>
      <c r="C239" s="105">
        <f>IF(SalarioPromedio!B239="",0,SalarioPromedio!C239-SalarioPromedio!B239+1)</f>
        <v>0</v>
      </c>
      <c r="D239" s="104">
        <f>IF(SalarioPromedio!B239="",0,C239*B239)</f>
        <v>0</v>
      </c>
      <c r="E239" s="104">
        <f t="shared" si="1"/>
        <v>0</v>
      </c>
      <c r="F239" s="104">
        <f t="shared" si="2"/>
        <v>0</v>
      </c>
      <c r="G239" s="107">
        <f t="shared" si="3"/>
        <v>0</v>
      </c>
      <c r="H239" s="108">
        <f t="shared" si="4"/>
        <v>0</v>
      </c>
      <c r="I239" s="104">
        <f t="shared" si="5"/>
        <v>0</v>
      </c>
      <c r="J239" s="108">
        <f t="shared" si="6"/>
        <v>0</v>
      </c>
      <c r="K239" s="111">
        <f t="shared" si="7"/>
        <v>0</v>
      </c>
      <c r="L239" s="108">
        <f t="shared" si="8"/>
        <v>0</v>
      </c>
      <c r="M239" s="102"/>
      <c r="N239" s="111">
        <f t="shared" si="9"/>
        <v>0</v>
      </c>
      <c r="O239" s="111">
        <f t="shared" si="10"/>
        <v>0</v>
      </c>
      <c r="P239" s="111">
        <f t="shared" si="11"/>
        <v>0</v>
      </c>
      <c r="Q239" s="111">
        <f t="shared" si="12"/>
        <v>0</v>
      </c>
      <c r="R239" s="102"/>
    </row>
    <row r="240">
      <c r="A240" s="106">
        <f>IFERROR(YEAR(SalarioPromedio!B240),"")</f>
        <v>1899</v>
      </c>
      <c r="B240" s="106" t="str">
        <f>SalarioPromedio!D240</f>
        <v/>
      </c>
      <c r="C240" s="105">
        <f>IF(SalarioPromedio!B240="",0,SalarioPromedio!C240-SalarioPromedio!B240+1)</f>
        <v>0</v>
      </c>
      <c r="D240" s="104">
        <f>IF(SalarioPromedio!B240="",0,C240*B240)</f>
        <v>0</v>
      </c>
      <c r="E240" s="104">
        <f t="shared" si="1"/>
        <v>0</v>
      </c>
      <c r="F240" s="104">
        <f t="shared" si="2"/>
        <v>0</v>
      </c>
      <c r="G240" s="107">
        <f t="shared" si="3"/>
        <v>0</v>
      </c>
      <c r="H240" s="108">
        <f t="shared" si="4"/>
        <v>0</v>
      </c>
      <c r="I240" s="104">
        <f t="shared" si="5"/>
        <v>0</v>
      </c>
      <c r="J240" s="108">
        <f t="shared" si="6"/>
        <v>0</v>
      </c>
      <c r="K240" s="111">
        <f t="shared" si="7"/>
        <v>0</v>
      </c>
      <c r="L240" s="108">
        <f t="shared" si="8"/>
        <v>0</v>
      </c>
      <c r="M240" s="102"/>
      <c r="N240" s="111">
        <f t="shared" si="9"/>
        <v>0</v>
      </c>
      <c r="O240" s="111">
        <f t="shared" si="10"/>
        <v>0</v>
      </c>
      <c r="P240" s="111">
        <f t="shared" si="11"/>
        <v>0</v>
      </c>
      <c r="Q240" s="111">
        <f t="shared" si="12"/>
        <v>0</v>
      </c>
      <c r="R240" s="102"/>
    </row>
    <row r="241">
      <c r="A241" s="106">
        <f>IFERROR(YEAR(SalarioPromedio!B241),"")</f>
        <v>1899</v>
      </c>
      <c r="B241" s="106" t="str">
        <f>SalarioPromedio!D241</f>
        <v/>
      </c>
      <c r="C241" s="105">
        <f>IF(SalarioPromedio!B241="",0,SalarioPromedio!C241-SalarioPromedio!B241+1)</f>
        <v>0</v>
      </c>
      <c r="D241" s="104">
        <f>IF(SalarioPromedio!B241="",0,C241*B241)</f>
        <v>0</v>
      </c>
      <c r="E241" s="104">
        <f t="shared" si="1"/>
        <v>0</v>
      </c>
      <c r="F241" s="104">
        <f t="shared" si="2"/>
        <v>0</v>
      </c>
      <c r="G241" s="107">
        <f t="shared" si="3"/>
        <v>0</v>
      </c>
      <c r="H241" s="108">
        <f t="shared" si="4"/>
        <v>0</v>
      </c>
      <c r="I241" s="104">
        <f t="shared" si="5"/>
        <v>0</v>
      </c>
      <c r="J241" s="108">
        <f t="shared" si="6"/>
        <v>0</v>
      </c>
      <c r="K241" s="111">
        <f t="shared" si="7"/>
        <v>0</v>
      </c>
      <c r="L241" s="108">
        <f t="shared" si="8"/>
        <v>0</v>
      </c>
      <c r="M241" s="102"/>
      <c r="N241" s="111">
        <f t="shared" si="9"/>
        <v>0</v>
      </c>
      <c r="O241" s="111">
        <f t="shared" si="10"/>
        <v>0</v>
      </c>
      <c r="P241" s="111">
        <f t="shared" si="11"/>
        <v>0</v>
      </c>
      <c r="Q241" s="111">
        <f t="shared" si="12"/>
        <v>0</v>
      </c>
      <c r="R241" s="102"/>
    </row>
    <row r="242">
      <c r="A242" s="106">
        <f>IFERROR(YEAR(SalarioPromedio!B242),"")</f>
        <v>1899</v>
      </c>
      <c r="B242" s="106" t="str">
        <f>SalarioPromedio!D242</f>
        <v/>
      </c>
      <c r="C242" s="105">
        <f>IF(SalarioPromedio!B242="",0,SalarioPromedio!C242-SalarioPromedio!B242+1)</f>
        <v>0</v>
      </c>
      <c r="D242" s="104">
        <f>IF(SalarioPromedio!B242="",0,C242*B242)</f>
        <v>0</v>
      </c>
      <c r="E242" s="104">
        <f t="shared" si="1"/>
        <v>0</v>
      </c>
      <c r="F242" s="104">
        <f t="shared" si="2"/>
        <v>0</v>
      </c>
      <c r="G242" s="107">
        <f t="shared" si="3"/>
        <v>0</v>
      </c>
      <c r="H242" s="108">
        <f t="shared" si="4"/>
        <v>0</v>
      </c>
      <c r="I242" s="104">
        <f t="shared" si="5"/>
        <v>0</v>
      </c>
      <c r="J242" s="108">
        <f t="shared" si="6"/>
        <v>0</v>
      </c>
      <c r="K242" s="111">
        <f t="shared" si="7"/>
        <v>0</v>
      </c>
      <c r="L242" s="108">
        <f t="shared" si="8"/>
        <v>0</v>
      </c>
      <c r="M242" s="102"/>
      <c r="N242" s="111">
        <f t="shared" si="9"/>
        <v>0</v>
      </c>
      <c r="O242" s="111">
        <f t="shared" si="10"/>
        <v>0</v>
      </c>
      <c r="P242" s="111">
        <f t="shared" si="11"/>
        <v>0</v>
      </c>
      <c r="Q242" s="111">
        <f t="shared" si="12"/>
        <v>0</v>
      </c>
      <c r="R242" s="102"/>
    </row>
    <row r="243">
      <c r="A243" s="106">
        <f>IFERROR(YEAR(SalarioPromedio!B243),"")</f>
        <v>1899</v>
      </c>
      <c r="B243" s="106" t="str">
        <f>SalarioPromedio!D243</f>
        <v/>
      </c>
      <c r="C243" s="105">
        <f>IF(SalarioPromedio!B243="",0,SalarioPromedio!C243-SalarioPromedio!B243+1)</f>
        <v>0</v>
      </c>
      <c r="D243" s="104">
        <f>IF(SalarioPromedio!B243="",0,C243*B243)</f>
        <v>0</v>
      </c>
      <c r="E243" s="104">
        <f t="shared" si="1"/>
        <v>0</v>
      </c>
      <c r="F243" s="104">
        <f t="shared" si="2"/>
        <v>0</v>
      </c>
      <c r="G243" s="107">
        <f t="shared" si="3"/>
        <v>0</v>
      </c>
      <c r="H243" s="108">
        <f t="shared" si="4"/>
        <v>0</v>
      </c>
      <c r="I243" s="104">
        <f t="shared" si="5"/>
        <v>0</v>
      </c>
      <c r="J243" s="108">
        <f t="shared" si="6"/>
        <v>0</v>
      </c>
      <c r="K243" s="111">
        <f t="shared" si="7"/>
        <v>0</v>
      </c>
      <c r="L243" s="108">
        <f t="shared" si="8"/>
        <v>0</v>
      </c>
      <c r="M243" s="102"/>
      <c r="N243" s="111">
        <f t="shared" si="9"/>
        <v>0</v>
      </c>
      <c r="O243" s="111">
        <f t="shared" si="10"/>
        <v>0</v>
      </c>
      <c r="P243" s="111">
        <f t="shared" si="11"/>
        <v>0</v>
      </c>
      <c r="Q243" s="111">
        <f t="shared" si="12"/>
        <v>0</v>
      </c>
      <c r="R243" s="102"/>
    </row>
    <row r="244">
      <c r="A244" s="106">
        <f>IFERROR(YEAR(SalarioPromedio!B244),"")</f>
        <v>1899</v>
      </c>
      <c r="B244" s="106" t="str">
        <f>SalarioPromedio!D244</f>
        <v/>
      </c>
      <c r="C244" s="105">
        <f>IF(SalarioPromedio!B244="",0,SalarioPromedio!C244-SalarioPromedio!B244+1)</f>
        <v>0</v>
      </c>
      <c r="D244" s="104">
        <f>IF(SalarioPromedio!B244="",0,C244*B244)</f>
        <v>0</v>
      </c>
      <c r="E244" s="104">
        <f t="shared" si="1"/>
        <v>0</v>
      </c>
      <c r="F244" s="104">
        <f t="shared" si="2"/>
        <v>0</v>
      </c>
      <c r="G244" s="107">
        <f t="shared" si="3"/>
        <v>0</v>
      </c>
      <c r="H244" s="108">
        <f t="shared" si="4"/>
        <v>0</v>
      </c>
      <c r="I244" s="104">
        <f t="shared" si="5"/>
        <v>0</v>
      </c>
      <c r="J244" s="108">
        <f t="shared" si="6"/>
        <v>0</v>
      </c>
      <c r="K244" s="111">
        <f t="shared" si="7"/>
        <v>0</v>
      </c>
      <c r="L244" s="108">
        <f t="shared" si="8"/>
        <v>0</v>
      </c>
      <c r="M244" s="102"/>
      <c r="N244" s="111">
        <f t="shared" si="9"/>
        <v>0</v>
      </c>
      <c r="O244" s="111">
        <f t="shared" si="10"/>
        <v>0</v>
      </c>
      <c r="P244" s="111">
        <f t="shared" si="11"/>
        <v>0</v>
      </c>
      <c r="Q244" s="111">
        <f t="shared" si="12"/>
        <v>0</v>
      </c>
      <c r="R244" s="102"/>
    </row>
    <row r="245">
      <c r="A245" s="106">
        <f>IFERROR(YEAR(SalarioPromedio!B245),"")</f>
        <v>1899</v>
      </c>
      <c r="B245" s="106" t="str">
        <f>SalarioPromedio!D245</f>
        <v/>
      </c>
      <c r="C245" s="105">
        <f>IF(SalarioPromedio!B245="",0,SalarioPromedio!C245-SalarioPromedio!B245+1)</f>
        <v>0</v>
      </c>
      <c r="D245" s="104">
        <f>IF(SalarioPromedio!B245="",0,C245*B245)</f>
        <v>0</v>
      </c>
      <c r="E245" s="104">
        <f t="shared" si="1"/>
        <v>0</v>
      </c>
      <c r="F245" s="104">
        <f t="shared" si="2"/>
        <v>0</v>
      </c>
      <c r="G245" s="107">
        <f t="shared" si="3"/>
        <v>0</v>
      </c>
      <c r="H245" s="108">
        <f t="shared" si="4"/>
        <v>0</v>
      </c>
      <c r="I245" s="104">
        <f t="shared" si="5"/>
        <v>0</v>
      </c>
      <c r="J245" s="108">
        <f t="shared" si="6"/>
        <v>0</v>
      </c>
      <c r="K245" s="111">
        <f t="shared" si="7"/>
        <v>0</v>
      </c>
      <c r="L245" s="108">
        <f t="shared" si="8"/>
        <v>0</v>
      </c>
      <c r="M245" s="102"/>
      <c r="N245" s="111">
        <f t="shared" si="9"/>
        <v>0</v>
      </c>
      <c r="O245" s="111">
        <f t="shared" si="10"/>
        <v>0</v>
      </c>
      <c r="P245" s="111">
        <f t="shared" si="11"/>
        <v>0</v>
      </c>
      <c r="Q245" s="111">
        <f t="shared" si="12"/>
        <v>0</v>
      </c>
      <c r="R245" s="102"/>
    </row>
    <row r="246">
      <c r="A246" s="106">
        <f>IFERROR(YEAR(SalarioPromedio!B246),"")</f>
        <v>1899</v>
      </c>
      <c r="B246" s="106" t="str">
        <f>SalarioPromedio!D246</f>
        <v/>
      </c>
      <c r="C246" s="105">
        <f>IF(SalarioPromedio!B246="",0,SalarioPromedio!C246-SalarioPromedio!B246+1)</f>
        <v>0</v>
      </c>
      <c r="D246" s="104">
        <f>IF(SalarioPromedio!B246="",0,C246*B246)</f>
        <v>0</v>
      </c>
      <c r="E246" s="104">
        <f t="shared" si="1"/>
        <v>0</v>
      </c>
      <c r="F246" s="104">
        <f t="shared" si="2"/>
        <v>0</v>
      </c>
      <c r="G246" s="107">
        <f t="shared" si="3"/>
        <v>0</v>
      </c>
      <c r="H246" s="108">
        <f t="shared" si="4"/>
        <v>0</v>
      </c>
      <c r="I246" s="104">
        <f t="shared" si="5"/>
        <v>0</v>
      </c>
      <c r="J246" s="108">
        <f t="shared" si="6"/>
        <v>0</v>
      </c>
      <c r="K246" s="111">
        <f t="shared" si="7"/>
        <v>0</v>
      </c>
      <c r="L246" s="108">
        <f t="shared" si="8"/>
        <v>0</v>
      </c>
      <c r="M246" s="102"/>
      <c r="N246" s="111">
        <f t="shared" si="9"/>
        <v>0</v>
      </c>
      <c r="O246" s="111">
        <f t="shared" si="10"/>
        <v>0</v>
      </c>
      <c r="P246" s="111">
        <f t="shared" si="11"/>
        <v>0</v>
      </c>
      <c r="Q246" s="111">
        <f t="shared" si="12"/>
        <v>0</v>
      </c>
      <c r="R246" s="102"/>
    </row>
    <row r="247">
      <c r="A247" s="106">
        <f>IFERROR(YEAR(SalarioPromedio!B247),"")</f>
        <v>1899</v>
      </c>
      <c r="B247" s="106" t="str">
        <f>SalarioPromedio!D247</f>
        <v/>
      </c>
      <c r="C247" s="105">
        <f>IF(SalarioPromedio!B247="",0,SalarioPromedio!C247-SalarioPromedio!B247+1)</f>
        <v>0</v>
      </c>
      <c r="D247" s="104">
        <f>IF(SalarioPromedio!B247="",0,C247*B247)</f>
        <v>0</v>
      </c>
      <c r="E247" s="104">
        <f t="shared" si="1"/>
        <v>0</v>
      </c>
      <c r="F247" s="104">
        <f t="shared" si="2"/>
        <v>0</v>
      </c>
      <c r="G247" s="107">
        <f t="shared" si="3"/>
        <v>0</v>
      </c>
      <c r="H247" s="108">
        <f t="shared" si="4"/>
        <v>0</v>
      </c>
      <c r="I247" s="104">
        <f t="shared" si="5"/>
        <v>0</v>
      </c>
      <c r="J247" s="108">
        <f t="shared" si="6"/>
        <v>0</v>
      </c>
      <c r="K247" s="111">
        <f t="shared" si="7"/>
        <v>0</v>
      </c>
      <c r="L247" s="108">
        <f t="shared" si="8"/>
        <v>0</v>
      </c>
      <c r="M247" s="102"/>
      <c r="N247" s="111">
        <f t="shared" si="9"/>
        <v>0</v>
      </c>
      <c r="O247" s="111">
        <f t="shared" si="10"/>
        <v>0</v>
      </c>
      <c r="P247" s="111">
        <f t="shared" si="11"/>
        <v>0</v>
      </c>
      <c r="Q247" s="111">
        <f t="shared" si="12"/>
        <v>0</v>
      </c>
      <c r="R247" s="102"/>
    </row>
    <row r="248">
      <c r="A248" s="106">
        <f>IFERROR(YEAR(SalarioPromedio!B248),"")</f>
        <v>1899</v>
      </c>
      <c r="B248" s="106" t="str">
        <f>SalarioPromedio!D248</f>
        <v/>
      </c>
      <c r="C248" s="105">
        <f>IF(SalarioPromedio!B248="",0,SalarioPromedio!C248-SalarioPromedio!B248+1)</f>
        <v>0</v>
      </c>
      <c r="D248" s="104">
        <f>IF(SalarioPromedio!B248="",0,C248*B248)</f>
        <v>0</v>
      </c>
      <c r="E248" s="104">
        <f t="shared" si="1"/>
        <v>0</v>
      </c>
      <c r="F248" s="104">
        <f t="shared" si="2"/>
        <v>0</v>
      </c>
      <c r="G248" s="107">
        <f t="shared" si="3"/>
        <v>0</v>
      </c>
      <c r="H248" s="108">
        <f t="shared" si="4"/>
        <v>0</v>
      </c>
      <c r="I248" s="104">
        <f t="shared" si="5"/>
        <v>0</v>
      </c>
      <c r="J248" s="108">
        <f t="shared" si="6"/>
        <v>0</v>
      </c>
      <c r="K248" s="111">
        <f t="shared" si="7"/>
        <v>0</v>
      </c>
      <c r="L248" s="108">
        <f t="shared" si="8"/>
        <v>0</v>
      </c>
      <c r="M248" s="102"/>
      <c r="N248" s="111">
        <f t="shared" si="9"/>
        <v>0</v>
      </c>
      <c r="O248" s="111">
        <f t="shared" si="10"/>
        <v>0</v>
      </c>
      <c r="P248" s="111">
        <f t="shared" si="11"/>
        <v>0</v>
      </c>
      <c r="Q248" s="111">
        <f t="shared" si="12"/>
        <v>0</v>
      </c>
      <c r="R248" s="102"/>
    </row>
    <row r="249">
      <c r="A249" s="106">
        <f>IFERROR(YEAR(SalarioPromedio!B249),"")</f>
        <v>1899</v>
      </c>
      <c r="B249" s="106" t="str">
        <f>SalarioPromedio!D249</f>
        <v/>
      </c>
      <c r="C249" s="105">
        <f>IF(SalarioPromedio!B249="",0,SalarioPromedio!C249-SalarioPromedio!B249+1)</f>
        <v>0</v>
      </c>
      <c r="D249" s="104">
        <f>IF(SalarioPromedio!B249="",0,C249*B249)</f>
        <v>0</v>
      </c>
      <c r="E249" s="104">
        <f t="shared" si="1"/>
        <v>0</v>
      </c>
      <c r="F249" s="104">
        <f t="shared" si="2"/>
        <v>0</v>
      </c>
      <c r="G249" s="107">
        <f t="shared" si="3"/>
        <v>0</v>
      </c>
      <c r="H249" s="108">
        <f t="shared" si="4"/>
        <v>0</v>
      </c>
      <c r="I249" s="104">
        <f t="shared" si="5"/>
        <v>0</v>
      </c>
      <c r="J249" s="108">
        <f t="shared" si="6"/>
        <v>0</v>
      </c>
      <c r="K249" s="111">
        <f t="shared" si="7"/>
        <v>0</v>
      </c>
      <c r="L249" s="108">
        <f t="shared" si="8"/>
        <v>0</v>
      </c>
      <c r="M249" s="102"/>
      <c r="N249" s="111">
        <f t="shared" si="9"/>
        <v>0</v>
      </c>
      <c r="O249" s="111">
        <f t="shared" si="10"/>
        <v>0</v>
      </c>
      <c r="P249" s="111">
        <f t="shared" si="11"/>
        <v>0</v>
      </c>
      <c r="Q249" s="111">
        <f t="shared" si="12"/>
        <v>0</v>
      </c>
      <c r="R249" s="102"/>
    </row>
    <row r="250">
      <c r="A250" s="106">
        <f>IFERROR(YEAR(SalarioPromedio!B250),"")</f>
        <v>1899</v>
      </c>
      <c r="B250" s="106" t="str">
        <f>SalarioPromedio!D250</f>
        <v/>
      </c>
      <c r="C250" s="105">
        <f>IF(SalarioPromedio!B250="",0,SalarioPromedio!C250-SalarioPromedio!B250+1)</f>
        <v>0</v>
      </c>
      <c r="D250" s="104">
        <f>IF(SalarioPromedio!B250="",0,C250*B250)</f>
        <v>0</v>
      </c>
      <c r="E250" s="104">
        <f t="shared" si="1"/>
        <v>0</v>
      </c>
      <c r="F250" s="104">
        <f t="shared" si="2"/>
        <v>0</v>
      </c>
      <c r="G250" s="107">
        <f t="shared" si="3"/>
        <v>0</v>
      </c>
      <c r="H250" s="108">
        <f t="shared" si="4"/>
        <v>0</v>
      </c>
      <c r="I250" s="104">
        <f t="shared" si="5"/>
        <v>0</v>
      </c>
      <c r="J250" s="108">
        <f t="shared" si="6"/>
        <v>0</v>
      </c>
      <c r="K250" s="111">
        <f t="shared" si="7"/>
        <v>0</v>
      </c>
      <c r="L250" s="108">
        <f t="shared" si="8"/>
        <v>0</v>
      </c>
      <c r="M250" s="102"/>
      <c r="N250" s="111">
        <f t="shared" si="9"/>
        <v>0</v>
      </c>
      <c r="O250" s="111">
        <f t="shared" si="10"/>
        <v>0</v>
      </c>
      <c r="P250" s="111">
        <f t="shared" si="11"/>
        <v>0</v>
      </c>
      <c r="Q250" s="111">
        <f t="shared" si="12"/>
        <v>0</v>
      </c>
      <c r="R250" s="102"/>
    </row>
    <row r="251">
      <c r="A251" s="106">
        <f>IFERROR(YEAR(SalarioPromedio!B251),"")</f>
        <v>1899</v>
      </c>
      <c r="B251" s="106" t="str">
        <f>SalarioPromedio!D251</f>
        <v/>
      </c>
      <c r="C251" s="105">
        <f>IF(SalarioPromedio!B251="",0,SalarioPromedio!C251-SalarioPromedio!B251+1)</f>
        <v>0</v>
      </c>
      <c r="D251" s="104">
        <f>IF(SalarioPromedio!B251="",0,C251*B251)</f>
        <v>0</v>
      </c>
      <c r="E251" s="104">
        <f t="shared" si="1"/>
        <v>0</v>
      </c>
      <c r="F251" s="104">
        <f t="shared" si="2"/>
        <v>0</v>
      </c>
      <c r="G251" s="107">
        <f t="shared" si="3"/>
        <v>0</v>
      </c>
      <c r="H251" s="108">
        <f t="shared" si="4"/>
        <v>0</v>
      </c>
      <c r="I251" s="104">
        <f t="shared" si="5"/>
        <v>0</v>
      </c>
      <c r="J251" s="108">
        <f t="shared" si="6"/>
        <v>0</v>
      </c>
      <c r="K251" s="111">
        <f t="shared" si="7"/>
        <v>0</v>
      </c>
      <c r="L251" s="108">
        <f t="shared" si="8"/>
        <v>0</v>
      </c>
      <c r="M251" s="102"/>
      <c r="N251" s="111">
        <f t="shared" si="9"/>
        <v>0</v>
      </c>
      <c r="O251" s="111">
        <f t="shared" si="10"/>
        <v>0</v>
      </c>
      <c r="P251" s="111">
        <f t="shared" si="11"/>
        <v>0</v>
      </c>
      <c r="Q251" s="111">
        <f t="shared" si="12"/>
        <v>0</v>
      </c>
      <c r="R251" s="102"/>
    </row>
    <row r="252">
      <c r="A252" s="106">
        <f>IFERROR(YEAR(SalarioPromedio!B252),"")</f>
        <v>1899</v>
      </c>
      <c r="B252" s="106" t="str">
        <f>SalarioPromedio!D252</f>
        <v/>
      </c>
      <c r="C252" s="105">
        <f>IF(SalarioPromedio!B252="",0,SalarioPromedio!C252-SalarioPromedio!B252+1)</f>
        <v>0</v>
      </c>
      <c r="D252" s="104">
        <f>IF(SalarioPromedio!B252="",0,C252*B252)</f>
        <v>0</v>
      </c>
      <c r="E252" s="104">
        <f t="shared" si="1"/>
        <v>0</v>
      </c>
      <c r="F252" s="104">
        <f t="shared" si="2"/>
        <v>0</v>
      </c>
      <c r="G252" s="107">
        <f t="shared" si="3"/>
        <v>0</v>
      </c>
      <c r="H252" s="108">
        <f t="shared" si="4"/>
        <v>0</v>
      </c>
      <c r="I252" s="104">
        <f t="shared" si="5"/>
        <v>0</v>
      </c>
      <c r="J252" s="108">
        <f t="shared" si="6"/>
        <v>0</v>
      </c>
      <c r="K252" s="111">
        <f t="shared" si="7"/>
        <v>0</v>
      </c>
      <c r="L252" s="108">
        <f t="shared" si="8"/>
        <v>0</v>
      </c>
      <c r="M252" s="102"/>
      <c r="N252" s="111">
        <f t="shared" si="9"/>
        <v>0</v>
      </c>
      <c r="O252" s="111">
        <f t="shared" si="10"/>
        <v>0</v>
      </c>
      <c r="P252" s="111">
        <f t="shared" si="11"/>
        <v>0</v>
      </c>
      <c r="Q252" s="111">
        <f t="shared" si="12"/>
        <v>0</v>
      </c>
      <c r="R252" s="102"/>
    </row>
    <row r="253">
      <c r="A253" s="106">
        <f>IFERROR(YEAR(SalarioPromedio!B253),"")</f>
        <v>1899</v>
      </c>
      <c r="B253" s="106" t="str">
        <f>SalarioPromedio!D253</f>
        <v/>
      </c>
      <c r="C253" s="105">
        <f>IF(SalarioPromedio!B253="",0,SalarioPromedio!C253-SalarioPromedio!B253+1)</f>
        <v>0</v>
      </c>
      <c r="D253" s="104">
        <f>IF(SalarioPromedio!B253="",0,C253*B253)</f>
        <v>0</v>
      </c>
      <c r="E253" s="104">
        <f t="shared" si="1"/>
        <v>0</v>
      </c>
      <c r="F253" s="104">
        <f t="shared" si="2"/>
        <v>0</v>
      </c>
      <c r="G253" s="107">
        <f t="shared" si="3"/>
        <v>0</v>
      </c>
      <c r="H253" s="108">
        <f t="shared" si="4"/>
        <v>0</v>
      </c>
      <c r="I253" s="104">
        <f t="shared" si="5"/>
        <v>0</v>
      </c>
      <c r="J253" s="108">
        <f t="shared" si="6"/>
        <v>0</v>
      </c>
      <c r="K253" s="111">
        <f t="shared" si="7"/>
        <v>0</v>
      </c>
      <c r="L253" s="108">
        <f t="shared" si="8"/>
        <v>0</v>
      </c>
      <c r="M253" s="102"/>
      <c r="N253" s="111">
        <f t="shared" si="9"/>
        <v>0</v>
      </c>
      <c r="O253" s="111">
        <f t="shared" si="10"/>
        <v>0</v>
      </c>
      <c r="P253" s="111">
        <f t="shared" si="11"/>
        <v>0</v>
      </c>
      <c r="Q253" s="111">
        <f t="shared" si="12"/>
        <v>0</v>
      </c>
      <c r="R253" s="102"/>
    </row>
    <row r="254">
      <c r="A254" s="106">
        <f>IFERROR(YEAR(SalarioPromedio!B254),"")</f>
        <v>1899</v>
      </c>
      <c r="B254" s="106" t="str">
        <f>SalarioPromedio!D254</f>
        <v/>
      </c>
      <c r="C254" s="105">
        <f>IF(SalarioPromedio!B254="",0,SalarioPromedio!C254-SalarioPromedio!B254+1)</f>
        <v>0</v>
      </c>
      <c r="D254" s="104">
        <f>IF(SalarioPromedio!B254="",0,C254*B254)</f>
        <v>0</v>
      </c>
      <c r="E254" s="104">
        <f t="shared" si="1"/>
        <v>0</v>
      </c>
      <c r="F254" s="104">
        <f t="shared" si="2"/>
        <v>0</v>
      </c>
      <c r="G254" s="107">
        <f t="shared" si="3"/>
        <v>0</v>
      </c>
      <c r="H254" s="108">
        <f t="shared" si="4"/>
        <v>0</v>
      </c>
      <c r="I254" s="104">
        <f t="shared" si="5"/>
        <v>0</v>
      </c>
      <c r="J254" s="108">
        <f t="shared" si="6"/>
        <v>0</v>
      </c>
      <c r="K254" s="111">
        <f t="shared" si="7"/>
        <v>0</v>
      </c>
      <c r="L254" s="108">
        <f t="shared" si="8"/>
        <v>0</v>
      </c>
      <c r="M254" s="102"/>
      <c r="N254" s="111">
        <f t="shared" si="9"/>
        <v>0</v>
      </c>
      <c r="O254" s="111">
        <f t="shared" si="10"/>
        <v>0</v>
      </c>
      <c r="P254" s="111">
        <f t="shared" si="11"/>
        <v>0</v>
      </c>
      <c r="Q254" s="111">
        <f t="shared" si="12"/>
        <v>0</v>
      </c>
      <c r="R254" s="102"/>
    </row>
    <row r="255">
      <c r="A255" s="106">
        <f>IFERROR(YEAR(SalarioPromedio!B255),"")</f>
        <v>1899</v>
      </c>
      <c r="B255" s="106" t="str">
        <f>SalarioPromedio!D255</f>
        <v/>
      </c>
      <c r="C255" s="105">
        <f>IF(SalarioPromedio!B255="",0,SalarioPromedio!C255-SalarioPromedio!B255+1)</f>
        <v>0</v>
      </c>
      <c r="D255" s="104">
        <f>IF(SalarioPromedio!B255="",0,C255*B255)</f>
        <v>0</v>
      </c>
      <c r="E255" s="104">
        <f t="shared" si="1"/>
        <v>0</v>
      </c>
      <c r="F255" s="104">
        <f t="shared" si="2"/>
        <v>0</v>
      </c>
      <c r="G255" s="107">
        <f t="shared" si="3"/>
        <v>0</v>
      </c>
      <c r="H255" s="108">
        <f t="shared" si="4"/>
        <v>0</v>
      </c>
      <c r="I255" s="104">
        <f t="shared" si="5"/>
        <v>0</v>
      </c>
      <c r="J255" s="108">
        <f t="shared" si="6"/>
        <v>0</v>
      </c>
      <c r="K255" s="111">
        <f t="shared" si="7"/>
        <v>0</v>
      </c>
      <c r="L255" s="108">
        <f t="shared" si="8"/>
        <v>0</v>
      </c>
      <c r="M255" s="102"/>
      <c r="N255" s="111">
        <f t="shared" si="9"/>
        <v>0</v>
      </c>
      <c r="O255" s="111">
        <f t="shared" si="10"/>
        <v>0</v>
      </c>
      <c r="P255" s="111">
        <f t="shared" si="11"/>
        <v>0</v>
      </c>
      <c r="Q255" s="111">
        <f t="shared" si="12"/>
        <v>0</v>
      </c>
      <c r="R255" s="102"/>
    </row>
    <row r="256">
      <c r="A256" s="106">
        <f>IFERROR(YEAR(SalarioPromedio!B256),"")</f>
        <v>1899</v>
      </c>
      <c r="B256" s="106" t="str">
        <f>SalarioPromedio!D256</f>
        <v/>
      </c>
      <c r="C256" s="105">
        <f>IF(SalarioPromedio!B256="",0,SalarioPromedio!C256-SalarioPromedio!B256+1)</f>
        <v>0</v>
      </c>
      <c r="D256" s="104">
        <f>IF(SalarioPromedio!B256="",0,C256*B256)</f>
        <v>0</v>
      </c>
      <c r="E256" s="104">
        <f t="shared" si="1"/>
        <v>0</v>
      </c>
      <c r="F256" s="104">
        <f t="shared" si="2"/>
        <v>0</v>
      </c>
      <c r="G256" s="107">
        <f t="shared" si="3"/>
        <v>0</v>
      </c>
      <c r="H256" s="108">
        <f t="shared" si="4"/>
        <v>0</v>
      </c>
      <c r="I256" s="104">
        <f t="shared" si="5"/>
        <v>0</v>
      </c>
      <c r="J256" s="108">
        <f t="shared" si="6"/>
        <v>0</v>
      </c>
      <c r="K256" s="111">
        <f t="shared" si="7"/>
        <v>0</v>
      </c>
      <c r="L256" s="108">
        <f t="shared" si="8"/>
        <v>0</v>
      </c>
      <c r="M256" s="102"/>
      <c r="N256" s="111">
        <f t="shared" si="9"/>
        <v>0</v>
      </c>
      <c r="O256" s="111">
        <f t="shared" si="10"/>
        <v>0</v>
      </c>
      <c r="P256" s="111">
        <f t="shared" si="11"/>
        <v>0</v>
      </c>
      <c r="Q256" s="111">
        <f t="shared" si="12"/>
        <v>0</v>
      </c>
      <c r="R256" s="102"/>
    </row>
    <row r="257">
      <c r="A257" s="106">
        <f>IFERROR(YEAR(SalarioPromedio!B257),"")</f>
        <v>1899</v>
      </c>
      <c r="B257" s="106" t="str">
        <f>SalarioPromedio!D257</f>
        <v/>
      </c>
      <c r="C257" s="105">
        <f>IF(SalarioPromedio!B257="",0,SalarioPromedio!C257-SalarioPromedio!B257+1)</f>
        <v>0</v>
      </c>
      <c r="D257" s="104">
        <f>IF(SalarioPromedio!B257="",0,C257*B257)</f>
        <v>0</v>
      </c>
      <c r="E257" s="104">
        <f t="shared" si="1"/>
        <v>0</v>
      </c>
      <c r="F257" s="104">
        <f t="shared" si="2"/>
        <v>0</v>
      </c>
      <c r="G257" s="107">
        <f t="shared" si="3"/>
        <v>0</v>
      </c>
      <c r="H257" s="108">
        <f t="shared" si="4"/>
        <v>0</v>
      </c>
      <c r="I257" s="104">
        <f t="shared" si="5"/>
        <v>0</v>
      </c>
      <c r="J257" s="108">
        <f t="shared" si="6"/>
        <v>0</v>
      </c>
      <c r="K257" s="111">
        <f t="shared" si="7"/>
        <v>0</v>
      </c>
      <c r="L257" s="108">
        <f t="shared" si="8"/>
        <v>0</v>
      </c>
      <c r="M257" s="102"/>
      <c r="N257" s="111">
        <f t="shared" si="9"/>
        <v>0</v>
      </c>
      <c r="O257" s="111">
        <f t="shared" si="10"/>
        <v>0</v>
      </c>
      <c r="P257" s="111">
        <f t="shared" si="11"/>
        <v>0</v>
      </c>
      <c r="Q257" s="111">
        <f t="shared" si="12"/>
        <v>0</v>
      </c>
      <c r="R257" s="102"/>
    </row>
    <row r="258">
      <c r="A258" s="106">
        <f>IFERROR(YEAR(SalarioPromedio!B258),"")</f>
        <v>1899</v>
      </c>
      <c r="B258" s="106" t="str">
        <f>SalarioPromedio!D258</f>
        <v/>
      </c>
      <c r="C258" s="105">
        <f>IF(SalarioPromedio!B258="",0,SalarioPromedio!C258-SalarioPromedio!B258+1)</f>
        <v>0</v>
      </c>
      <c r="D258" s="104">
        <f>IF(SalarioPromedio!B258="",0,C258*B258)</f>
        <v>0</v>
      </c>
      <c r="E258" s="104">
        <f t="shared" si="1"/>
        <v>0</v>
      </c>
      <c r="F258" s="104">
        <f t="shared" si="2"/>
        <v>0</v>
      </c>
      <c r="G258" s="107">
        <f t="shared" si="3"/>
        <v>0</v>
      </c>
      <c r="H258" s="108">
        <f t="shared" si="4"/>
        <v>0</v>
      </c>
      <c r="I258" s="104">
        <f t="shared" si="5"/>
        <v>0</v>
      </c>
      <c r="J258" s="108">
        <f t="shared" si="6"/>
        <v>0</v>
      </c>
      <c r="K258" s="111">
        <f t="shared" si="7"/>
        <v>0</v>
      </c>
      <c r="L258" s="108">
        <f t="shared" si="8"/>
        <v>0</v>
      </c>
      <c r="M258" s="102"/>
      <c r="N258" s="111">
        <f t="shared" si="9"/>
        <v>0</v>
      </c>
      <c r="O258" s="111">
        <f t="shared" si="10"/>
        <v>0</v>
      </c>
      <c r="P258" s="111">
        <f t="shared" si="11"/>
        <v>0</v>
      </c>
      <c r="Q258" s="111">
        <f t="shared" si="12"/>
        <v>0</v>
      </c>
      <c r="R258" s="102"/>
    </row>
    <row r="259">
      <c r="A259" s="106">
        <f>IFERROR(YEAR(SalarioPromedio!B259),"")</f>
        <v>1899</v>
      </c>
      <c r="B259" s="106" t="str">
        <f>SalarioPromedio!D259</f>
        <v/>
      </c>
      <c r="C259" s="105">
        <f>IF(SalarioPromedio!B259="",0,SalarioPromedio!C259-SalarioPromedio!B259+1)</f>
        <v>0</v>
      </c>
      <c r="D259" s="104">
        <f>IF(SalarioPromedio!B259="",0,C259*B259)</f>
        <v>0</v>
      </c>
      <c r="E259" s="104">
        <f t="shared" si="1"/>
        <v>0</v>
      </c>
      <c r="F259" s="104">
        <f t="shared" si="2"/>
        <v>0</v>
      </c>
      <c r="G259" s="107">
        <f t="shared" si="3"/>
        <v>0</v>
      </c>
      <c r="H259" s="108">
        <f t="shared" si="4"/>
        <v>0</v>
      </c>
      <c r="I259" s="104">
        <f t="shared" si="5"/>
        <v>0</v>
      </c>
      <c r="J259" s="108">
        <f t="shared" si="6"/>
        <v>0</v>
      </c>
      <c r="K259" s="111">
        <f t="shared" si="7"/>
        <v>0</v>
      </c>
      <c r="L259" s="108">
        <f t="shared" si="8"/>
        <v>0</v>
      </c>
      <c r="M259" s="102"/>
      <c r="N259" s="111">
        <f t="shared" si="9"/>
        <v>0</v>
      </c>
      <c r="O259" s="111">
        <f t="shared" si="10"/>
        <v>0</v>
      </c>
      <c r="P259" s="111">
        <f t="shared" si="11"/>
        <v>0</v>
      </c>
      <c r="Q259" s="111">
        <f t="shared" si="12"/>
        <v>0</v>
      </c>
      <c r="R259" s="102"/>
    </row>
    <row r="260">
      <c r="A260" s="106">
        <f>IFERROR(YEAR(SalarioPromedio!B260),"")</f>
        <v>1899</v>
      </c>
      <c r="B260" s="106" t="str">
        <f>SalarioPromedio!D260</f>
        <v/>
      </c>
      <c r="C260" s="105">
        <f>IF(SalarioPromedio!B260="",0,SalarioPromedio!C260-SalarioPromedio!B260+1)</f>
        <v>0</v>
      </c>
      <c r="D260" s="104">
        <f>IF(SalarioPromedio!B260="",0,C260*B260)</f>
        <v>0</v>
      </c>
      <c r="E260" s="104">
        <f t="shared" si="1"/>
        <v>0</v>
      </c>
      <c r="F260" s="104">
        <f t="shared" si="2"/>
        <v>0</v>
      </c>
      <c r="G260" s="107">
        <f t="shared" si="3"/>
        <v>0</v>
      </c>
      <c r="H260" s="108">
        <f t="shared" si="4"/>
        <v>0</v>
      </c>
      <c r="I260" s="104">
        <f t="shared" si="5"/>
        <v>0</v>
      </c>
      <c r="J260" s="108">
        <f t="shared" si="6"/>
        <v>0</v>
      </c>
      <c r="K260" s="111">
        <f t="shared" si="7"/>
        <v>0</v>
      </c>
      <c r="L260" s="108">
        <f t="shared" si="8"/>
        <v>0</v>
      </c>
      <c r="M260" s="102"/>
      <c r="N260" s="111">
        <f t="shared" si="9"/>
        <v>0</v>
      </c>
      <c r="O260" s="111">
        <f t="shared" si="10"/>
        <v>0</v>
      </c>
      <c r="P260" s="111">
        <f t="shared" si="11"/>
        <v>0</v>
      </c>
      <c r="Q260" s="111">
        <f t="shared" si="12"/>
        <v>0</v>
      </c>
      <c r="R260" s="102"/>
    </row>
    <row r="261">
      <c r="A261" s="106">
        <f>IFERROR(YEAR(SalarioPromedio!B261),"")</f>
        <v>1899</v>
      </c>
      <c r="B261" s="106" t="str">
        <f>SalarioPromedio!D261</f>
        <v/>
      </c>
      <c r="C261" s="105">
        <f>IF(SalarioPromedio!B261="",0,SalarioPromedio!C261-SalarioPromedio!B261+1)</f>
        <v>0</v>
      </c>
      <c r="D261" s="104">
        <f>IF(SalarioPromedio!B261="",0,C261*B261)</f>
        <v>0</v>
      </c>
      <c r="E261" s="104">
        <f t="shared" si="1"/>
        <v>0</v>
      </c>
      <c r="F261" s="104">
        <f t="shared" si="2"/>
        <v>0</v>
      </c>
      <c r="G261" s="107">
        <f t="shared" si="3"/>
        <v>0</v>
      </c>
      <c r="H261" s="108">
        <f t="shared" si="4"/>
        <v>0</v>
      </c>
      <c r="I261" s="104">
        <f t="shared" si="5"/>
        <v>0</v>
      </c>
      <c r="J261" s="108">
        <f t="shared" si="6"/>
        <v>0</v>
      </c>
      <c r="K261" s="111">
        <f t="shared" si="7"/>
        <v>0</v>
      </c>
      <c r="L261" s="108">
        <f t="shared" si="8"/>
        <v>0</v>
      </c>
      <c r="M261" s="102"/>
      <c r="N261" s="111">
        <f t="shared" si="9"/>
        <v>0</v>
      </c>
      <c r="O261" s="111">
        <f t="shared" si="10"/>
        <v>0</v>
      </c>
      <c r="P261" s="111">
        <f t="shared" si="11"/>
        <v>0</v>
      </c>
      <c r="Q261" s="111">
        <f t="shared" si="12"/>
        <v>0</v>
      </c>
      <c r="R261" s="102"/>
    </row>
    <row r="262">
      <c r="A262" s="106">
        <f>IFERROR(YEAR(SalarioPromedio!B262),"")</f>
        <v>1899</v>
      </c>
      <c r="B262" s="106" t="str">
        <f>SalarioPromedio!D262</f>
        <v/>
      </c>
      <c r="C262" s="105">
        <f>IF(SalarioPromedio!B262="",0,SalarioPromedio!C262-SalarioPromedio!B262+1)</f>
        <v>0</v>
      </c>
      <c r="D262" s="104">
        <f>IF(SalarioPromedio!B262="",0,C262*B262)</f>
        <v>0</v>
      </c>
      <c r="E262" s="104">
        <f t="shared" si="1"/>
        <v>0</v>
      </c>
      <c r="F262" s="104">
        <f t="shared" si="2"/>
        <v>0</v>
      </c>
      <c r="G262" s="107">
        <f t="shared" si="3"/>
        <v>0</v>
      </c>
      <c r="H262" s="108">
        <f t="shared" si="4"/>
        <v>0</v>
      </c>
      <c r="I262" s="104">
        <f t="shared" si="5"/>
        <v>0</v>
      </c>
      <c r="J262" s="108">
        <f t="shared" si="6"/>
        <v>0</v>
      </c>
      <c r="K262" s="111">
        <f t="shared" si="7"/>
        <v>0</v>
      </c>
      <c r="L262" s="108">
        <f t="shared" si="8"/>
        <v>0</v>
      </c>
      <c r="M262" s="102"/>
      <c r="N262" s="111">
        <f t="shared" si="9"/>
        <v>0</v>
      </c>
      <c r="O262" s="111">
        <f t="shared" si="10"/>
        <v>0</v>
      </c>
      <c r="P262" s="111">
        <f t="shared" si="11"/>
        <v>0</v>
      </c>
      <c r="Q262" s="111">
        <f t="shared" si="12"/>
        <v>0</v>
      </c>
      <c r="R262" s="102"/>
    </row>
    <row r="263">
      <c r="A263" s="106">
        <f>IFERROR(YEAR(SalarioPromedio!B263),"")</f>
        <v>1899</v>
      </c>
      <c r="B263" s="106" t="str">
        <f>SalarioPromedio!D263</f>
        <v/>
      </c>
      <c r="C263" s="105">
        <f>IF(SalarioPromedio!B263="",0,SalarioPromedio!C263-SalarioPromedio!B263+1)</f>
        <v>0</v>
      </c>
      <c r="D263" s="104">
        <f>IF(SalarioPromedio!B263="",0,C263*B263)</f>
        <v>0</v>
      </c>
      <c r="E263" s="104">
        <f t="shared" si="1"/>
        <v>0</v>
      </c>
      <c r="F263" s="104">
        <f t="shared" si="2"/>
        <v>0</v>
      </c>
      <c r="G263" s="107">
        <f t="shared" si="3"/>
        <v>0</v>
      </c>
      <c r="H263" s="108">
        <f t="shared" si="4"/>
        <v>0</v>
      </c>
      <c r="I263" s="104">
        <f t="shared" si="5"/>
        <v>0</v>
      </c>
      <c r="J263" s="108">
        <f t="shared" si="6"/>
        <v>0</v>
      </c>
      <c r="K263" s="111">
        <f t="shared" si="7"/>
        <v>0</v>
      </c>
      <c r="L263" s="108">
        <f t="shared" si="8"/>
        <v>0</v>
      </c>
      <c r="M263" s="102"/>
      <c r="N263" s="111">
        <f t="shared" si="9"/>
        <v>0</v>
      </c>
      <c r="O263" s="111">
        <f t="shared" si="10"/>
        <v>0</v>
      </c>
      <c r="P263" s="111">
        <f t="shared" si="11"/>
        <v>0</v>
      </c>
      <c r="Q263" s="111">
        <f t="shared" si="12"/>
        <v>0</v>
      </c>
      <c r="R263" s="102"/>
    </row>
    <row r="264">
      <c r="A264" s="106">
        <f>IFERROR(YEAR(SalarioPromedio!B264),"")</f>
        <v>1899</v>
      </c>
      <c r="B264" s="106" t="str">
        <f>SalarioPromedio!D264</f>
        <v/>
      </c>
      <c r="C264" s="105">
        <f>IF(SalarioPromedio!B264="",0,SalarioPromedio!C264-SalarioPromedio!B264+1)</f>
        <v>0</v>
      </c>
      <c r="D264" s="104">
        <f>IF(SalarioPromedio!B264="",0,C264*B264)</f>
        <v>0</v>
      </c>
      <c r="E264" s="104">
        <f t="shared" si="1"/>
        <v>0</v>
      </c>
      <c r="F264" s="104">
        <f t="shared" si="2"/>
        <v>0</v>
      </c>
      <c r="G264" s="107">
        <f t="shared" si="3"/>
        <v>0</v>
      </c>
      <c r="H264" s="108">
        <f t="shared" si="4"/>
        <v>0</v>
      </c>
      <c r="I264" s="104">
        <f t="shared" si="5"/>
        <v>0</v>
      </c>
      <c r="J264" s="108">
        <f t="shared" si="6"/>
        <v>0</v>
      </c>
      <c r="K264" s="111">
        <f t="shared" si="7"/>
        <v>0</v>
      </c>
      <c r="L264" s="108">
        <f t="shared" si="8"/>
        <v>0</v>
      </c>
      <c r="M264" s="102"/>
      <c r="N264" s="111">
        <f t="shared" si="9"/>
        <v>0</v>
      </c>
      <c r="O264" s="111">
        <f t="shared" si="10"/>
        <v>0</v>
      </c>
      <c r="P264" s="111">
        <f t="shared" si="11"/>
        <v>0</v>
      </c>
      <c r="Q264" s="111">
        <f t="shared" si="12"/>
        <v>0</v>
      </c>
      <c r="R264" s="102"/>
    </row>
    <row r="265">
      <c r="A265" s="106">
        <f>IFERROR(YEAR(SalarioPromedio!B265),"")</f>
        <v>1899</v>
      </c>
      <c r="B265" s="106" t="str">
        <f>SalarioPromedio!D265</f>
        <v/>
      </c>
      <c r="C265" s="105">
        <f>IF(SalarioPromedio!B265="",0,SalarioPromedio!C265-SalarioPromedio!B265+1)</f>
        <v>0</v>
      </c>
      <c r="D265" s="104">
        <f>IF(SalarioPromedio!B265="",0,C265*B265)</f>
        <v>0</v>
      </c>
      <c r="E265" s="104">
        <f t="shared" si="1"/>
        <v>0</v>
      </c>
      <c r="F265" s="104">
        <f t="shared" si="2"/>
        <v>0</v>
      </c>
      <c r="G265" s="107">
        <f t="shared" si="3"/>
        <v>0</v>
      </c>
      <c r="H265" s="108">
        <f t="shared" si="4"/>
        <v>0</v>
      </c>
      <c r="I265" s="104">
        <f t="shared" si="5"/>
        <v>0</v>
      </c>
      <c r="J265" s="108">
        <f t="shared" si="6"/>
        <v>0</v>
      </c>
      <c r="K265" s="111">
        <f t="shared" si="7"/>
        <v>0</v>
      </c>
      <c r="L265" s="108">
        <f t="shared" si="8"/>
        <v>0</v>
      </c>
      <c r="M265" s="102"/>
      <c r="N265" s="111">
        <f t="shared" si="9"/>
        <v>0</v>
      </c>
      <c r="O265" s="111">
        <f t="shared" si="10"/>
        <v>0</v>
      </c>
      <c r="P265" s="111">
        <f t="shared" si="11"/>
        <v>0</v>
      </c>
      <c r="Q265" s="111">
        <f t="shared" si="12"/>
        <v>0</v>
      </c>
      <c r="R265" s="102"/>
    </row>
    <row r="266">
      <c r="A266" s="102"/>
      <c r="B266" s="102"/>
      <c r="C266" s="102"/>
      <c r="D266" s="102"/>
      <c r="E266" s="102"/>
      <c r="F266" s="102"/>
      <c r="G266" s="112"/>
      <c r="H266" s="113"/>
      <c r="I266" s="102"/>
      <c r="J266" s="113"/>
      <c r="K266" s="102"/>
      <c r="L266" s="113"/>
      <c r="M266" s="102"/>
      <c r="N266" s="102"/>
      <c r="O266" s="102"/>
      <c r="P266" s="102"/>
      <c r="Q266" s="102"/>
      <c r="R266" s="102"/>
    </row>
    <row r="267">
      <c r="A267" s="104" t="s">
        <v>44</v>
      </c>
      <c r="B267" s="102"/>
      <c r="C267" s="102"/>
      <c r="D267" s="102"/>
      <c r="E267" s="114">
        <f t="shared" ref="E267:L267" si="13">SUM(E5:E265)</f>
        <v>1714.2414</v>
      </c>
      <c r="F267" s="114">
        <f t="shared" si="13"/>
        <v>0</v>
      </c>
      <c r="G267" s="115">
        <f t="shared" si="13"/>
        <v>19024.3662</v>
      </c>
      <c r="H267" s="116">
        <f t="shared" si="13"/>
        <v>25825.35937</v>
      </c>
      <c r="I267" s="114">
        <f t="shared" si="13"/>
        <v>10701.20599</v>
      </c>
      <c r="J267" s="116">
        <f t="shared" si="13"/>
        <v>14526.76464</v>
      </c>
      <c r="K267" s="114">
        <f t="shared" si="13"/>
        <v>29963.37677</v>
      </c>
      <c r="L267" s="116">
        <f t="shared" si="13"/>
        <v>40674.941</v>
      </c>
      <c r="M267" s="102"/>
      <c r="N267" s="114">
        <f t="shared" ref="N267:Q267" si="14">SUM(N5:N265)</f>
        <v>4285.6035</v>
      </c>
      <c r="O267" s="114">
        <f t="shared" si="14"/>
        <v>13662.43325</v>
      </c>
      <c r="P267" s="114">
        <f t="shared" si="14"/>
        <v>47560.9155</v>
      </c>
      <c r="Q267" s="104">
        <f t="shared" si="14"/>
        <v>64563.39842</v>
      </c>
      <c r="R267" s="102"/>
    </row>
    <row r="268">
      <c r="A268" s="102"/>
      <c r="B268" s="102"/>
      <c r="C268" s="102"/>
      <c r="D268" s="102"/>
      <c r="E268" s="117">
        <f>SUM(E267:F267)</f>
        <v>1714.2414</v>
      </c>
      <c r="G268" s="117">
        <f>SUM(G267:H267)</f>
        <v>44849.72557</v>
      </c>
      <c r="I268" s="118">
        <f>SUM(I267:J267)</f>
        <v>25227.97063</v>
      </c>
      <c r="K268" s="117">
        <f>SUM(K267:L267)</f>
        <v>70638.31777</v>
      </c>
      <c r="M268" s="102"/>
      <c r="N268" s="102"/>
      <c r="O268" s="102"/>
      <c r="P268" s="102"/>
      <c r="Q268" s="102"/>
      <c r="R268" s="102"/>
    </row>
    <row r="269">
      <c r="A269" s="102"/>
      <c r="B269" s="102"/>
      <c r="C269" s="102"/>
      <c r="D269" s="102"/>
      <c r="E269" s="111" t="s">
        <v>45</v>
      </c>
      <c r="F269" s="119">
        <f>E268</f>
        <v>1714.2414</v>
      </c>
      <c r="G269" s="111" t="s">
        <v>46</v>
      </c>
      <c r="H269" s="119">
        <f>G268</f>
        <v>44849.72557</v>
      </c>
      <c r="I269" s="111" t="s">
        <v>33</v>
      </c>
      <c r="J269" s="119">
        <f>I268+K268</f>
        <v>95866.2884</v>
      </c>
      <c r="K269" s="102"/>
      <c r="L269" s="102"/>
      <c r="M269" s="102"/>
      <c r="N269" s="104" t="s">
        <v>47</v>
      </c>
      <c r="O269" s="119">
        <f>SUM(N267:O267)</f>
        <v>17948.03675</v>
      </c>
      <c r="P269" s="111" t="s">
        <v>48</v>
      </c>
      <c r="Q269" s="119">
        <f>SUM(P267:Q267)</f>
        <v>112124.3139</v>
      </c>
      <c r="R269" s="102"/>
    </row>
  </sheetData>
  <mergeCells count="6">
    <mergeCell ref="B3:D3"/>
    <mergeCell ref="I3:K3"/>
    <mergeCell ref="E268:F268"/>
    <mergeCell ref="G268:H268"/>
    <mergeCell ref="I268:J268"/>
    <mergeCell ref="K268:L268"/>
  </mergeCells>
  <drawing r:id="rId1"/>
</worksheet>
</file>